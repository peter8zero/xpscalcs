
<file path=[Content_Types].xml><?xml version="1.0" encoding="utf-8"?>
<Types xmlns="http://schemas.openxmlformats.org/package/2006/content-types">
  <Override PartName="/xl/worksheets/sheet15.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Default Extension="emf" ContentType="image/x-emf"/>
  <Override PartName="/xl/comments6.xml" ContentType="application/vnd.openxmlformats-officedocument.spreadsheetml.comments+xml"/>
  <Override PartName="/xl/comments7.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activeX/activeX1.xml" ContentType="application/vnd.ms-office.activeX+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ctrlProps/ctrlProp3.xml" ContentType="application/vnd.ms-excel.controlproperties+xml"/>
  <Override PartName="/xl/worksheets/sheet17.xml" ContentType="application/vnd.openxmlformats-officedocument.spreadsheetml.worksheet+xml"/>
  <Override PartName="/xl/worksheets/sheet18.xml" ContentType="application/vnd.openxmlformats-officedocument.spreadsheetml.worksheet+xml"/>
  <Override PartName="/xl/comments10.xml" ContentType="application/vnd.openxmlformats-officedocument.spreadsheetml.comments+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updateLinks="never" codeName="ThisWorkbook" defaultThemeVersion="124226"/>
  <bookViews>
    <workbookView xWindow="15" yWindow="6225" windowWidth="19215" windowHeight="5640" tabRatio="748" activeTab="2"/>
  </bookViews>
  <sheets>
    <sheet name="Template Details" sheetId="21" r:id="rId1"/>
    <sheet name="Scheme Definitions" sheetId="2" r:id="rId2"/>
    <sheet name="Factors" sheetId="3" r:id="rId3"/>
    <sheet name="Benefit Statements" sheetId="4" r:id="rId4"/>
    <sheet name="Active to Deferred" sheetId="5" r:id="rId5"/>
    <sheet name="Active to Retirement" sheetId="6" r:id="rId6"/>
    <sheet name="Deferred to Retirement" sheetId="7" r:id="rId7"/>
    <sheet name="Death Calculations" sheetId="8" r:id="rId8"/>
    <sheet name="Pension Increases" sheetId="9" r:id="rId9"/>
    <sheet name="SMPI" sheetId="19" r:id="rId10"/>
    <sheet name="Lifestyle" sheetId="18" r:id="rId11"/>
    <sheet name="Validations, Errors &amp; Warnings" sheetId="10" r:id="rId12"/>
    <sheet name="Standard Calc Prints" sheetId="11" r:id="rId13"/>
    <sheet name="Salary Type" sheetId="13" r:id="rId14"/>
    <sheet name="Final Pensionable Salary" sheetId="14" r:id="rId15"/>
    <sheet name="Deferred Elements" sheetId="15" r:id="rId16"/>
    <sheet name="Pensioner Elements" sheetId="16" r:id="rId17"/>
    <sheet name="Pension Increase Rates" sheetId="17" r:id="rId18"/>
  </sheets>
  <externalReferences>
    <externalReference r:id="rId19"/>
    <externalReference r:id="rId20"/>
    <externalReference r:id="rId21"/>
  </externalReferences>
  <definedNames>
    <definedName name="_xlnm._FilterDatabase" localSheetId="4" hidden="1">'Active to Deferred'!$B$90:$AA$369</definedName>
    <definedName name="_Toc156620869" localSheetId="1">'Scheme Definitions'!$B$156</definedName>
    <definedName name="_Toc194293360" localSheetId="8">'Scheme Definitions'!#REF!</definedName>
    <definedName name="_Toc194293361" localSheetId="8">'Pension Increases'!#REF!</definedName>
    <definedName name="_Toc194293363" localSheetId="8">'Pension Increases'!$B$171</definedName>
    <definedName name="_Toc229278662" localSheetId="8">'Pension Increases'!#REF!</definedName>
    <definedName name="_Toc229278664" localSheetId="8">'Pension Increases'!#REF!</definedName>
    <definedName name="_Toc261356412" localSheetId="8">'Pension Increases'!#REF!</definedName>
    <definedName name="_Toc261356427" localSheetId="6">'Deferred to Retirement'!$B$433</definedName>
    <definedName name="_Toc261356428" localSheetId="6">'Deferred to Retirement'!$B$434</definedName>
    <definedName name="_Toc261356429" localSheetId="6">'Deferred to Retirement'!$B$433</definedName>
    <definedName name="_Toc261356431" localSheetId="6">'Deferred to Retirement'!$B$436</definedName>
    <definedName name="_Toc266272322" localSheetId="3">'Benefit Statements'!#REF!</definedName>
    <definedName name="_Toc266272323" localSheetId="3">'Benefit Statements'!#REF!</definedName>
    <definedName name="_Toc266272347" localSheetId="1">'Scheme Definitions'!#REF!</definedName>
    <definedName name="_Toc266272354" localSheetId="4">'Active to Deferred'!#REF!</definedName>
    <definedName name="_Toc266272356" localSheetId="4">'Active to Deferred'!#REF!</definedName>
    <definedName name="_Toc266272357" localSheetId="4">'Active to Deferred'!#REF!</definedName>
    <definedName name="_Toc274908515" localSheetId="8">'Pension Increases'!#REF!</definedName>
    <definedName name="_Toc274908516" localSheetId="8">'Pension Increases'!$B$63</definedName>
    <definedName name="_Toc274908517" localSheetId="8">'Pension Increases'!$B$68</definedName>
    <definedName name="_Toc274908518" localSheetId="8">'Pension Increases'!$B$73</definedName>
    <definedName name="_Toc274908519" localSheetId="8">'Pension Increases'!$B$78</definedName>
    <definedName name="_Toc274908520" localSheetId="8">'Pension Increases'!#REF!</definedName>
    <definedName name="_Toc274908523" localSheetId="8">'Pension Increases'!$B$115</definedName>
    <definedName name="Accrued_Pension">'Benefit Statements'!$B$82</definedName>
    <definedName name="ActExtFlag">'Template Details'!$F$28</definedName>
    <definedName name="AD_Categories">'Active to Deferred'!$B$42</definedName>
    <definedName name="AD_Errors_Warnings">'Active to Deferred'!$B$314</definedName>
    <definedName name="AD_Letters">'Active to Deferred'!$B$350</definedName>
    <definedName name="AD_Members_Pension">'Active to Deferred'!$B$82</definedName>
    <definedName name="AD_Tranches">'Active to Deferred'!$B$86</definedName>
    <definedName name="AD_Writeback">'Active to Deferred'!$B$377</definedName>
    <definedName name="Additional_Cash">'Scheme Definitions'!$B$1024</definedName>
    <definedName name="Additional_Information">Lifestyle!$B$436</definedName>
    <definedName name="AllDeferredElements">'Deferred Elements'!$D:$D</definedName>
    <definedName name="AllPensionerElements">'Pensioner Elements'!$D:$D</definedName>
    <definedName name="AR_Categories">'Active to Retirement'!$B$44</definedName>
    <definedName name="AR_Errors_Warnings">'Active to Retirement'!$B$328</definedName>
    <definedName name="AR_Letters">'Active to Retirement'!$B$364</definedName>
    <definedName name="AR_Members_Pension">'Active to Retirement'!$B$84</definedName>
    <definedName name="AR_Tranches">'Active to Retirement'!$B$91</definedName>
    <definedName name="AR_Writeback">'Active to Retirement'!$B$413</definedName>
    <definedName name="avc_commutation_type_1">'Scheme Definitions'!#REF!</definedName>
    <definedName name="avc_commutation_type_10">'Scheme Definitions'!#REF!</definedName>
    <definedName name="avc_commutation_type_11">'Scheme Definitions'!#REF!</definedName>
    <definedName name="avc_commutation_type_12">'Scheme Definitions'!#REF!</definedName>
    <definedName name="avc_commutation_type_13">'Scheme Definitions'!#REF!</definedName>
    <definedName name="avc_commutation_type_14">'Scheme Definitions'!#REF!</definedName>
    <definedName name="avc_commutation_type_15">'Scheme Definitions'!#REF!</definedName>
    <definedName name="avc_commutation_type_16">'Scheme Definitions'!#REF!</definedName>
    <definedName name="avc_commutation_type_17">'Scheme Definitions'!#REF!</definedName>
    <definedName name="avc_commutation_type_18">'Scheme Definitions'!#REF!</definedName>
    <definedName name="avc_commutation_type_19">'Scheme Definitions'!#REF!</definedName>
    <definedName name="avc_commutation_type_2">'Scheme Definitions'!#REF!</definedName>
    <definedName name="avc_commutation_type_20">'Scheme Definitions'!#REF!</definedName>
    <definedName name="avc_commutation_type_21">'Scheme Definitions'!#REF!</definedName>
    <definedName name="avc_commutation_type_22">'Scheme Definitions'!#REF!</definedName>
    <definedName name="avc_commutation_type_23">'Scheme Definitions'!#REF!</definedName>
    <definedName name="avc_commutation_type_24">'Scheme Definitions'!#REF!</definedName>
    <definedName name="avc_commutation_type_25">'Scheme Definitions'!#REF!</definedName>
    <definedName name="avc_commutation_type_26">'Scheme Definitions'!#REF!</definedName>
    <definedName name="avc_commutation_type_27">'Scheme Definitions'!#REF!</definedName>
    <definedName name="avc_commutation_type_28">'Scheme Definitions'!#REF!</definedName>
    <definedName name="avc_commutation_type_29">'Scheme Definitions'!#REF!</definedName>
    <definedName name="avc_commutation_type_3">'Scheme Definitions'!#REF!</definedName>
    <definedName name="avc_commutation_type_30">'Scheme Definitions'!#REF!</definedName>
    <definedName name="avc_commutation_type_4">'Scheme Definitions'!#REF!</definedName>
    <definedName name="avc_commutation_type_5">'Scheme Definitions'!#REF!</definedName>
    <definedName name="avc_commutation_type_6">'Scheme Definitions'!#REF!</definedName>
    <definedName name="avc_commutation_type_7">'Scheme Definitions'!#REF!</definedName>
    <definedName name="avc_commutation_type_8">'Scheme Definitions'!#REF!</definedName>
    <definedName name="avc_commutation_type_9">'Scheme Definitions'!#REF!</definedName>
    <definedName name="avc_proportion_1">'Scheme Definitions'!#REF!</definedName>
    <definedName name="avc_proportion_10">'Scheme Definitions'!#REF!</definedName>
    <definedName name="avc_proportion_11">'Scheme Definitions'!#REF!</definedName>
    <definedName name="avc_proportion_12">'Scheme Definitions'!#REF!</definedName>
    <definedName name="avc_proportion_13">'Scheme Definitions'!#REF!</definedName>
    <definedName name="avc_proportion_14">'Scheme Definitions'!#REF!</definedName>
    <definedName name="avc_proportion_15">'Scheme Definitions'!#REF!</definedName>
    <definedName name="avc_proportion_16">'Scheme Definitions'!#REF!</definedName>
    <definedName name="avc_proportion_17">'Scheme Definitions'!#REF!</definedName>
    <definedName name="avc_proportion_18">'Scheme Definitions'!#REF!</definedName>
    <definedName name="avc_proportion_19">'Scheme Definitions'!#REF!</definedName>
    <definedName name="avc_proportion_2">'Scheme Definitions'!#REF!</definedName>
    <definedName name="avc_proportion_20">'Scheme Definitions'!#REF!</definedName>
    <definedName name="avc_proportion_21">'Scheme Definitions'!#REF!</definedName>
    <definedName name="avc_proportion_22">'Scheme Definitions'!#REF!</definedName>
    <definedName name="avc_proportion_23">'Scheme Definitions'!#REF!</definedName>
    <definedName name="avc_proportion_24">'Scheme Definitions'!#REF!</definedName>
    <definedName name="avc_proportion_25">'Scheme Definitions'!#REF!</definedName>
    <definedName name="avc_proportion_26">'Scheme Definitions'!#REF!</definedName>
    <definedName name="avc_proportion_27">'Scheme Definitions'!#REF!</definedName>
    <definedName name="avc_proportion_28">'Scheme Definitions'!#REF!</definedName>
    <definedName name="avc_proportion_29">'Scheme Definitions'!#REF!</definedName>
    <definedName name="avc_proportion_3">'Scheme Definitions'!#REF!</definedName>
    <definedName name="avc_proportion_30">'Scheme Definitions'!#REF!</definedName>
    <definedName name="avc_proportion_4">'Scheme Definitions'!#REF!</definedName>
    <definedName name="avc_proportion_5">'Scheme Definitions'!#REF!</definedName>
    <definedName name="avc_proportion_6">'Scheme Definitions'!#REF!</definedName>
    <definedName name="avc_proportion_7">'Scheme Definitions'!#REF!</definedName>
    <definedName name="avc_proportion_8">'Scheme Definitions'!#REF!</definedName>
    <definedName name="avc_proportion_9">'Scheme Definitions'!#REF!</definedName>
    <definedName name="AVCs">'Scheme Definitions'!$B$940</definedName>
    <definedName name="calculation_output">'Benefit Statements'!$B$353</definedName>
    <definedName name="Career_Average_Revalued_Earnings__CARE">'Scheme Definitions'!$B$156</definedName>
    <definedName name="Categories___Sections_of_Membership_Covered">'Benefit Statements'!$B$40</definedName>
    <definedName name="Change_History">'Scheme Definitions'!#REF!</definedName>
    <definedName name="Children_s_Benefits">'Scheme Definitions'!$B$1166</definedName>
    <definedName name="civil_partner_service_type_1">'Scheme Definitions'!#REF!</definedName>
    <definedName name="civil_partner_service_type_10">'Scheme Definitions'!#REF!</definedName>
    <definedName name="civil_partner_service_type_11">'Scheme Definitions'!#REF!</definedName>
    <definedName name="civil_partner_service_type_12">'Scheme Definitions'!#REF!</definedName>
    <definedName name="civil_partner_service_type_13">'Scheme Definitions'!#REF!</definedName>
    <definedName name="civil_partner_service_type_14">'Scheme Definitions'!#REF!</definedName>
    <definedName name="civil_partner_service_type_15">'Scheme Definitions'!#REF!</definedName>
    <definedName name="civil_partner_service_type_16">'Scheme Definitions'!#REF!</definedName>
    <definedName name="civil_partner_service_type_17">'Scheme Definitions'!#REF!</definedName>
    <definedName name="civil_partner_service_type_18">'Scheme Definitions'!#REF!</definedName>
    <definedName name="civil_partner_service_type_19">'Scheme Definitions'!#REF!</definedName>
    <definedName name="civil_partner_service_type_2">'Scheme Definitions'!#REF!</definedName>
    <definedName name="civil_partner_service_type_20">'Scheme Definitions'!#REF!</definedName>
    <definedName name="civil_partner_service_type_21">'Scheme Definitions'!#REF!</definedName>
    <definedName name="civil_partner_service_type_22">'Scheme Definitions'!#REF!</definedName>
    <definedName name="civil_partner_service_type_23">'Scheme Definitions'!#REF!</definedName>
    <definedName name="civil_partner_service_type_24">'Scheme Definitions'!#REF!</definedName>
    <definedName name="civil_partner_service_type_25">'Scheme Definitions'!#REF!</definedName>
    <definedName name="civil_partner_service_type_26">'Scheme Definitions'!#REF!</definedName>
    <definedName name="civil_partner_service_type_27">'Scheme Definitions'!#REF!</definedName>
    <definedName name="civil_partner_service_type_28">'Scheme Definitions'!#REF!</definedName>
    <definedName name="civil_partner_service_type_29">'Scheme Definitions'!#REF!</definedName>
    <definedName name="civil_partner_service_type_3">'Scheme Definitions'!#REF!</definedName>
    <definedName name="civil_partner_service_type_30">'Scheme Definitions'!#REF!</definedName>
    <definedName name="civil_partner_service_type_4">'Scheme Definitions'!#REF!</definedName>
    <definedName name="civil_partner_service_type_5">'Scheme Definitions'!#REF!</definedName>
    <definedName name="civil_partner_service_type_6">'Scheme Definitions'!#REF!</definedName>
    <definedName name="civil_partner_service_type_7">'Scheme Definitions'!#REF!</definedName>
    <definedName name="civil_partner_service_type_8">'Scheme Definitions'!#REF!</definedName>
    <definedName name="civil_partner_service_type_9">'Scheme Definitions'!#REF!</definedName>
    <definedName name="Closed_DB">'Scheme Definitions'!$B$1294</definedName>
    <definedName name="COMM_DEFN">'Deferred to Retirement'!$B$1</definedName>
    <definedName name="Commutation">Factors!$B$442</definedName>
    <definedName name="Commutation_Residual_Pension">'Scheme Definitions'!$B$1005</definedName>
    <definedName name="commutation_type_1">'Scheme Definitions'!#REF!</definedName>
    <definedName name="commutation_type_10">'Scheme Definitions'!#REF!</definedName>
    <definedName name="commutation_type_11">'Scheme Definitions'!#REF!</definedName>
    <definedName name="commutation_type_12">'Scheme Definitions'!#REF!</definedName>
    <definedName name="commutation_type_13">'Scheme Definitions'!#REF!</definedName>
    <definedName name="commutation_type_14">'Scheme Definitions'!#REF!</definedName>
    <definedName name="commutation_type_15">'Scheme Definitions'!#REF!</definedName>
    <definedName name="commutation_type_16">'Scheme Definitions'!#REF!</definedName>
    <definedName name="commutation_type_17">'Scheme Definitions'!#REF!</definedName>
    <definedName name="commutation_type_18">'Scheme Definitions'!#REF!</definedName>
    <definedName name="commutation_type_19">'Scheme Definitions'!#REF!</definedName>
    <definedName name="commutation_type_2">'Scheme Definitions'!#REF!</definedName>
    <definedName name="commutation_type_20">'Scheme Definitions'!#REF!</definedName>
    <definedName name="commutation_type_21">'Scheme Definitions'!#REF!</definedName>
    <definedName name="commutation_type_22">'Scheme Definitions'!#REF!</definedName>
    <definedName name="commutation_type_23">'Scheme Definitions'!#REF!</definedName>
    <definedName name="commutation_type_24">'Scheme Definitions'!#REF!</definedName>
    <definedName name="commutation_type_25">'Scheme Definitions'!#REF!</definedName>
    <definedName name="commutation_type_26">'Scheme Definitions'!#REF!</definedName>
    <definedName name="commutation_type_27">'Scheme Definitions'!#REF!</definedName>
    <definedName name="commutation_type_28">'Scheme Definitions'!#REF!</definedName>
    <definedName name="commutation_type_29">'Scheme Definitions'!#REF!</definedName>
    <definedName name="commutation_type_3">'Scheme Definitions'!#REF!</definedName>
    <definedName name="commutation_type_30">'Scheme Definitions'!#REF!</definedName>
    <definedName name="commutation_type_4">'Scheme Definitions'!#REF!</definedName>
    <definedName name="commutation_type_5">'Scheme Definitions'!#REF!</definedName>
    <definedName name="commutation_type_6">'Scheme Definitions'!#REF!</definedName>
    <definedName name="commutation_type_7">'Scheme Definitions'!#REF!</definedName>
    <definedName name="commutation_type_8">'Scheme Definitions'!#REF!</definedName>
    <definedName name="commutation_type_9">'Scheme Definitions'!#REF!</definedName>
    <definedName name="Contracted_Out">'Scheme Definitions'!$B$40</definedName>
    <definedName name="contracted_out_1">'Scheme Definitions'!#REF!</definedName>
    <definedName name="contracted_out_10">'Scheme Definitions'!#REF!</definedName>
    <definedName name="contracted_out_11">'Scheme Definitions'!#REF!</definedName>
    <definedName name="contracted_out_12">'Scheme Definitions'!#REF!</definedName>
    <definedName name="contracted_out_13">'Scheme Definitions'!#REF!</definedName>
    <definedName name="contracted_out_14">'Scheme Definitions'!#REF!</definedName>
    <definedName name="contracted_out_15">'Scheme Definitions'!#REF!</definedName>
    <definedName name="contracted_out_16">'Scheme Definitions'!#REF!</definedName>
    <definedName name="contracted_out_17">'Scheme Definitions'!#REF!</definedName>
    <definedName name="contracted_out_18">'Scheme Definitions'!#REF!</definedName>
    <definedName name="contracted_out_19">'Scheme Definitions'!#REF!</definedName>
    <definedName name="contracted_out_2">'Scheme Definitions'!#REF!</definedName>
    <definedName name="contracted_out_20">'Scheme Definitions'!#REF!</definedName>
    <definedName name="contracted_out_21">'Scheme Definitions'!#REF!</definedName>
    <definedName name="contracted_out_22">'Scheme Definitions'!#REF!</definedName>
    <definedName name="contracted_out_23">'Scheme Definitions'!#REF!</definedName>
    <definedName name="contracted_out_24">'Scheme Definitions'!#REF!</definedName>
    <definedName name="contracted_out_25">'Scheme Definitions'!#REF!</definedName>
    <definedName name="contracted_out_26">'Scheme Definitions'!#REF!</definedName>
    <definedName name="contracted_out_27">'Scheme Definitions'!#REF!</definedName>
    <definedName name="contracted_out_28">'Scheme Definitions'!#REF!</definedName>
    <definedName name="contracted_out_29">'Scheme Definitions'!#REF!</definedName>
    <definedName name="contracted_out_3">'Scheme Definitions'!#REF!</definedName>
    <definedName name="contracted_out_30">'Scheme Definitions'!#REF!</definedName>
    <definedName name="contracted_out_4">'Scheme Definitions'!#REF!</definedName>
    <definedName name="contracted_out_5">'Scheme Definitions'!#REF!</definedName>
    <definedName name="contracted_out_6">'Scheme Definitions'!#REF!</definedName>
    <definedName name="contracted_out_7">'Scheme Definitions'!#REF!</definedName>
    <definedName name="contracted_out_8">'Scheme Definitions'!#REF!</definedName>
    <definedName name="contracted_out_9">'Scheme Definitions'!#REF!</definedName>
    <definedName name="contracted_out_type_1">'Scheme Definitions'!#REF!</definedName>
    <definedName name="contracted_out_type_10">'Scheme Definitions'!#REF!</definedName>
    <definedName name="contracted_out_type_11">'Scheme Definitions'!#REF!</definedName>
    <definedName name="contracted_out_type_12">'Scheme Definitions'!#REF!</definedName>
    <definedName name="contracted_out_type_13">'Scheme Definitions'!#REF!</definedName>
    <definedName name="contracted_out_type_14">'Scheme Definitions'!#REF!</definedName>
    <definedName name="contracted_out_type_15">'Scheme Definitions'!#REF!</definedName>
    <definedName name="contracted_out_type_16">'Scheme Definitions'!#REF!</definedName>
    <definedName name="contracted_out_type_17">'Scheme Definitions'!#REF!</definedName>
    <definedName name="contracted_out_type_18">'Scheme Definitions'!#REF!</definedName>
    <definedName name="contracted_out_type_19">'Scheme Definitions'!#REF!</definedName>
    <definedName name="contracted_out_type_2">'Scheme Definitions'!#REF!</definedName>
    <definedName name="contracted_out_type_20">'Scheme Definitions'!#REF!</definedName>
    <definedName name="contracted_out_type_21">'Scheme Definitions'!#REF!</definedName>
    <definedName name="contracted_out_type_22">'Scheme Definitions'!#REF!</definedName>
    <definedName name="contracted_out_type_23">'Scheme Definitions'!#REF!</definedName>
    <definedName name="contracted_out_type_24">'Scheme Definitions'!#REF!</definedName>
    <definedName name="contracted_out_type_25">'Scheme Definitions'!#REF!</definedName>
    <definedName name="contracted_out_type_26">'Scheme Definitions'!#REF!</definedName>
    <definedName name="contracted_out_type_27">'Scheme Definitions'!#REF!</definedName>
    <definedName name="contracted_out_type_28">'Scheme Definitions'!#REF!</definedName>
    <definedName name="contracted_out_type_29">'Scheme Definitions'!#REF!</definedName>
    <definedName name="contracted_out_type_3">'Scheme Definitions'!#REF!</definedName>
    <definedName name="contracted_out_type_30">'Scheme Definitions'!#REF!</definedName>
    <definedName name="contracted_out_type_4">'Scheme Definitions'!#REF!</definedName>
    <definedName name="contracted_out_type_5">'Scheme Definitions'!#REF!</definedName>
    <definedName name="contracted_out_type_6">'Scheme Definitions'!#REF!</definedName>
    <definedName name="contracted_out_type_7">'Scheme Definitions'!#REF!</definedName>
    <definedName name="contracted_out_type_8">'Scheme Definitions'!#REF!</definedName>
    <definedName name="contracted_out_type_9">'Scheme Definitions'!#REF!</definedName>
    <definedName name="D_Errors_Warnings">'Death Calculations'!$B$111</definedName>
    <definedName name="D_Letter">'Death Calculations'!$B$133</definedName>
    <definedName name="D_Writeback">'Death Calculations'!$B$149</definedName>
    <definedName name="dar_spouses_percentage_1">'Scheme Definitions'!#REF!</definedName>
    <definedName name="dar_spouses_percentage_10">'Scheme Definitions'!#REF!</definedName>
    <definedName name="dar_spouses_percentage_11">'Scheme Definitions'!#REF!</definedName>
    <definedName name="dar_spouses_percentage_12">'Scheme Definitions'!#REF!</definedName>
    <definedName name="dar_spouses_percentage_13">'Scheme Definitions'!#REF!</definedName>
    <definedName name="dar_spouses_percentage_14">'Scheme Definitions'!#REF!</definedName>
    <definedName name="dar_spouses_percentage_15">'Scheme Definitions'!#REF!</definedName>
    <definedName name="dar_spouses_percentage_16">'Scheme Definitions'!#REF!</definedName>
    <definedName name="dar_spouses_percentage_17">'Scheme Definitions'!#REF!</definedName>
    <definedName name="dar_spouses_percentage_18">'Scheme Definitions'!#REF!</definedName>
    <definedName name="dar_spouses_percentage_19">'Scheme Definitions'!#REF!</definedName>
    <definedName name="dar_spouses_percentage_2">'Scheme Definitions'!#REF!</definedName>
    <definedName name="dar_spouses_percentage_20">'Scheme Definitions'!#REF!</definedName>
    <definedName name="dar_spouses_percentage_21">'Scheme Definitions'!#REF!</definedName>
    <definedName name="dar_spouses_percentage_22">'Scheme Definitions'!#REF!</definedName>
    <definedName name="dar_spouses_percentage_23">'Scheme Definitions'!#REF!</definedName>
    <definedName name="dar_spouses_percentage_24">'Scheme Definitions'!#REF!</definedName>
    <definedName name="dar_spouses_percentage_25">'Scheme Definitions'!#REF!</definedName>
    <definedName name="dar_spouses_percentage_26">'Scheme Definitions'!#REF!</definedName>
    <definedName name="dar_spouses_percentage_27">'Scheme Definitions'!#REF!</definedName>
    <definedName name="dar_spouses_percentage_28">'Scheme Definitions'!#REF!</definedName>
    <definedName name="dar_spouses_percentage_29">'Scheme Definitions'!#REF!</definedName>
    <definedName name="dar_spouses_percentage_3">'Scheme Definitions'!#REF!</definedName>
    <definedName name="dar_spouses_percentage_30">'Scheme Definitions'!#REF!</definedName>
    <definedName name="dar_spouses_percentage_4">'Scheme Definitions'!#REF!</definedName>
    <definedName name="dar_spouses_percentage_5">'Scheme Definitions'!#REF!</definedName>
    <definedName name="dar_spouses_percentage_6">'Scheme Definitions'!#REF!</definedName>
    <definedName name="dar_spouses_percentage_7">'Scheme Definitions'!#REF!</definedName>
    <definedName name="dar_spouses_percentage_8">'Scheme Definitions'!#REF!</definedName>
    <definedName name="dar_spouses_percentage_9">'Scheme Definitions'!#REF!</definedName>
    <definedName name="DC">'Scheme Definitions'!$B$963</definedName>
    <definedName name="Death_in_Deferment">'Death Calculations'!$B$94</definedName>
    <definedName name="Death_in_Retirement">'Death Calculations'!$B$44</definedName>
    <definedName name="Death_in_Service">'Death Calculations'!$B$76</definedName>
    <definedName name="death_lump_sum_multiple_1">'Scheme Definitions'!#REF!</definedName>
    <definedName name="death_lump_sum_multiple_10">'Scheme Definitions'!#REF!</definedName>
    <definedName name="death_lump_sum_multiple_11">'Scheme Definitions'!#REF!</definedName>
    <definedName name="death_lump_sum_multiple_12">'Scheme Definitions'!#REF!</definedName>
    <definedName name="death_lump_sum_multiple_13">'Scheme Definitions'!#REF!</definedName>
    <definedName name="death_lump_sum_multiple_14">'Scheme Definitions'!#REF!</definedName>
    <definedName name="death_lump_sum_multiple_15">'Scheme Definitions'!#REF!</definedName>
    <definedName name="death_lump_sum_multiple_16">'Scheme Definitions'!#REF!</definedName>
    <definedName name="death_lump_sum_multiple_17">'Scheme Definitions'!#REF!</definedName>
    <definedName name="death_lump_sum_multiple_18">'Scheme Definitions'!#REF!</definedName>
    <definedName name="death_lump_sum_multiple_19">'Scheme Definitions'!#REF!</definedName>
    <definedName name="death_lump_sum_multiple_2">'Scheme Definitions'!#REF!</definedName>
    <definedName name="death_lump_sum_multiple_20">'Scheme Definitions'!#REF!</definedName>
    <definedName name="death_lump_sum_multiple_21">'Scheme Definitions'!#REF!</definedName>
    <definedName name="death_lump_sum_multiple_22">'Scheme Definitions'!#REF!</definedName>
    <definedName name="death_lump_sum_multiple_23">'Scheme Definitions'!#REF!</definedName>
    <definedName name="death_lump_sum_multiple_24">'Scheme Definitions'!#REF!</definedName>
    <definedName name="death_lump_sum_multiple_25">'Scheme Definitions'!#REF!</definedName>
    <definedName name="death_lump_sum_multiple_26">'Scheme Definitions'!#REF!</definedName>
    <definedName name="death_lump_sum_multiple_27">'Scheme Definitions'!#REF!</definedName>
    <definedName name="death_lump_sum_multiple_28">'Scheme Definitions'!#REF!</definedName>
    <definedName name="death_lump_sum_multiple_29">'Scheme Definitions'!#REF!</definedName>
    <definedName name="death_lump_sum_multiple_3">'Scheme Definitions'!#REF!</definedName>
    <definedName name="death_lump_sum_multiple_30">'Scheme Definitions'!#REF!</definedName>
    <definedName name="death_lump_sum_multiple_4">'Scheme Definitions'!#REF!</definedName>
    <definedName name="death_lump_sum_multiple_5">'Scheme Definitions'!#REF!</definedName>
    <definedName name="death_lump_sum_multiple_6">'Scheme Definitions'!#REF!</definedName>
    <definedName name="death_lump_sum_multiple_7">'Scheme Definitions'!#REF!</definedName>
    <definedName name="death_lump_sum_multiple_8">'Scheme Definitions'!#REF!</definedName>
    <definedName name="death_lump_sum_multiple_9">'Scheme Definitions'!#REF!</definedName>
    <definedName name="Death_Lump_Sums">'Scheme Definitions'!$B$1116</definedName>
    <definedName name="DeferredPost88GMP">'Deferred Elements'!$C:$C</definedName>
    <definedName name="DeferredPre88GMP">'Deferred Elements'!$B:$B</definedName>
    <definedName name="DeferredXSElements">'Deferred Elements'!$A:$A</definedName>
    <definedName name="DR_Categories">'Deferred to Retirement'!$B$43</definedName>
    <definedName name="DR_Errors_Warning">'Deferred to Retirement'!$B$326</definedName>
    <definedName name="DR_Letters">'Deferred to Retirement'!$B$362</definedName>
    <definedName name="DR_Members_Pension">'Deferred to Retirement'!$B$84</definedName>
    <definedName name="DR_Tranches">'Deferred to Retirement'!$B$90</definedName>
    <definedName name="DR_Writeback">'Deferred to Retirement'!$B$412</definedName>
    <definedName name="ERF">Factors!$B$10</definedName>
    <definedName name="ERFactors">#REF!</definedName>
    <definedName name="Escalation">'Scheme Definitions'!$B$668</definedName>
    <definedName name="Final_Pensionable_Salary">'Scheme Definitions'!$B$177</definedName>
    <definedName name="FPSDef">'Final Pensionable Salary'!$B:$B</definedName>
    <definedName name="FPSNum">'Final Pensionable Salary'!$A:$A</definedName>
    <definedName name="General_Details">'Pension Increases'!$B$45</definedName>
    <definedName name="gmp_revaluation_rate_1">'Scheme Definitions'!#REF!</definedName>
    <definedName name="gmp_revaluation_rate_10">'Scheme Definitions'!#REF!</definedName>
    <definedName name="gmp_revaluation_rate_11">'Scheme Definitions'!#REF!</definedName>
    <definedName name="gmp_revaluation_rate_12">'Scheme Definitions'!#REF!</definedName>
    <definedName name="gmp_revaluation_rate_13">'Scheme Definitions'!#REF!</definedName>
    <definedName name="gmp_revaluation_rate_14">'Scheme Definitions'!#REF!</definedName>
    <definedName name="gmp_revaluation_rate_15">'Scheme Definitions'!#REF!</definedName>
    <definedName name="gmp_revaluation_rate_16">'Scheme Definitions'!#REF!</definedName>
    <definedName name="gmp_revaluation_rate_17">'Scheme Definitions'!#REF!</definedName>
    <definedName name="gmp_revaluation_rate_18">'Scheme Definitions'!#REF!</definedName>
    <definedName name="gmp_revaluation_rate_19">'Scheme Definitions'!#REF!</definedName>
    <definedName name="gmp_revaluation_rate_2">'Scheme Definitions'!#REF!</definedName>
    <definedName name="gmp_revaluation_rate_20">'Scheme Definitions'!#REF!</definedName>
    <definedName name="gmp_revaluation_rate_21">'Scheme Definitions'!#REF!</definedName>
    <definedName name="gmp_revaluation_rate_22">'Scheme Definitions'!#REF!</definedName>
    <definedName name="gmp_revaluation_rate_23">'Scheme Definitions'!#REF!</definedName>
    <definedName name="gmp_revaluation_rate_24">'Scheme Definitions'!#REF!</definedName>
    <definedName name="gmp_revaluation_rate_25">'Scheme Definitions'!#REF!</definedName>
    <definedName name="gmp_revaluation_rate_26">'Scheme Definitions'!#REF!</definedName>
    <definedName name="gmp_revaluation_rate_27">'Scheme Definitions'!#REF!</definedName>
    <definedName name="gmp_revaluation_rate_28">'Scheme Definitions'!#REF!</definedName>
    <definedName name="gmp_revaluation_rate_29">'Scheme Definitions'!#REF!</definedName>
    <definedName name="gmp_revaluation_rate_3">'Scheme Definitions'!#REF!</definedName>
    <definedName name="gmp_revaluation_rate_30">'Scheme Definitions'!#REF!</definedName>
    <definedName name="gmp_revaluation_rate_4">'Scheme Definitions'!#REF!</definedName>
    <definedName name="gmp_revaluation_rate_5">'Scheme Definitions'!#REF!</definedName>
    <definedName name="gmp_revaluation_rate_6">'Scheme Definitions'!#REF!</definedName>
    <definedName name="gmp_revaluation_rate_7">'Scheme Definitions'!#REF!</definedName>
    <definedName name="gmp_revaluation_rate_8">'Scheme Definitions'!#REF!</definedName>
    <definedName name="gmp_revaluation_rate_9">'Scheme Definitions'!#REF!</definedName>
    <definedName name="GMP_Test">'Scheme Definitions'!$B$920</definedName>
    <definedName name="Groups">'Pension Increases'!$B$34</definedName>
    <definedName name="Hide_AD_Tranches_1">'Active to Deferred'!$90:$111</definedName>
    <definedName name="Hide_AD_Tranches_10">'Active to Deferred'!#REF!</definedName>
    <definedName name="Hide_AD_Tranches_11">'Active to Deferred'!#REF!</definedName>
    <definedName name="Hide_AD_Tranches_12">'Active to Deferred'!#REF!</definedName>
    <definedName name="Hide_AD_Tranches_13">'Active to Deferred'!#REF!</definedName>
    <definedName name="Hide_AD_Tranches_14">'Active to Deferred'!#REF!</definedName>
    <definedName name="Hide_AD_Tranches_15">'Active to Deferred'!#REF!</definedName>
    <definedName name="Hide_AD_Tranches_16">'Active to Deferred'!#REF!</definedName>
    <definedName name="Hide_AD_Tranches_17">'Active to Deferred'!#REF!</definedName>
    <definedName name="Hide_AD_Tranches_18">'Active to Deferred'!#REF!</definedName>
    <definedName name="Hide_AD_Tranches_19">'Active to Deferred'!#REF!</definedName>
    <definedName name="Hide_AD_Tranches_2">'Active to Deferred'!#REF!</definedName>
    <definedName name="Hide_AD_Tranches_20">'Active to Deferred'!#REF!</definedName>
    <definedName name="Hide_AD_Tranches_21">'Active to Deferred'!#REF!</definedName>
    <definedName name="Hide_AD_Tranches_22">'Active to Deferred'!#REF!</definedName>
    <definedName name="Hide_AD_Tranches_23">'Active to Deferred'!#REF!</definedName>
    <definedName name="Hide_AD_Tranches_24">'Active to Deferred'!#REF!</definedName>
    <definedName name="Hide_AD_Tranches_25">'Active to Deferred'!#REF!</definedName>
    <definedName name="Hide_AD_Tranches_26">'Active to Deferred'!#REF!</definedName>
    <definedName name="Hide_AD_Tranches_27">'Active to Deferred'!#REF!</definedName>
    <definedName name="Hide_AD_Tranches_28">'Active to Deferred'!#REF!</definedName>
    <definedName name="Hide_AD_Tranches_29">'Active to Deferred'!#REF!</definedName>
    <definedName name="Hide_AD_Tranches_3">'Active to Deferred'!#REF!</definedName>
    <definedName name="Hide_AD_Tranches_30">'Active to Deferred'!#REF!</definedName>
    <definedName name="Hide_AD_Tranches_4">'Active to Deferred'!#REF!</definedName>
    <definedName name="Hide_AD_Tranches_5">'Active to Deferred'!#REF!</definedName>
    <definedName name="Hide_AD_Tranches_6">'Active to Deferred'!#REF!</definedName>
    <definedName name="Hide_AD_Tranches_7">'Active to Deferred'!#REF!</definedName>
    <definedName name="Hide_AD_Tranches_8">'Active to Deferred'!#REF!</definedName>
    <definedName name="Hide_AD_Tranches_9">'Active to Deferred'!#REF!</definedName>
    <definedName name="Hide_AR_Tranches_1">'Active to Retirement'!$94:$116</definedName>
    <definedName name="Hide_AR_Tranches_10">'Active to Retirement'!#REF!</definedName>
    <definedName name="Hide_AR_Tranches_11">'Active to Retirement'!#REF!</definedName>
    <definedName name="Hide_AR_Tranches_12">'Active to Retirement'!#REF!</definedName>
    <definedName name="Hide_AR_Tranches_13">'Active to Retirement'!#REF!</definedName>
    <definedName name="Hide_AR_Tranches_14">'Active to Retirement'!#REF!</definedName>
    <definedName name="Hide_AR_Tranches_15">'Active to Retirement'!#REF!</definedName>
    <definedName name="Hide_AR_Tranches_16">'Active to Retirement'!#REF!</definedName>
    <definedName name="Hide_AR_Tranches_17">'Active to Retirement'!#REF!</definedName>
    <definedName name="Hide_AR_Tranches_18">'Active to Retirement'!#REF!</definedName>
    <definedName name="Hide_AR_Tranches_19">'Active to Retirement'!#REF!</definedName>
    <definedName name="Hide_AR_Tranches_2">'Active to Retirement'!#REF!</definedName>
    <definedName name="Hide_AR_Tranches_20">'Active to Retirement'!#REF!</definedName>
    <definedName name="Hide_AR_Tranches_21">'Active to Retirement'!#REF!</definedName>
    <definedName name="Hide_AR_Tranches_22">'Active to Retirement'!#REF!</definedName>
    <definedName name="Hide_AR_Tranches_23">'Active to Retirement'!#REF!</definedName>
    <definedName name="Hide_AR_Tranches_24">'Active to Retirement'!#REF!</definedName>
    <definedName name="Hide_AR_Tranches_25">'Active to Retirement'!#REF!</definedName>
    <definedName name="Hide_AR_Tranches_26">'Active to Retirement'!#REF!</definedName>
    <definedName name="Hide_AR_Tranches_27">'Active to Retirement'!#REF!</definedName>
    <definedName name="Hide_AR_Tranches_28">'Active to Retirement'!#REF!</definedName>
    <definedName name="Hide_AR_Tranches_29">'Active to Retirement'!#REF!</definedName>
    <definedName name="Hide_AR_Tranches_3">'Active to Retirement'!#REF!</definedName>
    <definedName name="Hide_AR_Tranches_30">'Active to Retirement'!#REF!</definedName>
    <definedName name="Hide_AR_Tranches_4">'Active to Retirement'!#REF!</definedName>
    <definedName name="Hide_AR_Tranches_5">'Active to Retirement'!#REF!</definedName>
    <definedName name="Hide_AR_Tranches_6">'Active to Retirement'!#REF!</definedName>
    <definedName name="Hide_AR_Tranches_7">'Active to Retirement'!#REF!</definedName>
    <definedName name="Hide_AR_Tranches_8">'Active to Retirement'!#REF!</definedName>
    <definedName name="Hide_AR_Tranches_9">'Active to Retirement'!#REF!</definedName>
    <definedName name="Hide_BS_Tranches_1">'Benefit Statements'!$92:$113</definedName>
    <definedName name="Hide_BS_Tranches_10">'Benefit Statements'!#REF!</definedName>
    <definedName name="Hide_BS_Tranches_11">'Benefit Statements'!#REF!</definedName>
    <definedName name="Hide_BS_Tranches_12">'Benefit Statements'!#REF!</definedName>
    <definedName name="Hide_BS_Tranches_13">'Benefit Statements'!#REF!</definedName>
    <definedName name="Hide_BS_Tranches_14">'Benefit Statements'!#REF!</definedName>
    <definedName name="Hide_BS_Tranches_15">'Benefit Statements'!#REF!</definedName>
    <definedName name="Hide_BS_Tranches_16">'Benefit Statements'!#REF!</definedName>
    <definedName name="Hide_BS_Tranches_17">'Benefit Statements'!#REF!</definedName>
    <definedName name="Hide_BS_Tranches_18">'Benefit Statements'!#REF!</definedName>
    <definedName name="Hide_BS_Tranches_19">'Benefit Statements'!#REF!</definedName>
    <definedName name="Hide_BS_Tranches_2">'Benefit Statements'!#REF!</definedName>
    <definedName name="Hide_BS_Tranches_20">'Benefit Statements'!#REF!</definedName>
    <definedName name="Hide_BS_Tranches_21">'Benefit Statements'!#REF!</definedName>
    <definedName name="Hide_BS_Tranches_22">'Benefit Statements'!#REF!</definedName>
    <definedName name="Hide_BS_Tranches_23">'Benefit Statements'!#REF!</definedName>
    <definedName name="Hide_BS_Tranches_24">'Benefit Statements'!#REF!</definedName>
    <definedName name="Hide_BS_Tranches_25">'Benefit Statements'!#REF!</definedName>
    <definedName name="Hide_BS_Tranches_26">'Benefit Statements'!#REF!</definedName>
    <definedName name="Hide_BS_Tranches_27">'Benefit Statements'!#REF!</definedName>
    <definedName name="Hide_BS_Tranches_28">'Benefit Statements'!#REF!</definedName>
    <definedName name="Hide_BS_Tranches_29">'Benefit Statements'!#REF!</definedName>
    <definedName name="Hide_BS_Tranches_3">'Benefit Statements'!#REF!</definedName>
    <definedName name="Hide_BS_Tranches_30">'Benefit Statements'!#REF!</definedName>
    <definedName name="Hide_BS_Tranches_4">'Benefit Statements'!#REF!</definedName>
    <definedName name="Hide_BS_Tranches_5">'Benefit Statements'!#REF!</definedName>
    <definedName name="Hide_BS_Tranches_6">'Benefit Statements'!#REF!</definedName>
    <definedName name="Hide_BS_Tranches_7">'Benefit Statements'!#REF!</definedName>
    <definedName name="Hide_BS_Tranches_8">'Benefit Statements'!#REF!</definedName>
    <definedName name="Hide_BS_Tranches_9">'Benefit Statements'!#REF!</definedName>
    <definedName name="Hide_DR_Tranches_1">'Deferred to Retirement'!$92:$114</definedName>
    <definedName name="Hide_DR_Tranches_10">'Deferred to Retirement'!#REF!</definedName>
    <definedName name="Hide_DR_Tranches_11">'Deferred to Retirement'!#REF!</definedName>
    <definedName name="Hide_DR_Tranches_12">'Deferred to Retirement'!#REF!</definedName>
    <definedName name="Hide_DR_Tranches_13">'Deferred to Retirement'!#REF!</definedName>
    <definedName name="Hide_DR_Tranches_14">'Deferred to Retirement'!#REF!</definedName>
    <definedName name="Hide_DR_Tranches_15">'Deferred to Retirement'!#REF!</definedName>
    <definedName name="Hide_DR_Tranches_16">'Deferred to Retirement'!#REF!</definedName>
    <definedName name="Hide_DR_Tranches_17">'Deferred to Retirement'!#REF!</definedName>
    <definedName name="Hide_DR_Tranches_18">'Deferred to Retirement'!#REF!</definedName>
    <definedName name="Hide_DR_Tranches_19">'Deferred to Retirement'!#REF!</definedName>
    <definedName name="Hide_DR_Tranches_2">'Deferred to Retirement'!#REF!</definedName>
    <definedName name="Hide_DR_Tranches_20">'Deferred to Retirement'!#REF!</definedName>
    <definedName name="Hide_DR_Tranches_21">'Deferred to Retirement'!#REF!</definedName>
    <definedName name="Hide_DR_Tranches_22">'Deferred to Retirement'!#REF!</definedName>
    <definedName name="Hide_DR_Tranches_23">'Deferred to Retirement'!#REF!</definedName>
    <definedName name="Hide_DR_Tranches_24">'Deferred to Retirement'!#REF!</definedName>
    <definedName name="Hide_DR_Tranches_25">'Deferred to Retirement'!#REF!</definedName>
    <definedName name="Hide_DR_Tranches_26">'Deferred to Retirement'!#REF!</definedName>
    <definedName name="Hide_DR_Tranches_27">'Deferred to Retirement'!#REF!</definedName>
    <definedName name="Hide_DR_Tranches_28">'Deferred to Retirement'!#REF!</definedName>
    <definedName name="Hide_DR_Tranches_29">'Deferred to Retirement'!#REF!</definedName>
    <definedName name="Hide_DR_Tranches_3">'Deferred to Retirement'!#REF!</definedName>
    <definedName name="Hide_DR_Tranches_30">'Deferred to Retirement'!#REF!</definedName>
    <definedName name="Hide_DR_Tranches_4">'Deferred to Retirement'!#REF!</definedName>
    <definedName name="Hide_DR_Tranches_5">'Deferred to Retirement'!#REF!</definedName>
    <definedName name="Hide_DR_Tranches_6">'Deferred to Retirement'!#REF!</definedName>
    <definedName name="Hide_DR_Tranches_7">'Deferred to Retirement'!#REF!</definedName>
    <definedName name="Hide_DR_Tranches_8">'Deferred to Retirement'!#REF!</definedName>
    <definedName name="Hide_DR_Tranches_9">'Deferred to Retirement'!#REF!</definedName>
    <definedName name="Hide_SD_AdditionalCash">'Scheme Definitions'!$1024:$1053</definedName>
    <definedName name="Hide_SD_Avcs">'Scheme Definitions'!$940:$961</definedName>
    <definedName name="Hide_SD_CareComments" localSheetId="1">'Scheme Definitions'!$172:$175</definedName>
    <definedName name="Hide_SD_CareDetails">'Scheme Definitions'!$156:$171</definedName>
    <definedName name="Hide_SD_CategoryList">'Scheme Definitions'!$B$28</definedName>
    <definedName name="Hide_SD_Child">'Scheme Definitions'!$1166:$1239</definedName>
    <definedName name="Hide_SD_Closed">'Scheme Definitions'!$1294:$1298</definedName>
    <definedName name="Hide_SD_Commutation">'Scheme Definitions'!$1005:$1022</definedName>
    <definedName name="Hide_SD_ContractedOut">'Scheme Definitions'!#REF!</definedName>
    <definedName name="Hide_SD_COOutComments">'Scheme Definitions'!$112:$114</definedName>
    <definedName name="Hide_SD_DC">'Scheme Definitions'!$963:$982</definedName>
    <definedName name="Hide_SD_DeathComments">'Scheme Definitions'!$1159:$1162</definedName>
    <definedName name="Hide_SD_DeathDIR">'Scheme Definitions'!$1118:$1121</definedName>
    <definedName name="Hide_SD_DeathLSDetails">'Scheme Definitions'!$1116:$1159</definedName>
    <definedName name="Hide_SD_Escalation">'Scheme Definitions'!$668:$896</definedName>
    <definedName name="Hide_SD_Excalation_1">'Scheme Definitions'!$672:$891</definedName>
    <definedName name="Hide_SD_Excalation_10">'Scheme Definitions'!#REF!</definedName>
    <definedName name="Hide_SD_Excalation_11">'Scheme Definitions'!#REF!</definedName>
    <definedName name="Hide_SD_Excalation_12">'Scheme Definitions'!#REF!</definedName>
    <definedName name="Hide_SD_Excalation_13">'Scheme Definitions'!#REF!</definedName>
    <definedName name="Hide_SD_Excalation_14">'Scheme Definitions'!#REF!</definedName>
    <definedName name="Hide_SD_Excalation_15">'Scheme Definitions'!#REF!</definedName>
    <definedName name="Hide_SD_Excalation_16">'Scheme Definitions'!#REF!</definedName>
    <definedName name="Hide_SD_Excalation_17">'Scheme Definitions'!#REF!</definedName>
    <definedName name="Hide_SD_Excalation_18">'Scheme Definitions'!#REF!</definedName>
    <definedName name="Hide_SD_Excalation_19">'Scheme Definitions'!#REF!</definedName>
    <definedName name="Hide_SD_Excalation_2">'Scheme Definitions'!#REF!</definedName>
    <definedName name="Hide_SD_Excalation_20">'Scheme Definitions'!#REF!</definedName>
    <definedName name="Hide_SD_Excalation_21">'Scheme Definitions'!#REF!</definedName>
    <definedName name="Hide_SD_Excalation_22">'Scheme Definitions'!#REF!</definedName>
    <definedName name="Hide_SD_Excalation_23">'Scheme Definitions'!#REF!</definedName>
    <definedName name="Hide_SD_Excalation_24">'Scheme Definitions'!#REF!</definedName>
    <definedName name="Hide_SD_Excalation_25">'Scheme Definitions'!#REF!</definedName>
    <definedName name="Hide_SD_Excalation_26">'Scheme Definitions'!#REF!</definedName>
    <definedName name="Hide_SD_Excalation_27">'Scheme Definitions'!#REF!</definedName>
    <definedName name="Hide_SD_Excalation_28">'Scheme Definitions'!#REF!</definedName>
    <definedName name="Hide_SD_Excalation_29">'Scheme Definitions'!#REF!</definedName>
    <definedName name="Hide_SD_Excalation_3">'Scheme Definitions'!#REF!</definedName>
    <definedName name="Hide_SD_Excalation_30">'Scheme Definitions'!#REF!</definedName>
    <definedName name="Hide_SD_Excalation_4">'Scheme Definitions'!#REF!</definedName>
    <definedName name="Hide_SD_Excalation_5">'Scheme Definitions'!#REF!</definedName>
    <definedName name="Hide_SD_Excalation_6">'Scheme Definitions'!#REF!</definedName>
    <definedName name="Hide_SD_Excalation_7">'Scheme Definitions'!#REF!</definedName>
    <definedName name="Hide_SD_Excalation_8">'Scheme Definitions'!#REF!</definedName>
    <definedName name="Hide_SD_Excalation_9">'Scheme Definitions'!#REF!</definedName>
    <definedName name="Hide_SD_FPSComments">'Scheme Definitions'!$191:$192</definedName>
    <definedName name="Hide_SD_FPSInformation">'Scheme Definitions'!#REF!</definedName>
    <definedName name="Hide_SD_FPSNonStandard">'Scheme Definitions'!#REF!</definedName>
    <definedName name="Hide_SD_GmpTest">'Scheme Definitions'!$920:$938</definedName>
    <definedName name="Hide_SD_HistBenAPComments">'Scheme Definitions'!#REF!</definedName>
    <definedName name="Hide_SD_HistBenAPDetails">'Scheme Definitions'!#REF!</definedName>
    <definedName name="Hide_SD_HistBenAYComments">'Scheme Definitions'!$913:$916</definedName>
    <definedName name="Hide_SD_Information">'Scheme Definitions'!$7:$21</definedName>
    <definedName name="Hide_SD_NRA">'Scheme Definitions'!$B$121</definedName>
    <definedName name="Hide_SD_NRAComments">'Scheme Definitions'!$132:$134</definedName>
    <definedName name="Hide_SD_PartTimeComments">'Scheme Definitions'!#REF!</definedName>
    <definedName name="Hide_SD_PCLS">'Scheme Definitions'!$984:$1003</definedName>
    <definedName name="Hide_SD_PenSalComments">'Scheme Definitions'!$151:$153</definedName>
    <definedName name="Hide_SD_PenSalInformation">'Scheme Definitions'!#REF!</definedName>
    <definedName name="Hide_SD_PenServComments">'Scheme Definitions'!$389:$436</definedName>
    <definedName name="Hide_SD_PensionableService_1">'Scheme Definitions'!$214:$235</definedName>
    <definedName name="Hide_SD_PensionableService_10">'Scheme Definitions'!#REF!</definedName>
    <definedName name="Hide_SD_PensionableService_11">'Scheme Definitions'!#REF!</definedName>
    <definedName name="Hide_SD_PensionableService_12">'Scheme Definitions'!#REF!</definedName>
    <definedName name="Hide_SD_PensionableService_13">'Scheme Definitions'!#REF!</definedName>
    <definedName name="Hide_SD_PensionableService_14">'Scheme Definitions'!#REF!</definedName>
    <definedName name="Hide_SD_PensionableService_15">'Scheme Definitions'!#REF!</definedName>
    <definedName name="Hide_SD_PensionableService_16">'Scheme Definitions'!#REF!</definedName>
    <definedName name="Hide_SD_PensionableService_17">'Scheme Definitions'!#REF!</definedName>
    <definedName name="Hide_SD_PensionableService_18">'Scheme Definitions'!#REF!</definedName>
    <definedName name="Hide_SD_PensionableService_19">'Scheme Definitions'!#REF!</definedName>
    <definedName name="Hide_SD_PensionableService_2">'Scheme Definitions'!#REF!</definedName>
    <definedName name="Hide_SD_PensionableService_20">'Scheme Definitions'!#REF!</definedName>
    <definedName name="Hide_SD_PensionableService_21">'Scheme Definitions'!#REF!</definedName>
    <definedName name="Hide_SD_PensionableService_22">'Scheme Definitions'!#REF!</definedName>
    <definedName name="Hide_SD_PensionableService_23">'Scheme Definitions'!#REF!</definedName>
    <definedName name="Hide_SD_PensionableService_24">'Scheme Definitions'!#REF!</definedName>
    <definedName name="Hide_SD_PensionableService_25">'Scheme Definitions'!#REF!</definedName>
    <definedName name="Hide_SD_PensionableService_26">'Scheme Definitions'!#REF!</definedName>
    <definedName name="Hide_SD_PensionableService_27">'Scheme Definitions'!#REF!</definedName>
    <definedName name="Hide_SD_PensionableService_28">'Scheme Definitions'!#REF!</definedName>
    <definedName name="Hide_SD_PensionableService_29">'Scheme Definitions'!#REF!</definedName>
    <definedName name="Hide_SD_PensionableService_3">'Scheme Definitions'!#REF!</definedName>
    <definedName name="Hide_SD_PensionableService_30">'Scheme Definitions'!$389:$389</definedName>
    <definedName name="Hide_SD_PensionableService_4">'Scheme Definitions'!#REF!</definedName>
    <definedName name="Hide_SD_PensionableService_5">'Scheme Definitions'!#REF!</definedName>
    <definedName name="Hide_SD_PensionableService_6">'Scheme Definitions'!#REF!</definedName>
    <definedName name="Hide_SD_PensionableService_7">'Scheme Definitions'!#REF!</definedName>
    <definedName name="Hide_SD_PensionableService_8">'Scheme Definitions'!#REF!</definedName>
    <definedName name="Hide_SD_PensionableService_9">'Scheme Definitions'!#REF!</definedName>
    <definedName name="Hide_SD_Refund">'Scheme Definitions'!$1275:$1292</definedName>
    <definedName name="Hide_SD_Revaluation">'Scheme Definitions'!$439:$666</definedName>
    <definedName name="Hide_SD_Revaluation_1">'Scheme Definitions'!$443:$464</definedName>
    <definedName name="Hide_SD_Revaluation_10">'Scheme Definitions'!#REF!</definedName>
    <definedName name="Hide_SD_Revaluation_11">'Scheme Definitions'!#REF!</definedName>
    <definedName name="Hide_SD_Revaluation_12">'Scheme Definitions'!#REF!</definedName>
    <definedName name="Hide_SD_Revaluation_13">'Scheme Definitions'!#REF!</definedName>
    <definedName name="Hide_SD_Revaluation_14">'Scheme Definitions'!#REF!</definedName>
    <definedName name="Hide_SD_Revaluation_15">'Scheme Definitions'!#REF!</definedName>
    <definedName name="Hide_SD_Revaluation_16">'Scheme Definitions'!#REF!</definedName>
    <definedName name="Hide_SD_Revaluation_17">'Scheme Definitions'!#REF!</definedName>
    <definedName name="Hide_SD_Revaluation_18">'Scheme Definitions'!#REF!</definedName>
    <definedName name="Hide_SD_Revaluation_19">'Scheme Definitions'!#REF!</definedName>
    <definedName name="Hide_SD_Revaluation_2">'Scheme Definitions'!#REF!</definedName>
    <definedName name="Hide_SD_Revaluation_20">'Scheme Definitions'!#REF!</definedName>
    <definedName name="Hide_SD_Revaluation_21">'Scheme Definitions'!#REF!</definedName>
    <definedName name="Hide_SD_Revaluation_22">'Scheme Definitions'!#REF!</definedName>
    <definedName name="Hide_SD_Revaluation_23">'Scheme Definitions'!#REF!</definedName>
    <definedName name="Hide_SD_Revaluation_24">'Scheme Definitions'!#REF!</definedName>
    <definedName name="Hide_SD_Revaluation_25">'Scheme Definitions'!#REF!</definedName>
    <definedName name="Hide_SD_Revaluation_26">'Scheme Definitions'!#REF!</definedName>
    <definedName name="Hide_SD_Revaluation_27">'Scheme Definitions'!#REF!</definedName>
    <definedName name="Hide_SD_Revaluation_28">'Scheme Definitions'!#REF!</definedName>
    <definedName name="Hide_SD_Revaluation_29">'Scheme Definitions'!#REF!</definedName>
    <definedName name="Hide_SD_Revaluation_3">'Scheme Definitions'!#REF!</definedName>
    <definedName name="Hide_SD_Revaluation_30">'Scheme Definitions'!#REF!</definedName>
    <definedName name="Hide_SD_Revaluation_4">'Scheme Definitions'!#REF!</definedName>
    <definedName name="Hide_SD_Revaluation_5">'Scheme Definitions'!#REF!</definedName>
    <definedName name="Hide_SD_Revaluation_6">'Scheme Definitions'!#REF!</definedName>
    <definedName name="Hide_SD_Revaluation_7">'Scheme Definitions'!#REF!</definedName>
    <definedName name="Hide_SD_Revaluation_8">'Scheme Definitions'!#REF!</definedName>
    <definedName name="Hide_SD_Revaluation_9">'Scheme Definitions'!#REF!</definedName>
    <definedName name="Hide_SD_SpouseComments">'Scheme Definitions'!$1100:$1113</definedName>
    <definedName name="Hide_SD_SpouseDepBenDetails">'Scheme Definitions'!$1055:$1114</definedName>
    <definedName name="Hide_SD_SpouseDIR">'Scheme Definitions'!$1069:$1072</definedName>
    <definedName name="Hide_SD_TrivComm">'Scheme Definitions'!$1241:$1254</definedName>
    <definedName name="Hide_SD_TVOut">'Scheme Definitions'!$1256:$1273</definedName>
    <definedName name="Hide_TotalCategories">'Scheme Definitions'!$K$23</definedName>
    <definedName name="Historic_Benefits">'Scheme Definitions'!$B$898</definedName>
    <definedName name="Last_Years_Increases">'Pension Increases'!$B$85</definedName>
    <definedName name="Link_Filename">'Template Details'!$D$23</definedName>
    <definedName name="LRF">Factors!$B$226</definedName>
    <definedName name="LS_Accrued_Funds">Lifestyle!$B$251</definedName>
    <definedName name="LS_Fund_Choices">Lifestyle!$B$65</definedName>
    <definedName name="LS_General_Scheme_Lifestyle_Information">Lifestyle!$B$30</definedName>
    <definedName name="NRA">'Scheme Definitions'!$B$117</definedName>
    <definedName name="Part_Time">'Scheme Definitions'!#REF!</definedName>
    <definedName name="PCLS_Calculation">'Scheme Definitions'!$B$984</definedName>
    <definedName name="PENINC">'Pension Increase Rates'!$A:$A</definedName>
    <definedName name="Pension_Rounding">'Pension Increases'!#REF!</definedName>
    <definedName name="Pensionable_Salary">'Scheme Definitions'!$B$137</definedName>
    <definedName name="Pensionable_Service">'Scheme Definitions'!$B$195</definedName>
    <definedName name="PensionerElements">'Pensioner Elements'!$A:$A</definedName>
    <definedName name="PensionerPost88GMP">'Pensioner Elements'!$C:$C</definedName>
    <definedName name="PensionerPre88GMP">'Pensioner Elements'!$B:$B</definedName>
    <definedName name="PensionerXSElements">'Pensioner Elements'!$A:$A</definedName>
    <definedName name="_xlnm.Print_Area" localSheetId="4">'Active to Deferred'!$A$1:$X$417</definedName>
    <definedName name="_xlnm.Print_Area" localSheetId="3">'Benefit Statements'!$A$1:$S$380</definedName>
    <definedName name="_xlnm.Print_Area" localSheetId="6">'Deferred to Retirement'!$A$1:$U$447</definedName>
    <definedName name="_xlnm.Print_Area" localSheetId="8">'Pension Increases'!$A$1:$L$116</definedName>
    <definedName name="_xlnm.Print_Area" localSheetId="1">'Scheme Definitions'!$A$2:$U$1300</definedName>
    <definedName name="Proportionate_Increases">'Pension Increases'!#REF!</definedName>
    <definedName name="Refund_of_Contribution_Calculations">'Scheme Definitions'!$B$1275</definedName>
    <definedName name="Revaluation">'Scheme Definitions'!$B$439</definedName>
    <definedName name="SalaryType">'Salary Type'!$A:$A</definedName>
    <definedName name="Scheme_Categories">'Scheme Definitions'!$B$23</definedName>
    <definedName name="Scheme_Specific_Errors___Warnings">'Benefit Statements'!$B$316</definedName>
    <definedName name="SMPI_Assumptions">SMPI!$B$59</definedName>
    <definedName name="SMPI_Data">SMPI!$B$105</definedName>
    <definedName name="SMPI_Fund_Assumptions">SMPI!$B$87</definedName>
    <definedName name="SMPI_Output">SMPI!$B$119</definedName>
    <definedName name="SMPI_Parameters">SMPI!$B$31</definedName>
    <definedName name="Spouse_Dependants_Benefits">'Scheme Definitions'!$B$1055</definedName>
    <definedName name="Spouses_Reduction_Factor">Factors!$B$658</definedName>
    <definedName name="tranche_accrual_1">'Scheme Definitions'!$G$215:$G$234</definedName>
    <definedName name="tranche_accrual_10">'Scheme Definitions'!#REF!</definedName>
    <definedName name="tranche_accrual_11">'Scheme Definitions'!#REF!</definedName>
    <definedName name="tranche_accrual_12">'Scheme Definitions'!#REF!</definedName>
    <definedName name="tranche_accrual_13">'Scheme Definitions'!#REF!</definedName>
    <definedName name="tranche_accrual_14">'Scheme Definitions'!#REF!</definedName>
    <definedName name="tranche_accrual_15">'Scheme Definitions'!#REF!</definedName>
    <definedName name="tranche_accrual_16">'Scheme Definitions'!#REF!</definedName>
    <definedName name="tranche_accrual_17">'Scheme Definitions'!#REF!</definedName>
    <definedName name="tranche_accrual_18">'Scheme Definitions'!#REF!</definedName>
    <definedName name="tranche_accrual_19">'Scheme Definitions'!#REF!</definedName>
    <definedName name="tranche_accrual_2">'Scheme Definitions'!#REF!</definedName>
    <definedName name="tranche_accrual_20">'Scheme Definitions'!#REF!</definedName>
    <definedName name="tranche_accrual_21">'Scheme Definitions'!#REF!</definedName>
    <definedName name="tranche_accrual_22">'Scheme Definitions'!#REF!</definedName>
    <definedName name="tranche_accrual_23">'Scheme Definitions'!#REF!</definedName>
    <definedName name="tranche_accrual_24">'Scheme Definitions'!#REF!</definedName>
    <definedName name="tranche_accrual_25">'Scheme Definitions'!#REF!</definedName>
    <definedName name="tranche_accrual_26">'Scheme Definitions'!#REF!</definedName>
    <definedName name="tranche_accrual_27">'Scheme Definitions'!#REF!</definedName>
    <definedName name="tranche_accrual_28">'Scheme Definitions'!#REF!</definedName>
    <definedName name="tranche_accrual_29">'Scheme Definitions'!#REF!</definedName>
    <definedName name="tranche_accrual_3">'Scheme Definitions'!#REF!</definedName>
    <definedName name="tranche_accrual_30">'Scheme Definitions'!#REF!</definedName>
    <definedName name="tranche_accrual_4">'Scheme Definitions'!#REF!</definedName>
    <definedName name="tranche_accrual_5">'Scheme Definitions'!#REF!</definedName>
    <definedName name="tranche_accrual_6">'Scheme Definitions'!#REF!</definedName>
    <definedName name="tranche_accrual_7">'Scheme Definitions'!#REF!</definedName>
    <definedName name="tranche_accrual_8">'Scheme Definitions'!#REF!</definedName>
    <definedName name="tranche_accrual_9">'Scheme Definitions'!#REF!</definedName>
    <definedName name="tranche_end_date_1">'Scheme Definitions'!#REF!</definedName>
    <definedName name="tranche_end_date_10">'Scheme Definitions'!#REF!</definedName>
    <definedName name="tranche_end_date_11">'Scheme Definitions'!#REF!</definedName>
    <definedName name="tranche_end_date_12">'Scheme Definitions'!#REF!</definedName>
    <definedName name="tranche_end_date_13">'Scheme Definitions'!#REF!</definedName>
    <definedName name="tranche_end_date_14">'Scheme Definitions'!#REF!</definedName>
    <definedName name="tranche_end_date_15">'Scheme Definitions'!#REF!</definedName>
    <definedName name="tranche_end_date_16">'Scheme Definitions'!#REF!</definedName>
    <definedName name="tranche_end_date_17">'Scheme Definitions'!#REF!</definedName>
    <definedName name="tranche_end_date_18">'Scheme Definitions'!#REF!</definedName>
    <definedName name="tranche_end_date_19">'Scheme Definitions'!#REF!</definedName>
    <definedName name="tranche_end_date_2">'Scheme Definitions'!#REF!</definedName>
    <definedName name="tranche_end_date_20">'Scheme Definitions'!#REF!</definedName>
    <definedName name="tranche_end_date_21">'Scheme Definitions'!#REF!</definedName>
    <definedName name="tranche_end_date_22">'Scheme Definitions'!#REF!</definedName>
    <definedName name="tranche_end_date_23">'Scheme Definitions'!#REF!</definedName>
    <definedName name="tranche_end_date_24">'Scheme Definitions'!#REF!</definedName>
    <definedName name="tranche_end_date_25">'Scheme Definitions'!#REF!</definedName>
    <definedName name="tranche_end_date_26">'Scheme Definitions'!#REF!</definedName>
    <definedName name="tranche_end_date_27">'Scheme Definitions'!#REF!</definedName>
    <definedName name="tranche_end_date_28">'Scheme Definitions'!#REF!</definedName>
    <definedName name="tranche_end_date_29">'Scheme Definitions'!#REF!</definedName>
    <definedName name="tranche_end_date_3">'Scheme Definitions'!#REF!</definedName>
    <definedName name="tranche_end_date_30">'Scheme Definitions'!#REF!</definedName>
    <definedName name="tranche_end_date_4">'Scheme Definitions'!#REF!</definedName>
    <definedName name="tranche_end_date_5">'Scheme Definitions'!#REF!</definedName>
    <definedName name="tranche_end_date_6">'Scheme Definitions'!#REF!</definedName>
    <definedName name="tranche_end_date_7">'Scheme Definitions'!#REF!</definedName>
    <definedName name="tranche_end_date_8">'Scheme Definitions'!#REF!</definedName>
    <definedName name="tranche_end_date_9">'Scheme Definitions'!#REF!</definedName>
    <definedName name="tranche_name_1">'Scheme Definitions'!#REF!</definedName>
    <definedName name="tranche_name_10">'Scheme Definitions'!#REF!</definedName>
    <definedName name="tranche_name_11">'Scheme Definitions'!#REF!</definedName>
    <definedName name="tranche_name_12">'Scheme Definitions'!#REF!</definedName>
    <definedName name="tranche_name_13">'Scheme Definitions'!#REF!</definedName>
    <definedName name="tranche_name_14">'Scheme Definitions'!#REF!</definedName>
    <definedName name="tranche_name_15">'Scheme Definitions'!#REF!</definedName>
    <definedName name="tranche_name_16">'Scheme Definitions'!#REF!</definedName>
    <definedName name="tranche_name_17">'Scheme Definitions'!#REF!</definedName>
    <definedName name="tranche_name_18">'Scheme Definitions'!#REF!</definedName>
    <definedName name="tranche_name_19">'Scheme Definitions'!#REF!</definedName>
    <definedName name="tranche_name_2">'Scheme Definitions'!#REF!</definedName>
    <definedName name="tranche_name_20">'Scheme Definitions'!#REF!</definedName>
    <definedName name="tranche_name_21">'Scheme Definitions'!#REF!</definedName>
    <definedName name="tranche_name_22">'Scheme Definitions'!#REF!</definedName>
    <definedName name="tranche_name_23">'Scheme Definitions'!#REF!</definedName>
    <definedName name="tranche_name_24">'Scheme Definitions'!#REF!</definedName>
    <definedName name="tranche_name_25">'Scheme Definitions'!#REF!</definedName>
    <definedName name="tranche_name_26">'Scheme Definitions'!#REF!</definedName>
    <definedName name="tranche_name_27">'Scheme Definitions'!#REF!</definedName>
    <definedName name="tranche_name_28">'Scheme Definitions'!#REF!</definedName>
    <definedName name="tranche_name_29">'Scheme Definitions'!#REF!</definedName>
    <definedName name="tranche_name_3">'Scheme Definitions'!#REF!</definedName>
    <definedName name="tranche_name_30">'Scheme Definitions'!#REF!</definedName>
    <definedName name="tranche_name_4">'Scheme Definitions'!#REF!</definedName>
    <definedName name="tranche_name_5">'Scheme Definitions'!#REF!</definedName>
    <definedName name="tranche_name_6">'Scheme Definitions'!#REF!</definedName>
    <definedName name="tranche_name_7">'Scheme Definitions'!#REF!</definedName>
    <definedName name="tranche_name_8">'Scheme Definitions'!#REF!</definedName>
    <definedName name="tranche_name_9">'Scheme Definitions'!#REF!</definedName>
    <definedName name="tranche_sex_type_1">'Scheme Definitions'!$F$215:$F$234</definedName>
    <definedName name="tranche_sex_type_10">'Scheme Definitions'!#REF!</definedName>
    <definedName name="tranche_sex_type_11">'Scheme Definitions'!#REF!</definedName>
    <definedName name="tranche_sex_type_12">'Scheme Definitions'!#REF!</definedName>
    <definedName name="tranche_sex_type_13">'Scheme Definitions'!#REF!</definedName>
    <definedName name="tranche_sex_type_14">'Scheme Definitions'!#REF!</definedName>
    <definedName name="tranche_sex_type_15">'Scheme Definitions'!#REF!</definedName>
    <definedName name="tranche_sex_type_16">'Scheme Definitions'!#REF!</definedName>
    <definedName name="tranche_sex_type_17">'Scheme Definitions'!#REF!</definedName>
    <definedName name="tranche_sex_type_18">'Scheme Definitions'!#REF!</definedName>
    <definedName name="tranche_sex_type_19">'Scheme Definitions'!#REF!</definedName>
    <definedName name="tranche_sex_type_2">'Scheme Definitions'!#REF!</definedName>
    <definedName name="tranche_sex_type_20">'Scheme Definitions'!#REF!</definedName>
    <definedName name="tranche_sex_type_21">'Scheme Definitions'!#REF!</definedName>
    <definedName name="tranche_sex_type_22">'Scheme Definitions'!#REF!</definedName>
    <definedName name="tranche_sex_type_23">'Scheme Definitions'!#REF!</definedName>
    <definedName name="tranche_sex_type_24">'Scheme Definitions'!#REF!</definedName>
    <definedName name="tranche_sex_type_25">'Scheme Definitions'!#REF!</definedName>
    <definedName name="tranche_sex_type_26">'Scheme Definitions'!#REF!</definedName>
    <definedName name="tranche_sex_type_27">'Scheme Definitions'!#REF!</definedName>
    <definedName name="tranche_sex_type_28">'Scheme Definitions'!#REF!</definedName>
    <definedName name="tranche_sex_type_29">'Scheme Definitions'!#REF!</definedName>
    <definedName name="tranche_sex_type_3">'Scheme Definitions'!#REF!</definedName>
    <definedName name="tranche_sex_type_30">'Scheme Definitions'!#REF!</definedName>
    <definedName name="tranche_sex_type_4">'Scheme Definitions'!#REF!</definedName>
    <definedName name="tranche_sex_type_5">'Scheme Definitions'!#REF!</definedName>
    <definedName name="tranche_sex_type_6">'Scheme Definitions'!#REF!</definedName>
    <definedName name="tranche_sex_type_7">'Scheme Definitions'!#REF!</definedName>
    <definedName name="tranche_sex_type_8">'Scheme Definitions'!#REF!</definedName>
    <definedName name="tranche_sex_type_9">'Scheme Definitions'!#REF!</definedName>
    <definedName name="tranche_start_date_1">'Scheme Definitions'!#REF!</definedName>
    <definedName name="tranche_start_date_10">'Scheme Definitions'!#REF!</definedName>
    <definedName name="tranche_start_date_11">'Scheme Definitions'!#REF!</definedName>
    <definedName name="tranche_start_date_12">'Scheme Definitions'!#REF!</definedName>
    <definedName name="tranche_start_date_13">'Scheme Definitions'!#REF!</definedName>
    <definedName name="tranche_start_date_14">'Scheme Definitions'!#REF!</definedName>
    <definedName name="tranche_start_date_15">'Scheme Definitions'!#REF!</definedName>
    <definedName name="tranche_start_date_16">'Scheme Definitions'!#REF!</definedName>
    <definedName name="tranche_start_date_17">'Scheme Definitions'!#REF!</definedName>
    <definedName name="tranche_start_date_18">'Scheme Definitions'!#REF!</definedName>
    <definedName name="tranche_start_date_19">'Scheme Definitions'!#REF!</definedName>
    <definedName name="tranche_start_date_2">'Scheme Definitions'!#REF!</definedName>
    <definedName name="tranche_start_date_20">'Scheme Definitions'!#REF!</definedName>
    <definedName name="tranche_start_date_21">'Scheme Definitions'!#REF!</definedName>
    <definedName name="tranche_start_date_22">'Scheme Definitions'!#REF!</definedName>
    <definedName name="tranche_start_date_23">'Scheme Definitions'!#REF!</definedName>
    <definedName name="tranche_start_date_24">'Scheme Definitions'!#REF!</definedName>
    <definedName name="tranche_start_date_25">'Scheme Definitions'!#REF!</definedName>
    <definedName name="tranche_start_date_26">'Scheme Definitions'!#REF!</definedName>
    <definedName name="tranche_start_date_27">'Scheme Definitions'!#REF!</definedName>
    <definedName name="tranche_start_date_28">'Scheme Definitions'!#REF!</definedName>
    <definedName name="tranche_start_date_29">'Scheme Definitions'!#REF!</definedName>
    <definedName name="tranche_start_date_3">'Scheme Definitions'!#REF!</definedName>
    <definedName name="tranche_start_date_30">'Scheme Definitions'!#REF!</definedName>
    <definedName name="tranche_start_date_4">'Scheme Definitions'!#REF!</definedName>
    <definedName name="tranche_start_date_5">'Scheme Definitions'!#REF!</definedName>
    <definedName name="tranche_start_date_6">'Scheme Definitions'!#REF!</definedName>
    <definedName name="tranche_start_date_7">'Scheme Definitions'!#REF!</definedName>
    <definedName name="tranche_start_date_8">'Scheme Definitions'!#REF!</definedName>
    <definedName name="tranche_start_date_9">'Scheme Definitions'!#REF!</definedName>
    <definedName name="Tranches">'Benefit Statements'!$B$88</definedName>
    <definedName name="Transfers_Out">'Scheme Definitions'!$B$1256</definedName>
    <definedName name="Triv_Comm_Factors">Factors!$B$874</definedName>
    <definedName name="Trivial_Commutation">'Scheme Definitions'!$B$1241</definedName>
    <definedName name="Z_B6007CFB_3D06_43CC_8EB0_042D40129E35_.wvu.FilterData" localSheetId="4" hidden="1">'Active to Deferred'!$B$90:$AA$369</definedName>
    <definedName name="Z_B6007CFB_3D06_43CC_8EB0_042D40129E35_.wvu.PrintArea" localSheetId="4" hidden="1">'Active to Deferred'!$A$1:$AF$417</definedName>
    <definedName name="Z_B6007CFB_3D06_43CC_8EB0_042D40129E35_.wvu.PrintArea" localSheetId="3" hidden="1">'Benefit Statements'!$A$1:$S$380</definedName>
    <definedName name="Z_B6007CFB_3D06_43CC_8EB0_042D40129E35_.wvu.PrintArea" localSheetId="6" hidden="1">'Deferred to Retirement'!$A$1:$U$447</definedName>
    <definedName name="Z_B6007CFB_3D06_43CC_8EB0_042D40129E35_.wvu.PrintArea" localSheetId="8" hidden="1">'Pension Increases'!$A$1:$L$116</definedName>
    <definedName name="Z_B6007CFB_3D06_43CC_8EB0_042D40129E35_.wvu.PrintArea" localSheetId="1" hidden="1">'Scheme Definitions'!$A$2:$Z$1292</definedName>
    <definedName name="Z_B6007CFB_3D06_43CC_8EB0_042D40129E35_.wvu.Rows" localSheetId="4" hidden="1">'Active to Deferred'!#REF!</definedName>
  </definedNames>
  <calcPr calcId="125725"/>
  <customWorkbookViews>
    <customWorkbookView name=" Anna Clark - Personal View" guid="{B6007CFB-3D06-43CC-8EB0-042D40129E35}" mergeInterval="0" personalView="1" maximized="1" xWindow="1" yWindow="1" windowWidth="1276" windowHeight="799" tabRatio="753" activeSheetId="9"/>
  </customWorkbookViews>
</workbook>
</file>

<file path=xl/calcChain.xml><?xml version="1.0" encoding="utf-8"?>
<calcChain xmlns="http://schemas.openxmlformats.org/spreadsheetml/2006/main">
  <c r="A200" i="17"/>
  <c r="A199"/>
  <c r="A198"/>
  <c r="A197"/>
  <c r="A196"/>
  <c r="A195"/>
  <c r="A194"/>
  <c r="A193"/>
  <c r="A192"/>
  <c r="A191"/>
  <c r="A190"/>
  <c r="A189"/>
  <c r="A188"/>
  <c r="A187"/>
  <c r="A186"/>
  <c r="A185"/>
  <c r="A184"/>
  <c r="A183"/>
  <c r="A182"/>
  <c r="A181"/>
  <c r="A180"/>
  <c r="A179"/>
  <c r="A178"/>
  <c r="A177"/>
  <c r="A176"/>
  <c r="A175"/>
  <c r="A174"/>
  <c r="A173"/>
  <c r="A172"/>
  <c r="A171"/>
  <c r="A170"/>
  <c r="A169"/>
  <c r="A168"/>
  <c r="A167"/>
  <c r="A166"/>
  <c r="A165"/>
  <c r="A164"/>
  <c r="A163"/>
  <c r="A162"/>
  <c r="A161"/>
  <c r="A160"/>
  <c r="A159"/>
  <c r="A158"/>
  <c r="A157"/>
  <c r="A156"/>
  <c r="A155"/>
  <c r="A154"/>
  <c r="A153"/>
  <c r="A152"/>
  <c r="A151"/>
  <c r="A150"/>
  <c r="A149"/>
  <c r="A148"/>
  <c r="A147"/>
  <c r="A146"/>
  <c r="A145"/>
  <c r="A144"/>
  <c r="A143"/>
  <c r="A142"/>
  <c r="A141"/>
  <c r="A140"/>
  <c r="A139"/>
  <c r="A138"/>
  <c r="A137"/>
  <c r="A136"/>
  <c r="A135"/>
  <c r="A134"/>
  <c r="A133"/>
  <c r="A132"/>
  <c r="A131"/>
  <c r="A130"/>
  <c r="A129"/>
  <c r="A128"/>
  <c r="A127"/>
  <c r="A126"/>
  <c r="A125"/>
  <c r="A124"/>
  <c r="A123"/>
  <c r="A122"/>
  <c r="A121"/>
  <c r="A120"/>
  <c r="A119"/>
  <c r="A118"/>
  <c r="A117"/>
  <c r="A116"/>
  <c r="A115"/>
  <c r="A114"/>
  <c r="A113"/>
  <c r="A112"/>
  <c r="A111"/>
  <c r="A110"/>
  <c r="A109"/>
  <c r="A108"/>
  <c r="A107"/>
  <c r="A106"/>
  <c r="A105"/>
  <c r="A104"/>
  <c r="A103"/>
  <c r="A102"/>
  <c r="A101"/>
  <c r="A100"/>
  <c r="A99"/>
  <c r="A98"/>
  <c r="A97"/>
  <c r="A96"/>
  <c r="A95"/>
  <c r="A94"/>
  <c r="A93"/>
  <c r="A92"/>
  <c r="A91"/>
  <c r="A90"/>
  <c r="A89"/>
  <c r="A88"/>
  <c r="A87"/>
  <c r="A86"/>
  <c r="A85"/>
  <c r="A84"/>
  <c r="A83"/>
  <c r="A82"/>
  <c r="A81"/>
  <c r="A80"/>
  <c r="A79"/>
  <c r="A78"/>
  <c r="A77"/>
  <c r="A76"/>
  <c r="A75"/>
  <c r="A74"/>
  <c r="A73"/>
  <c r="A72"/>
  <c r="A71"/>
  <c r="A70"/>
  <c r="A69"/>
  <c r="A68"/>
  <c r="A67"/>
  <c r="A66"/>
  <c r="A65"/>
  <c r="A64"/>
  <c r="A63"/>
  <c r="A62"/>
  <c r="A61"/>
  <c r="A60"/>
  <c r="A59"/>
  <c r="A58"/>
  <c r="A57"/>
  <c r="A56"/>
  <c r="A55"/>
  <c r="A54"/>
  <c r="A53"/>
  <c r="A52"/>
  <c r="A51"/>
  <c r="A50"/>
  <c r="A49"/>
  <c r="A48"/>
  <c r="A47"/>
  <c r="A46"/>
  <c r="A45"/>
  <c r="A44"/>
  <c r="A43"/>
  <c r="A42"/>
  <c r="A41"/>
  <c r="A40"/>
  <c r="A39"/>
  <c r="A38"/>
  <c r="A37"/>
  <c r="A36"/>
  <c r="A35"/>
  <c r="A34"/>
  <c r="A33"/>
  <c r="A32"/>
  <c r="A31"/>
  <c r="A30"/>
  <c r="A29"/>
  <c r="A28"/>
  <c r="A27"/>
  <c r="A26"/>
  <c r="A25"/>
  <c r="A24"/>
  <c r="A23"/>
  <c r="A22"/>
  <c r="A21"/>
  <c r="A20"/>
  <c r="A19"/>
  <c r="A18"/>
  <c r="A17"/>
  <c r="A16"/>
  <c r="A15"/>
  <c r="A14"/>
  <c r="A13"/>
  <c r="A12"/>
  <c r="A11"/>
  <c r="A10"/>
  <c r="A9"/>
  <c r="A8"/>
  <c r="A7"/>
  <c r="A6"/>
  <c r="A5"/>
  <c r="A4"/>
  <c r="A3"/>
  <c r="A2"/>
  <c r="A1"/>
  <c r="D100" i="16"/>
  <c r="C100"/>
  <c r="B100"/>
  <c r="A100"/>
  <c r="D99"/>
  <c r="C99"/>
  <c r="B99"/>
  <c r="A99"/>
  <c r="D98"/>
  <c r="C98"/>
  <c r="B98"/>
  <c r="A98"/>
  <c r="D97"/>
  <c r="C97"/>
  <c r="B97"/>
  <c r="A97"/>
  <c r="D96"/>
  <c r="C96"/>
  <c r="B96"/>
  <c r="A96"/>
  <c r="D95"/>
  <c r="C95"/>
  <c r="B95"/>
  <c r="A95"/>
  <c r="D94"/>
  <c r="C94"/>
  <c r="B94"/>
  <c r="A94"/>
  <c r="D93"/>
  <c r="C93"/>
  <c r="B93"/>
  <c r="A93"/>
  <c r="D92"/>
  <c r="C92"/>
  <c r="B92"/>
  <c r="A92"/>
  <c r="D91"/>
  <c r="C91"/>
  <c r="B91"/>
  <c r="A91"/>
  <c r="D90"/>
  <c r="C90"/>
  <c r="B90"/>
  <c r="A90"/>
  <c r="D89"/>
  <c r="C89"/>
  <c r="B89"/>
  <c r="A89"/>
  <c r="D88"/>
  <c r="C88"/>
  <c r="B88"/>
  <c r="A88"/>
  <c r="D87"/>
  <c r="C87"/>
  <c r="B87"/>
  <c r="A87"/>
  <c r="D86"/>
  <c r="C86"/>
  <c r="B86"/>
  <c r="A86"/>
  <c r="D85"/>
  <c r="C85"/>
  <c r="B85"/>
  <c r="A85"/>
  <c r="D84"/>
  <c r="C84"/>
  <c r="B84"/>
  <c r="A84"/>
  <c r="D83"/>
  <c r="C83"/>
  <c r="B83"/>
  <c r="A83"/>
  <c r="D82"/>
  <c r="C82"/>
  <c r="B82"/>
  <c r="A82"/>
  <c r="D81"/>
  <c r="C81"/>
  <c r="B81"/>
  <c r="A81"/>
  <c r="D80"/>
  <c r="C80"/>
  <c r="B80"/>
  <c r="A80"/>
  <c r="D79"/>
  <c r="C79"/>
  <c r="B79"/>
  <c r="A79"/>
  <c r="D78"/>
  <c r="C78"/>
  <c r="B78"/>
  <c r="A78"/>
  <c r="D77"/>
  <c r="C77"/>
  <c r="B77"/>
  <c r="A77"/>
  <c r="D76"/>
  <c r="C76"/>
  <c r="B76"/>
  <c r="A76"/>
  <c r="D75"/>
  <c r="C75"/>
  <c r="B75"/>
  <c r="A75"/>
  <c r="D74"/>
  <c r="C74"/>
  <c r="B74"/>
  <c r="A74"/>
  <c r="D73"/>
  <c r="C73"/>
  <c r="B73"/>
  <c r="A73"/>
  <c r="D72"/>
  <c r="C72"/>
  <c r="B72"/>
  <c r="A72"/>
  <c r="D71"/>
  <c r="C71"/>
  <c r="B71"/>
  <c r="A71"/>
  <c r="D70"/>
  <c r="C70"/>
  <c r="B70"/>
  <c r="A70"/>
  <c r="D69"/>
  <c r="C69"/>
  <c r="B69"/>
  <c r="A69"/>
  <c r="D68"/>
  <c r="C68"/>
  <c r="B68"/>
  <c r="A68"/>
  <c r="D67"/>
  <c r="C67"/>
  <c r="B67"/>
  <c r="A67"/>
  <c r="D66"/>
  <c r="C66"/>
  <c r="B66"/>
  <c r="A66"/>
  <c r="D65"/>
  <c r="C65"/>
  <c r="B65"/>
  <c r="A65"/>
  <c r="D64"/>
  <c r="C64"/>
  <c r="B64"/>
  <c r="A64"/>
  <c r="D63"/>
  <c r="C63"/>
  <c r="B63"/>
  <c r="A63"/>
  <c r="D62"/>
  <c r="C62"/>
  <c r="B62"/>
  <c r="A62"/>
  <c r="D61"/>
  <c r="C61"/>
  <c r="B61"/>
  <c r="A61"/>
  <c r="D60"/>
  <c r="C60"/>
  <c r="B60"/>
  <c r="A60"/>
  <c r="D59"/>
  <c r="C59"/>
  <c r="B59"/>
  <c r="A59"/>
  <c r="D58"/>
  <c r="C58"/>
  <c r="B58"/>
  <c r="A58"/>
  <c r="D57"/>
  <c r="C57"/>
  <c r="B57"/>
  <c r="A57"/>
  <c r="D56"/>
  <c r="C56"/>
  <c r="B56"/>
  <c r="A56"/>
  <c r="D55"/>
  <c r="C55"/>
  <c r="B55"/>
  <c r="A55"/>
  <c r="D54"/>
  <c r="C54"/>
  <c r="B54"/>
  <c r="A54"/>
  <c r="D53"/>
  <c r="C53"/>
  <c r="B53"/>
  <c r="A53"/>
  <c r="D52"/>
  <c r="C52"/>
  <c r="B52"/>
  <c r="A52"/>
  <c r="D51"/>
  <c r="C51"/>
  <c r="B51"/>
  <c r="A51"/>
  <c r="D50"/>
  <c r="C50"/>
  <c r="B50"/>
  <c r="A50"/>
  <c r="D49"/>
  <c r="C49"/>
  <c r="B49"/>
  <c r="A49"/>
  <c r="D48"/>
  <c r="C48"/>
  <c r="B48"/>
  <c r="A48"/>
  <c r="D47"/>
  <c r="C47"/>
  <c r="B47"/>
  <c r="A47"/>
  <c r="D46"/>
  <c r="C46"/>
  <c r="B46"/>
  <c r="A46"/>
  <c r="D45"/>
  <c r="C45"/>
  <c r="B45"/>
  <c r="A45"/>
  <c r="D44"/>
  <c r="C44"/>
  <c r="B44"/>
  <c r="A44"/>
  <c r="D43"/>
  <c r="C43"/>
  <c r="B43"/>
  <c r="A43"/>
  <c r="D42"/>
  <c r="C42"/>
  <c r="B42"/>
  <c r="A42"/>
  <c r="D41"/>
  <c r="C41"/>
  <c r="B41"/>
  <c r="A41"/>
  <c r="D40"/>
  <c r="C40"/>
  <c r="B40"/>
  <c r="A40"/>
  <c r="D39"/>
  <c r="C39"/>
  <c r="B39"/>
  <c r="A39"/>
  <c r="D38"/>
  <c r="C38"/>
  <c r="B38"/>
  <c r="A38"/>
  <c r="D37"/>
  <c r="C37"/>
  <c r="B37"/>
  <c r="A37"/>
  <c r="D36"/>
  <c r="C36"/>
  <c r="B36"/>
  <c r="A36"/>
  <c r="D35"/>
  <c r="C35"/>
  <c r="B35"/>
  <c r="A35"/>
  <c r="D34"/>
  <c r="C34"/>
  <c r="B34"/>
  <c r="A34"/>
  <c r="D33"/>
  <c r="C33"/>
  <c r="B33"/>
  <c r="A33"/>
  <c r="D32"/>
  <c r="C32"/>
  <c r="B32"/>
  <c r="A32"/>
  <c r="D31"/>
  <c r="C31"/>
  <c r="B31"/>
  <c r="A31"/>
  <c r="D30"/>
  <c r="C30"/>
  <c r="B30"/>
  <c r="A30"/>
  <c r="D29"/>
  <c r="C29"/>
  <c r="B29"/>
  <c r="A29"/>
  <c r="D28"/>
  <c r="C28"/>
  <c r="B28"/>
  <c r="A28"/>
  <c r="D27"/>
  <c r="C27"/>
  <c r="B27"/>
  <c r="A27"/>
  <c r="D26"/>
  <c r="C26"/>
  <c r="B26"/>
  <c r="A26"/>
  <c r="D25"/>
  <c r="C25"/>
  <c r="B25"/>
  <c r="A25"/>
  <c r="D24"/>
  <c r="C24"/>
  <c r="B24"/>
  <c r="A24"/>
  <c r="D23"/>
  <c r="C23"/>
  <c r="B23"/>
  <c r="A23"/>
  <c r="D22"/>
  <c r="C22"/>
  <c r="B22"/>
  <c r="A22"/>
  <c r="D21"/>
  <c r="C21"/>
  <c r="B21"/>
  <c r="A21"/>
  <c r="D20"/>
  <c r="C20"/>
  <c r="B20"/>
  <c r="A20"/>
  <c r="D19"/>
  <c r="C19"/>
  <c r="B19"/>
  <c r="A19"/>
  <c r="D18"/>
  <c r="C18"/>
  <c r="B18"/>
  <c r="A18"/>
  <c r="D17"/>
  <c r="C17"/>
  <c r="B17"/>
  <c r="A17"/>
  <c r="D16"/>
  <c r="C16"/>
  <c r="B16"/>
  <c r="A16"/>
  <c r="D15"/>
  <c r="C15"/>
  <c r="B15"/>
  <c r="A15"/>
  <c r="D14"/>
  <c r="C14"/>
  <c r="B14"/>
  <c r="A14"/>
  <c r="D13"/>
  <c r="C13"/>
  <c r="B13"/>
  <c r="A13"/>
  <c r="D12"/>
  <c r="C12"/>
  <c r="B12"/>
  <c r="A12"/>
  <c r="D11"/>
  <c r="C11"/>
  <c r="B11"/>
  <c r="A11"/>
  <c r="D10"/>
  <c r="C10"/>
  <c r="B10"/>
  <c r="A10"/>
  <c r="D9"/>
  <c r="C9"/>
  <c r="B9"/>
  <c r="A9"/>
  <c r="D8"/>
  <c r="C8"/>
  <c r="B8"/>
  <c r="A8"/>
  <c r="D7"/>
  <c r="C7"/>
  <c r="B7"/>
  <c r="A7"/>
  <c r="D6"/>
  <c r="C6"/>
  <c r="B6"/>
  <c r="A6"/>
  <c r="D5"/>
  <c r="C5"/>
  <c r="B5"/>
  <c r="A5"/>
  <c r="D4"/>
  <c r="C4"/>
  <c r="B4"/>
  <c r="A4"/>
  <c r="D3"/>
  <c r="C3"/>
  <c r="B3"/>
  <c r="A3"/>
  <c r="D2"/>
  <c r="C2"/>
  <c r="B2"/>
  <c r="A2"/>
  <c r="D1"/>
  <c r="C1"/>
  <c r="B1"/>
  <c r="A1"/>
  <c r="D150" i="15"/>
  <c r="C150"/>
  <c r="B150"/>
  <c r="A150"/>
  <c r="D149"/>
  <c r="C149"/>
  <c r="B149"/>
  <c r="A149"/>
  <c r="D148"/>
  <c r="C148"/>
  <c r="B148"/>
  <c r="A148"/>
  <c r="D147"/>
  <c r="C147"/>
  <c r="B147"/>
  <c r="A147"/>
  <c r="D146"/>
  <c r="C146"/>
  <c r="B146"/>
  <c r="A146"/>
  <c r="D145"/>
  <c r="C145"/>
  <c r="B145"/>
  <c r="A145"/>
  <c r="D144"/>
  <c r="C144"/>
  <c r="B144"/>
  <c r="A144"/>
  <c r="D143"/>
  <c r="C143"/>
  <c r="B143"/>
  <c r="A143"/>
  <c r="D142"/>
  <c r="C142"/>
  <c r="B142"/>
  <c r="A142"/>
  <c r="D141"/>
  <c r="C141"/>
  <c r="B141"/>
  <c r="A141"/>
  <c r="D140"/>
  <c r="C140"/>
  <c r="B140"/>
  <c r="A140"/>
  <c r="D139"/>
  <c r="C139"/>
  <c r="B139"/>
  <c r="A139"/>
  <c r="D138"/>
  <c r="C138"/>
  <c r="B138"/>
  <c r="A138"/>
  <c r="D137"/>
  <c r="C137"/>
  <c r="B137"/>
  <c r="A137"/>
  <c r="D136"/>
  <c r="C136"/>
  <c r="B136"/>
  <c r="A136"/>
  <c r="D135"/>
  <c r="C135"/>
  <c r="B135"/>
  <c r="A135"/>
  <c r="D134"/>
  <c r="C134"/>
  <c r="B134"/>
  <c r="A134"/>
  <c r="D133"/>
  <c r="C133"/>
  <c r="B133"/>
  <c r="A133"/>
  <c r="D132"/>
  <c r="C132"/>
  <c r="B132"/>
  <c r="A132"/>
  <c r="D131"/>
  <c r="C131"/>
  <c r="B131"/>
  <c r="A131"/>
  <c r="D130"/>
  <c r="C130"/>
  <c r="B130"/>
  <c r="A130"/>
  <c r="D129"/>
  <c r="C129"/>
  <c r="B129"/>
  <c r="A129"/>
  <c r="D128"/>
  <c r="C128"/>
  <c r="B128"/>
  <c r="A128"/>
  <c r="D127"/>
  <c r="C127"/>
  <c r="B127"/>
  <c r="A127"/>
  <c r="D126"/>
  <c r="C126"/>
  <c r="B126"/>
  <c r="A126"/>
  <c r="D125"/>
  <c r="C125"/>
  <c r="B125"/>
  <c r="A125"/>
  <c r="D124"/>
  <c r="C124"/>
  <c r="B124"/>
  <c r="A124"/>
  <c r="D123"/>
  <c r="C123"/>
  <c r="B123"/>
  <c r="A123"/>
  <c r="D122"/>
  <c r="C122"/>
  <c r="B122"/>
  <c r="A122"/>
  <c r="D121"/>
  <c r="C121"/>
  <c r="B121"/>
  <c r="A121"/>
  <c r="D120"/>
  <c r="C120"/>
  <c r="B120"/>
  <c r="A120"/>
  <c r="D119"/>
  <c r="C119"/>
  <c r="B119"/>
  <c r="A119"/>
  <c r="D118"/>
  <c r="C118"/>
  <c r="B118"/>
  <c r="A118"/>
  <c r="D117"/>
  <c r="C117"/>
  <c r="B117"/>
  <c r="A117"/>
  <c r="D116"/>
  <c r="C116"/>
  <c r="B116"/>
  <c r="A116"/>
  <c r="D115"/>
  <c r="C115"/>
  <c r="B115"/>
  <c r="A115"/>
  <c r="D114"/>
  <c r="C114"/>
  <c r="B114"/>
  <c r="A114"/>
  <c r="D113"/>
  <c r="C113"/>
  <c r="B113"/>
  <c r="A113"/>
  <c r="D112"/>
  <c r="C112"/>
  <c r="B112"/>
  <c r="A112"/>
  <c r="D111"/>
  <c r="C111"/>
  <c r="B111"/>
  <c r="A111"/>
  <c r="D110"/>
  <c r="C110"/>
  <c r="B110"/>
  <c r="A110"/>
  <c r="D109"/>
  <c r="C109"/>
  <c r="B109"/>
  <c r="A109"/>
  <c r="D108"/>
  <c r="C108"/>
  <c r="B108"/>
  <c r="A108"/>
  <c r="D107"/>
  <c r="C107"/>
  <c r="B107"/>
  <c r="A107"/>
  <c r="D106"/>
  <c r="C106"/>
  <c r="B106"/>
  <c r="A106"/>
  <c r="D105"/>
  <c r="C105"/>
  <c r="B105"/>
  <c r="A105"/>
  <c r="D104"/>
  <c r="C104"/>
  <c r="B104"/>
  <c r="A104"/>
  <c r="D103"/>
  <c r="C103"/>
  <c r="B103"/>
  <c r="A103"/>
  <c r="D102"/>
  <c r="C102"/>
  <c r="B102"/>
  <c r="A102"/>
  <c r="D101"/>
  <c r="C101"/>
  <c r="B101"/>
  <c r="A101"/>
  <c r="D100"/>
  <c r="C100"/>
  <c r="B100"/>
  <c r="A100"/>
  <c r="D99"/>
  <c r="C99"/>
  <c r="B99"/>
  <c r="A99"/>
  <c r="D98"/>
  <c r="C98"/>
  <c r="B98"/>
  <c r="A98"/>
  <c r="D97"/>
  <c r="C97"/>
  <c r="B97"/>
  <c r="A97"/>
  <c r="D96"/>
  <c r="C96"/>
  <c r="B96"/>
  <c r="A96"/>
  <c r="D95"/>
  <c r="C95"/>
  <c r="B95"/>
  <c r="A95"/>
  <c r="D94"/>
  <c r="C94"/>
  <c r="B94"/>
  <c r="A94"/>
  <c r="D93"/>
  <c r="C93"/>
  <c r="B93"/>
  <c r="A93"/>
  <c r="D92"/>
  <c r="C92"/>
  <c r="B92"/>
  <c r="A92"/>
  <c r="D91"/>
  <c r="C91"/>
  <c r="B91"/>
  <c r="A91"/>
  <c r="D90"/>
  <c r="C90"/>
  <c r="B90"/>
  <c r="A90"/>
  <c r="D89"/>
  <c r="C89"/>
  <c r="B89"/>
  <c r="A89"/>
  <c r="D88"/>
  <c r="C88"/>
  <c r="B88"/>
  <c r="A88"/>
  <c r="D87"/>
  <c r="C87"/>
  <c r="B87"/>
  <c r="A87"/>
  <c r="D86"/>
  <c r="C86"/>
  <c r="B86"/>
  <c r="A86"/>
  <c r="D85"/>
  <c r="C85"/>
  <c r="B85"/>
  <c r="A85"/>
  <c r="D84"/>
  <c r="C84"/>
  <c r="B84"/>
  <c r="A84"/>
  <c r="D83"/>
  <c r="C83"/>
  <c r="B83"/>
  <c r="A83"/>
  <c r="D82"/>
  <c r="C82"/>
  <c r="B82"/>
  <c r="A82"/>
  <c r="D81"/>
  <c r="C81"/>
  <c r="B81"/>
  <c r="A81"/>
  <c r="D80"/>
  <c r="C80"/>
  <c r="B80"/>
  <c r="A80"/>
  <c r="D79"/>
  <c r="C79"/>
  <c r="B79"/>
  <c r="A79"/>
  <c r="D78"/>
  <c r="C78"/>
  <c r="B78"/>
  <c r="A78"/>
  <c r="D77"/>
  <c r="C77"/>
  <c r="B77"/>
  <c r="A77"/>
  <c r="D76"/>
  <c r="C76"/>
  <c r="B76"/>
  <c r="A76"/>
  <c r="D75"/>
  <c r="C75"/>
  <c r="B75"/>
  <c r="A75"/>
  <c r="D74"/>
  <c r="C74"/>
  <c r="B74"/>
  <c r="A74"/>
  <c r="D73"/>
  <c r="C73"/>
  <c r="B73"/>
  <c r="A73"/>
  <c r="D72"/>
  <c r="C72"/>
  <c r="B72"/>
  <c r="A72"/>
  <c r="D71"/>
  <c r="C71"/>
  <c r="B71"/>
  <c r="A71"/>
  <c r="D70"/>
  <c r="C70"/>
  <c r="B70"/>
  <c r="A70"/>
  <c r="D69"/>
  <c r="C69"/>
  <c r="B69"/>
  <c r="A69"/>
  <c r="D68"/>
  <c r="C68"/>
  <c r="B68"/>
  <c r="A68"/>
  <c r="D67"/>
  <c r="C67"/>
  <c r="B67"/>
  <c r="A67"/>
  <c r="D66"/>
  <c r="C66"/>
  <c r="B66"/>
  <c r="A66"/>
  <c r="D65"/>
  <c r="C65"/>
  <c r="B65"/>
  <c r="A65"/>
  <c r="D64"/>
  <c r="C64"/>
  <c r="B64"/>
  <c r="A64"/>
  <c r="D63"/>
  <c r="C63"/>
  <c r="B63"/>
  <c r="A63"/>
  <c r="D62"/>
  <c r="C62"/>
  <c r="B62"/>
  <c r="A62"/>
  <c r="D61"/>
  <c r="C61"/>
  <c r="B61"/>
  <c r="A61"/>
  <c r="D60"/>
  <c r="C60"/>
  <c r="B60"/>
  <c r="A60"/>
  <c r="D59"/>
  <c r="C59"/>
  <c r="B59"/>
  <c r="A59"/>
  <c r="D58"/>
  <c r="C58"/>
  <c r="B58"/>
  <c r="A58"/>
  <c r="D57"/>
  <c r="C57"/>
  <c r="B57"/>
  <c r="A57"/>
  <c r="D56"/>
  <c r="C56"/>
  <c r="B56"/>
  <c r="A56"/>
  <c r="D55"/>
  <c r="C55"/>
  <c r="B55"/>
  <c r="A55"/>
  <c r="D54"/>
  <c r="C54"/>
  <c r="B54"/>
  <c r="A54"/>
  <c r="D53"/>
  <c r="C53"/>
  <c r="B53"/>
  <c r="A53"/>
  <c r="D52"/>
  <c r="C52"/>
  <c r="B52"/>
  <c r="A52"/>
  <c r="D51"/>
  <c r="C51"/>
  <c r="B51"/>
  <c r="A51"/>
  <c r="D50"/>
  <c r="C50"/>
  <c r="B50"/>
  <c r="A50"/>
  <c r="D49"/>
  <c r="C49"/>
  <c r="B49"/>
  <c r="A49"/>
  <c r="D48"/>
  <c r="C48"/>
  <c r="B48"/>
  <c r="A48"/>
  <c r="D47"/>
  <c r="C47"/>
  <c r="B47"/>
  <c r="A47"/>
  <c r="D46"/>
  <c r="C46"/>
  <c r="B46"/>
  <c r="A46"/>
  <c r="D45"/>
  <c r="C45"/>
  <c r="B45"/>
  <c r="A45"/>
  <c r="D44"/>
  <c r="C44"/>
  <c r="B44"/>
  <c r="A44"/>
  <c r="D43"/>
  <c r="C43"/>
  <c r="B43"/>
  <c r="A43"/>
  <c r="D42"/>
  <c r="C42"/>
  <c r="B42"/>
  <c r="A42"/>
  <c r="D41"/>
  <c r="C41"/>
  <c r="B41"/>
  <c r="A41"/>
  <c r="D40"/>
  <c r="C40"/>
  <c r="B40"/>
  <c r="A40"/>
  <c r="D39"/>
  <c r="C39"/>
  <c r="B39"/>
  <c r="A39"/>
  <c r="D38"/>
  <c r="C38"/>
  <c r="B38"/>
  <c r="A38"/>
  <c r="D37"/>
  <c r="C37"/>
  <c r="B37"/>
  <c r="A37"/>
  <c r="D36"/>
  <c r="C36"/>
  <c r="B36"/>
  <c r="A36"/>
  <c r="D35"/>
  <c r="C35"/>
  <c r="B35"/>
  <c r="A35"/>
  <c r="D34"/>
  <c r="C34"/>
  <c r="B34"/>
  <c r="A34"/>
  <c r="D33"/>
  <c r="C33"/>
  <c r="B33"/>
  <c r="A33"/>
  <c r="D32"/>
  <c r="C32"/>
  <c r="B32"/>
  <c r="A32"/>
  <c r="D31"/>
  <c r="C31"/>
  <c r="B31"/>
  <c r="A31"/>
  <c r="D30"/>
  <c r="C30"/>
  <c r="B30"/>
  <c r="A30"/>
  <c r="D29"/>
  <c r="C29"/>
  <c r="B29"/>
  <c r="A29"/>
  <c r="D28"/>
  <c r="C28"/>
  <c r="B28"/>
  <c r="A28"/>
  <c r="D27"/>
  <c r="C27"/>
  <c r="B27"/>
  <c r="A27"/>
  <c r="D26"/>
  <c r="C26"/>
  <c r="B26"/>
  <c r="A26"/>
  <c r="D25"/>
  <c r="C25"/>
  <c r="B25"/>
  <c r="A25"/>
  <c r="D24"/>
  <c r="C24"/>
  <c r="B24"/>
  <c r="A24"/>
  <c r="D23"/>
  <c r="C23"/>
  <c r="B23"/>
  <c r="A23"/>
  <c r="D22"/>
  <c r="C22"/>
  <c r="B22"/>
  <c r="A22"/>
  <c r="D21"/>
  <c r="C21"/>
  <c r="B21"/>
  <c r="A21"/>
  <c r="D20"/>
  <c r="C20"/>
  <c r="B20"/>
  <c r="A20"/>
  <c r="D19"/>
  <c r="C19"/>
  <c r="B19"/>
  <c r="A19"/>
  <c r="D18"/>
  <c r="C18"/>
  <c r="B18"/>
  <c r="A18"/>
  <c r="D17"/>
  <c r="C17"/>
  <c r="B17"/>
  <c r="A17"/>
  <c r="D16"/>
  <c r="C16"/>
  <c r="B16"/>
  <c r="A16"/>
  <c r="D15"/>
  <c r="C15"/>
  <c r="B15"/>
  <c r="A15"/>
  <c r="D14"/>
  <c r="C14"/>
  <c r="B14"/>
  <c r="A14"/>
  <c r="D13"/>
  <c r="C13"/>
  <c r="B13"/>
  <c r="A13"/>
  <c r="D12"/>
  <c r="C12"/>
  <c r="B12"/>
  <c r="A12"/>
  <c r="D11"/>
  <c r="C11"/>
  <c r="B11"/>
  <c r="A11"/>
  <c r="D10"/>
  <c r="C10"/>
  <c r="B10"/>
  <c r="A10"/>
  <c r="D9"/>
  <c r="C9"/>
  <c r="B9"/>
  <c r="A9"/>
  <c r="D8"/>
  <c r="C8"/>
  <c r="B8"/>
  <c r="A8"/>
  <c r="D7"/>
  <c r="C7"/>
  <c r="B7"/>
  <c r="A7"/>
  <c r="D6"/>
  <c r="C6"/>
  <c r="B6"/>
  <c r="A6"/>
  <c r="D5"/>
  <c r="C5"/>
  <c r="B5"/>
  <c r="A5"/>
  <c r="D4"/>
  <c r="C4"/>
  <c r="B4"/>
  <c r="A4"/>
  <c r="D3"/>
  <c r="C3"/>
  <c r="B3"/>
  <c r="A3"/>
  <c r="D2"/>
  <c r="C2"/>
  <c r="B2"/>
  <c r="A2"/>
  <c r="D1"/>
  <c r="C1"/>
  <c r="B1"/>
  <c r="A1"/>
  <c r="B100" i="14"/>
  <c r="A100"/>
  <c r="B99"/>
  <c r="A99"/>
  <c r="B98"/>
  <c r="A98"/>
  <c r="B97"/>
  <c r="A97"/>
  <c r="B96"/>
  <c r="A96"/>
  <c r="B95"/>
  <c r="A95"/>
  <c r="B94"/>
  <c r="A94"/>
  <c r="B93"/>
  <c r="A93"/>
  <c r="B92"/>
  <c r="A92"/>
  <c r="B91"/>
  <c r="A91"/>
  <c r="B90"/>
  <c r="A90"/>
  <c r="B89"/>
  <c r="A89"/>
  <c r="B88"/>
  <c r="A88"/>
  <c r="B87"/>
  <c r="A87"/>
  <c r="B86"/>
  <c r="A86"/>
  <c r="B85"/>
  <c r="A85"/>
  <c r="B84"/>
  <c r="A84"/>
  <c r="B83"/>
  <c r="A83"/>
  <c r="B82"/>
  <c r="A82"/>
  <c r="B81"/>
  <c r="A81"/>
  <c r="B80"/>
  <c r="A80"/>
  <c r="B79"/>
  <c r="A79"/>
  <c r="B78"/>
  <c r="A78"/>
  <c r="B77"/>
  <c r="A77"/>
  <c r="B76"/>
  <c r="A76"/>
  <c r="B75"/>
  <c r="A75"/>
  <c r="B74"/>
  <c r="A74"/>
  <c r="B73"/>
  <c r="A73"/>
  <c r="B72"/>
  <c r="A72"/>
  <c r="B71"/>
  <c r="A71"/>
  <c r="B70"/>
  <c r="A70"/>
  <c r="B69"/>
  <c r="A69"/>
  <c r="B68"/>
  <c r="A68"/>
  <c r="B67"/>
  <c r="A67"/>
  <c r="B66"/>
  <c r="A66"/>
  <c r="B65"/>
  <c r="A65"/>
  <c r="B64"/>
  <c r="A64"/>
  <c r="B63"/>
  <c r="A63"/>
  <c r="B62"/>
  <c r="A62"/>
  <c r="B61"/>
  <c r="A61"/>
  <c r="B60"/>
  <c r="A60"/>
  <c r="B59"/>
  <c r="A59"/>
  <c r="B58"/>
  <c r="A58"/>
  <c r="B57"/>
  <c r="A57"/>
  <c r="B56"/>
  <c r="A56"/>
  <c r="B55"/>
  <c r="A55"/>
  <c r="B54"/>
  <c r="A54"/>
  <c r="B53"/>
  <c r="A53"/>
  <c r="B52"/>
  <c r="A52"/>
  <c r="B51"/>
  <c r="A51"/>
  <c r="B50"/>
  <c r="A50"/>
  <c r="B49"/>
  <c r="A49"/>
  <c r="B48"/>
  <c r="A48"/>
  <c r="B47"/>
  <c r="A47"/>
  <c r="B46"/>
  <c r="A46"/>
  <c r="B45"/>
  <c r="A45"/>
  <c r="B44"/>
  <c r="A44"/>
  <c r="B43"/>
  <c r="A43"/>
  <c r="B42"/>
  <c r="A42"/>
  <c r="B41"/>
  <c r="A41"/>
  <c r="B40"/>
  <c r="A40"/>
  <c r="B39"/>
  <c r="A39"/>
  <c r="B38"/>
  <c r="A38"/>
  <c r="B37"/>
  <c r="A37"/>
  <c r="B36"/>
  <c r="A36"/>
  <c r="B35"/>
  <c r="A35"/>
  <c r="B34"/>
  <c r="A34"/>
  <c r="B33"/>
  <c r="A33"/>
  <c r="B32"/>
  <c r="A32"/>
  <c r="B31"/>
  <c r="A31"/>
  <c r="B30"/>
  <c r="A30"/>
  <c r="B29"/>
  <c r="A29"/>
  <c r="B28"/>
  <c r="A28"/>
  <c r="B27"/>
  <c r="A27"/>
  <c r="B26"/>
  <c r="A26"/>
  <c r="B25"/>
  <c r="A25"/>
  <c r="B24"/>
  <c r="A24"/>
  <c r="B23"/>
  <c r="A23"/>
  <c r="B22"/>
  <c r="A22"/>
  <c r="B21"/>
  <c r="A21"/>
  <c r="B20"/>
  <c r="A20"/>
  <c r="B19"/>
  <c r="A19"/>
  <c r="B18"/>
  <c r="A18"/>
  <c r="B17"/>
  <c r="A17"/>
  <c r="B16"/>
  <c r="A16"/>
  <c r="B15"/>
  <c r="A15"/>
  <c r="B14"/>
  <c r="A14"/>
  <c r="B13"/>
  <c r="A13"/>
  <c r="B12"/>
  <c r="A12"/>
  <c r="B11"/>
  <c r="A11"/>
  <c r="B10"/>
  <c r="A10"/>
  <c r="B9"/>
  <c r="A9"/>
  <c r="B8"/>
  <c r="A8"/>
  <c r="B7"/>
  <c r="A7"/>
  <c r="B6"/>
  <c r="A6"/>
  <c r="B5"/>
  <c r="A5"/>
  <c r="B4"/>
  <c r="A4"/>
  <c r="B3"/>
  <c r="A3"/>
  <c r="B2"/>
  <c r="A2"/>
  <c r="B1"/>
  <c r="A1"/>
  <c r="A100" i="13"/>
  <c r="A99"/>
  <c r="A98"/>
  <c r="A97"/>
  <c r="A96"/>
  <c r="A95"/>
  <c r="A94"/>
  <c r="A93"/>
  <c r="A92"/>
  <c r="A91"/>
  <c r="A90"/>
  <c r="A89"/>
  <c r="A88"/>
  <c r="A87"/>
  <c r="A86"/>
  <c r="A85"/>
  <c r="A84"/>
  <c r="A83"/>
  <c r="A82"/>
  <c r="A81"/>
  <c r="A80"/>
  <c r="A79"/>
  <c r="A78"/>
  <c r="A77"/>
  <c r="A76"/>
  <c r="A75"/>
  <c r="A74"/>
  <c r="A73"/>
  <c r="A72"/>
  <c r="A71"/>
  <c r="A70"/>
  <c r="A69"/>
  <c r="A68"/>
  <c r="A67"/>
  <c r="A66"/>
  <c r="A65"/>
  <c r="A64"/>
  <c r="A63"/>
  <c r="A62"/>
  <c r="A61"/>
  <c r="A60"/>
  <c r="A59"/>
  <c r="A58"/>
  <c r="A57"/>
  <c r="A55"/>
  <c r="A54"/>
  <c r="A53"/>
  <c r="A52"/>
  <c r="A51"/>
  <c r="A50"/>
  <c r="A49"/>
  <c r="A48"/>
  <c r="A47"/>
  <c r="A46"/>
  <c r="A45"/>
  <c r="A44"/>
  <c r="A43"/>
  <c r="A42"/>
  <c r="A41"/>
  <c r="A40"/>
  <c r="A39"/>
  <c r="A38"/>
  <c r="A37"/>
  <c r="A36"/>
  <c r="A35"/>
  <c r="A34"/>
  <c r="A33"/>
  <c r="A32"/>
  <c r="A31"/>
  <c r="A30"/>
  <c r="A29"/>
  <c r="A28"/>
  <c r="A27"/>
  <c r="A26"/>
  <c r="A25"/>
  <c r="A24"/>
  <c r="A23"/>
  <c r="A22"/>
  <c r="A21"/>
  <c r="A20"/>
  <c r="A19"/>
  <c r="A18"/>
  <c r="A17"/>
  <c r="A16"/>
  <c r="A15"/>
  <c r="A14"/>
  <c r="A13"/>
  <c r="A12"/>
  <c r="A11"/>
  <c r="A10"/>
  <c r="A9"/>
  <c r="A8"/>
  <c r="A7"/>
  <c r="A6"/>
  <c r="A5"/>
  <c r="A4"/>
  <c r="A3"/>
  <c r="A2"/>
  <c r="A1"/>
  <c r="I415" i="18"/>
  <c r="I414"/>
  <c r="I413"/>
  <c r="I412"/>
  <c r="I411"/>
  <c r="I410"/>
  <c r="I409"/>
  <c r="I408"/>
  <c r="I407"/>
  <c r="I406"/>
  <c r="I405"/>
  <c r="I404"/>
  <c r="I403"/>
  <c r="I402"/>
  <c r="I401"/>
  <c r="I400"/>
  <c r="I399"/>
  <c r="I398"/>
  <c r="I397"/>
  <c r="I396"/>
  <c r="I395"/>
  <c r="I394"/>
  <c r="I393"/>
  <c r="I392"/>
  <c r="I391"/>
  <c r="I390"/>
  <c r="I389"/>
  <c r="I388"/>
  <c r="I387"/>
  <c r="I386"/>
  <c r="I385"/>
  <c r="I384"/>
  <c r="I383"/>
  <c r="I382"/>
  <c r="I381"/>
  <c r="I380"/>
  <c r="I379"/>
  <c r="I378"/>
  <c r="I377"/>
  <c r="I376"/>
  <c r="I375"/>
  <c r="I374"/>
  <c r="I373"/>
  <c r="I372"/>
  <c r="I371"/>
  <c r="I370"/>
  <c r="I369"/>
  <c r="I368"/>
  <c r="I367"/>
  <c r="I366"/>
  <c r="I365"/>
  <c r="I364"/>
  <c r="I363"/>
  <c r="I362"/>
  <c r="I361"/>
  <c r="I360"/>
  <c r="I359"/>
  <c r="I358"/>
  <c r="I357"/>
  <c r="I356"/>
  <c r="I355"/>
  <c r="I354"/>
  <c r="I353"/>
  <c r="I352"/>
  <c r="I351"/>
  <c r="I350"/>
  <c r="I349"/>
  <c r="I348"/>
  <c r="I347"/>
  <c r="I346"/>
  <c r="I345"/>
  <c r="I344"/>
  <c r="I343"/>
  <c r="I342"/>
  <c r="I341"/>
  <c r="I340"/>
  <c r="I339"/>
  <c r="I338"/>
  <c r="I337"/>
  <c r="I336"/>
  <c r="I335"/>
  <c r="I334"/>
  <c r="I333"/>
  <c r="I332"/>
  <c r="I331"/>
  <c r="I330"/>
  <c r="I329"/>
  <c r="I328"/>
  <c r="I327"/>
  <c r="I326"/>
  <c r="I325"/>
  <c r="I324"/>
  <c r="I323"/>
  <c r="I322"/>
  <c r="I321"/>
  <c r="I320"/>
  <c r="I319"/>
  <c r="I318"/>
  <c r="I317"/>
  <c r="I316"/>
  <c r="I315"/>
  <c r="I314"/>
  <c r="I313"/>
  <c r="I312"/>
  <c r="I311"/>
  <c r="I310"/>
  <c r="I309"/>
  <c r="I308"/>
  <c r="I307"/>
  <c r="I306"/>
  <c r="I305"/>
  <c r="I304"/>
  <c r="I303"/>
  <c r="I302"/>
  <c r="I301"/>
  <c r="I300"/>
  <c r="I299"/>
  <c r="I298"/>
  <c r="I297"/>
  <c r="I296"/>
  <c r="I295"/>
  <c r="I294"/>
  <c r="I293"/>
  <c r="I292"/>
  <c r="I291"/>
  <c r="I290"/>
  <c r="I289"/>
  <c r="I288"/>
  <c r="I287"/>
  <c r="I286"/>
  <c r="I285"/>
  <c r="I284"/>
  <c r="I283"/>
  <c r="I282"/>
  <c r="I281"/>
  <c r="I280"/>
  <c r="I279"/>
  <c r="I278"/>
  <c r="I277"/>
  <c r="I276"/>
  <c r="I275"/>
  <c r="I274"/>
  <c r="I273"/>
  <c r="I272"/>
  <c r="I271"/>
  <c r="I270"/>
  <c r="I269"/>
  <c r="I268"/>
  <c r="I267"/>
  <c r="I266"/>
  <c r="I265"/>
  <c r="I264"/>
  <c r="I263"/>
  <c r="I262"/>
  <c r="I261"/>
  <c r="I260"/>
  <c r="I230"/>
  <c r="I229"/>
  <c r="I228"/>
  <c r="I227"/>
  <c r="I226"/>
  <c r="I225"/>
  <c r="I224"/>
  <c r="I223"/>
  <c r="I222"/>
  <c r="I221"/>
  <c r="I220"/>
  <c r="I219"/>
  <c r="I218"/>
  <c r="I217"/>
  <c r="I216"/>
  <c r="I215"/>
  <c r="I214"/>
  <c r="I213"/>
  <c r="I212"/>
  <c r="I211"/>
  <c r="I210"/>
  <c r="I209"/>
  <c r="I208"/>
  <c r="I207"/>
  <c r="I206"/>
  <c r="I205"/>
  <c r="I204"/>
  <c r="I203"/>
  <c r="I202"/>
  <c r="I201"/>
  <c r="I200"/>
  <c r="I199"/>
  <c r="I198"/>
  <c r="I197"/>
  <c r="I196"/>
  <c r="I195"/>
  <c r="I194"/>
  <c r="I193"/>
  <c r="I192"/>
  <c r="I191"/>
  <c r="I190"/>
  <c r="I189"/>
  <c r="I188"/>
  <c r="I187"/>
  <c r="I186"/>
  <c r="I185"/>
  <c r="I184"/>
  <c r="I183"/>
  <c r="I182"/>
  <c r="I181"/>
  <c r="I180"/>
  <c r="I179"/>
  <c r="I178"/>
  <c r="I177"/>
  <c r="I176"/>
  <c r="I175"/>
  <c r="I174"/>
  <c r="I173"/>
  <c r="I172"/>
  <c r="I171"/>
  <c r="I170"/>
  <c r="I169"/>
  <c r="I168"/>
  <c r="I167"/>
  <c r="I166"/>
  <c r="I165"/>
  <c r="I164"/>
  <c r="I163"/>
  <c r="I162"/>
  <c r="I161"/>
  <c r="I160"/>
  <c r="I159"/>
  <c r="I158"/>
  <c r="I157"/>
  <c r="I156"/>
  <c r="I155"/>
  <c r="I154"/>
  <c r="I153"/>
  <c r="I152"/>
  <c r="I151"/>
  <c r="I150"/>
  <c r="I149"/>
  <c r="I148"/>
  <c r="I147"/>
  <c r="I146"/>
  <c r="I145"/>
  <c r="I144"/>
  <c r="I143"/>
  <c r="I142"/>
  <c r="I141"/>
  <c r="I140"/>
  <c r="I139"/>
  <c r="I138"/>
  <c r="I137"/>
  <c r="I136"/>
  <c r="I135"/>
  <c r="I134"/>
  <c r="I133"/>
  <c r="I132"/>
  <c r="I131"/>
  <c r="I130"/>
  <c r="I129"/>
  <c r="I128"/>
  <c r="I127"/>
  <c r="I126"/>
  <c r="I125"/>
  <c r="I124"/>
  <c r="I123"/>
  <c r="I122"/>
  <c r="I121"/>
  <c r="I120"/>
  <c r="I119"/>
  <c r="I118"/>
  <c r="I117"/>
  <c r="I116"/>
  <c r="I115"/>
  <c r="I114"/>
  <c r="I113"/>
  <c r="I112"/>
  <c r="I111"/>
  <c r="I110"/>
  <c r="I109"/>
  <c r="I108"/>
  <c r="I107"/>
  <c r="I106"/>
  <c r="I105"/>
  <c r="I104"/>
  <c r="I103"/>
  <c r="I102"/>
  <c r="I101"/>
  <c r="I100"/>
  <c r="I99"/>
  <c r="I98"/>
  <c r="I97"/>
  <c r="I96"/>
  <c r="I95"/>
  <c r="I94"/>
  <c r="I93"/>
  <c r="I92"/>
  <c r="I91"/>
  <c r="I90"/>
  <c r="I89"/>
  <c r="I88"/>
  <c r="I87"/>
  <c r="I86"/>
  <c r="I85"/>
  <c r="I84"/>
  <c r="I83"/>
  <c r="I82"/>
  <c r="I81"/>
  <c r="I80"/>
  <c r="I79"/>
  <c r="I78"/>
  <c r="I77"/>
  <c r="I76"/>
  <c r="I75"/>
  <c r="B198" i="9"/>
  <c r="B171"/>
  <c r="B144"/>
  <c r="B117"/>
  <c r="B90" l="1"/>
  <c r="T113" i="4" l="1"/>
  <c r="Z192" i="2" l="1"/>
  <c r="B121" l="1"/>
  <c r="B94" i="7" l="1"/>
  <c r="B91" i="5"/>
  <c r="B96" i="6"/>
  <c r="B673" i="2"/>
  <c r="B215"/>
</calcChain>
</file>

<file path=xl/comments1.xml><?xml version="1.0" encoding="utf-8"?>
<comments xmlns="http://schemas.openxmlformats.org/spreadsheetml/2006/main">
  <authors>
    <author xml:space="preserve"> Anna Clark</author>
    <author>Jason E Cooper</author>
  </authors>
  <commentList>
    <comment ref="D27" authorId="0">
      <text>
        <r>
          <rPr>
            <sz val="8"/>
            <color indexed="81"/>
            <rFont val="Tahoma"/>
            <family val="2"/>
          </rPr>
          <t xml:space="preserve">Date members stopped accruing pension.
</t>
        </r>
      </text>
    </comment>
    <comment ref="E27" authorId="0">
      <text>
        <r>
          <rPr>
            <sz val="8"/>
            <color indexed="81"/>
            <rFont val="Calibri"/>
            <family val="2"/>
            <scheme val="minor"/>
          </rPr>
          <t>The first pension payment day after retirement</t>
        </r>
      </text>
    </comment>
    <comment ref="F27" authorId="0">
      <text>
        <r>
          <rPr>
            <sz val="8"/>
            <color indexed="81"/>
            <rFont val="Calibri"/>
            <family val="2"/>
            <scheme val="minor"/>
          </rPr>
          <t xml:space="preserve">To indicate which categories require coding for Benefit Statements.
</t>
        </r>
      </text>
    </comment>
    <comment ref="G27" authorId="0">
      <text>
        <r>
          <rPr>
            <sz val="8"/>
            <color indexed="81"/>
            <rFont val="Calibri"/>
            <family val="2"/>
            <scheme val="minor"/>
          </rPr>
          <t xml:space="preserve">To indicate which categories require coding for Active to Deferred calcuations.
</t>
        </r>
      </text>
    </comment>
    <comment ref="H27" authorId="0">
      <text>
        <r>
          <rPr>
            <sz val="8"/>
            <color indexed="81"/>
            <rFont val="Calibri"/>
            <family val="2"/>
            <scheme val="minor"/>
          </rPr>
          <t>To indicate which categories require coding for Active to Retirement  calcuations.</t>
        </r>
        <r>
          <rPr>
            <sz val="8"/>
            <color indexed="81"/>
            <rFont val="Tahoma"/>
            <family val="2"/>
          </rPr>
          <t xml:space="preserve">
</t>
        </r>
      </text>
    </comment>
    <comment ref="I27" authorId="0">
      <text>
        <r>
          <rPr>
            <sz val="8"/>
            <color indexed="81"/>
            <rFont val="Calibri"/>
            <family val="2"/>
            <scheme val="minor"/>
          </rPr>
          <t>To indicate which categories require coding for Deferred to Retirement calcuations.</t>
        </r>
      </text>
    </comment>
    <comment ref="J27" authorId="0">
      <text>
        <r>
          <rPr>
            <sz val="8"/>
            <color indexed="81"/>
            <rFont val="Calibri"/>
            <family val="2"/>
            <scheme val="minor"/>
          </rPr>
          <t>To indicate which categories require coding for Death calcuations.</t>
        </r>
        <r>
          <rPr>
            <sz val="8"/>
            <color indexed="81"/>
            <rFont val="Tahoma"/>
            <family val="2"/>
          </rPr>
          <t xml:space="preserve">
</t>
        </r>
      </text>
    </comment>
    <comment ref="G42" authorId="0">
      <text>
        <r>
          <rPr>
            <sz val="8"/>
            <color indexed="81"/>
            <rFont val="Tahoma"/>
            <family val="2"/>
          </rPr>
          <t xml:space="preserve">Used in SPA to NRD GMP revaluation for females.
</t>
        </r>
      </text>
    </comment>
    <comment ref="G49" authorId="0">
      <text>
        <r>
          <rPr>
            <sz val="8"/>
            <color indexed="81"/>
            <rFont val="Tahoma"/>
            <family val="2"/>
          </rPr>
          <t xml:space="preserve">Used in SPA to NRD GMP revaluation for females.
</t>
        </r>
      </text>
    </comment>
    <comment ref="G56" authorId="0">
      <text>
        <r>
          <rPr>
            <sz val="8"/>
            <color indexed="81"/>
            <rFont val="Tahoma"/>
            <family val="2"/>
          </rPr>
          <t xml:space="preserve">Used in SPA to NRD GMP revaluation for females.
</t>
        </r>
      </text>
    </comment>
    <comment ref="G63" authorId="0">
      <text>
        <r>
          <rPr>
            <sz val="8"/>
            <color indexed="81"/>
            <rFont val="Tahoma"/>
            <family val="2"/>
          </rPr>
          <t xml:space="preserve">Used in SPA to NRD GMP revaluation for females.
</t>
        </r>
      </text>
    </comment>
    <comment ref="G70" authorId="0">
      <text>
        <r>
          <rPr>
            <sz val="8"/>
            <color indexed="81"/>
            <rFont val="Tahoma"/>
            <family val="2"/>
          </rPr>
          <t xml:space="preserve">Used in SPA to NRD GMP revaluation for females.
</t>
        </r>
      </text>
    </comment>
    <comment ref="G77" authorId="0">
      <text>
        <r>
          <rPr>
            <sz val="8"/>
            <color indexed="81"/>
            <rFont val="Tahoma"/>
            <family val="2"/>
          </rPr>
          <t xml:space="preserve">Used in SPA to NRD GMP revaluation for females.
</t>
        </r>
      </text>
    </comment>
    <comment ref="G84" authorId="0">
      <text>
        <r>
          <rPr>
            <sz val="8"/>
            <color indexed="81"/>
            <rFont val="Tahoma"/>
            <family val="2"/>
          </rPr>
          <t xml:space="preserve">Used in SPA to NRD GMP revaluation for females.
</t>
        </r>
      </text>
    </comment>
    <comment ref="G90" authorId="0">
      <text>
        <r>
          <rPr>
            <sz val="8"/>
            <color indexed="81"/>
            <rFont val="Tahoma"/>
            <family val="2"/>
          </rPr>
          <t xml:space="preserve">Used in SPA to NRD GMP revaluation for females.
</t>
        </r>
      </text>
    </comment>
    <comment ref="G91" authorId="0">
      <text>
        <r>
          <rPr>
            <sz val="8"/>
            <color indexed="81"/>
            <rFont val="Tahoma"/>
            <family val="2"/>
          </rPr>
          <t xml:space="preserve">Used in SPA to NRD GMP revaluation for females.
</t>
        </r>
      </text>
    </comment>
    <comment ref="G98" authorId="0">
      <text>
        <r>
          <rPr>
            <sz val="8"/>
            <color indexed="81"/>
            <rFont val="Tahoma"/>
            <family val="2"/>
          </rPr>
          <t xml:space="preserve">Used in SPA to NRD GMP revaluation for females.
</t>
        </r>
      </text>
    </comment>
    <comment ref="G105" authorId="0">
      <text>
        <r>
          <rPr>
            <sz val="8"/>
            <color indexed="81"/>
            <rFont val="Tahoma"/>
            <family val="2"/>
          </rPr>
          <t xml:space="preserve">Used in SPA to NRD GMP revaluation for females.
</t>
        </r>
      </text>
    </comment>
    <comment ref="F214" authorId="1">
      <text>
        <r>
          <rPr>
            <b/>
            <sz val="9"/>
            <color indexed="81"/>
            <rFont val="Tahoma"/>
            <family val="2"/>
          </rPr>
          <t>Jason E Cooper:</t>
        </r>
        <r>
          <rPr>
            <sz val="9"/>
            <color indexed="81"/>
            <rFont val="Tahoma"/>
            <family val="2"/>
          </rPr>
          <t xml:space="preserve">
Unclear if this is needed.</t>
        </r>
      </text>
    </comment>
    <comment ref="F236" authorId="1">
      <text>
        <r>
          <rPr>
            <b/>
            <sz val="9"/>
            <color indexed="81"/>
            <rFont val="Tahoma"/>
            <family val="2"/>
          </rPr>
          <t>Jason E Cooper:</t>
        </r>
        <r>
          <rPr>
            <sz val="9"/>
            <color indexed="81"/>
            <rFont val="Tahoma"/>
            <family val="2"/>
          </rPr>
          <t xml:space="preserve">
Unclear if this is needed.</t>
        </r>
      </text>
    </comment>
    <comment ref="F258" authorId="1">
      <text>
        <r>
          <rPr>
            <b/>
            <sz val="9"/>
            <color indexed="81"/>
            <rFont val="Tahoma"/>
            <family val="2"/>
          </rPr>
          <t>Jason E Cooper:</t>
        </r>
        <r>
          <rPr>
            <sz val="9"/>
            <color indexed="81"/>
            <rFont val="Tahoma"/>
            <family val="2"/>
          </rPr>
          <t xml:space="preserve">
Unclear if this is needed.</t>
        </r>
      </text>
    </comment>
    <comment ref="F280" authorId="1">
      <text>
        <r>
          <rPr>
            <b/>
            <sz val="9"/>
            <color indexed="81"/>
            <rFont val="Tahoma"/>
            <family val="2"/>
          </rPr>
          <t>Jason E Cooper:</t>
        </r>
        <r>
          <rPr>
            <sz val="9"/>
            <color indexed="81"/>
            <rFont val="Tahoma"/>
            <family val="2"/>
          </rPr>
          <t xml:space="preserve">
Unclear if this is needed.</t>
        </r>
      </text>
    </comment>
    <comment ref="F302" authorId="1">
      <text>
        <r>
          <rPr>
            <b/>
            <sz val="9"/>
            <color indexed="81"/>
            <rFont val="Tahoma"/>
            <family val="2"/>
          </rPr>
          <t>Jason E Cooper:</t>
        </r>
        <r>
          <rPr>
            <sz val="9"/>
            <color indexed="81"/>
            <rFont val="Tahoma"/>
            <family val="2"/>
          </rPr>
          <t xml:space="preserve">
Unclear if this is needed.</t>
        </r>
      </text>
    </comment>
    <comment ref="F324" authorId="1">
      <text>
        <r>
          <rPr>
            <b/>
            <sz val="9"/>
            <color indexed="81"/>
            <rFont val="Tahoma"/>
            <family val="2"/>
          </rPr>
          <t>Jason E Cooper:</t>
        </r>
        <r>
          <rPr>
            <sz val="9"/>
            <color indexed="81"/>
            <rFont val="Tahoma"/>
            <family val="2"/>
          </rPr>
          <t xml:space="preserve">
Unclear if this is needed.</t>
        </r>
      </text>
    </comment>
    <comment ref="F346" authorId="1">
      <text>
        <r>
          <rPr>
            <b/>
            <sz val="9"/>
            <color indexed="81"/>
            <rFont val="Tahoma"/>
            <family val="2"/>
          </rPr>
          <t>Jason E Cooper:</t>
        </r>
        <r>
          <rPr>
            <sz val="9"/>
            <color indexed="81"/>
            <rFont val="Tahoma"/>
            <family val="2"/>
          </rPr>
          <t xml:space="preserve">
Unclear if this is needed.</t>
        </r>
      </text>
    </comment>
    <comment ref="F368" authorId="1">
      <text>
        <r>
          <rPr>
            <b/>
            <sz val="9"/>
            <color indexed="81"/>
            <rFont val="Tahoma"/>
            <family val="2"/>
          </rPr>
          <t>Jason E Cooper:</t>
        </r>
        <r>
          <rPr>
            <sz val="9"/>
            <color indexed="81"/>
            <rFont val="Tahoma"/>
            <family val="2"/>
          </rPr>
          <t xml:space="preserve">
Unclear if this is needed.</t>
        </r>
      </text>
    </comment>
    <comment ref="F390" authorId="1">
      <text>
        <r>
          <rPr>
            <b/>
            <sz val="9"/>
            <color indexed="81"/>
            <rFont val="Tahoma"/>
            <family val="2"/>
          </rPr>
          <t>Jason E Cooper:</t>
        </r>
        <r>
          <rPr>
            <sz val="9"/>
            <color indexed="81"/>
            <rFont val="Tahoma"/>
            <family val="2"/>
          </rPr>
          <t xml:space="preserve">
Unclear if this is needed.</t>
        </r>
      </text>
    </comment>
    <comment ref="F412" authorId="1">
      <text>
        <r>
          <rPr>
            <b/>
            <sz val="9"/>
            <color indexed="81"/>
            <rFont val="Tahoma"/>
            <family val="2"/>
          </rPr>
          <t>Jason E Cooper:</t>
        </r>
        <r>
          <rPr>
            <sz val="9"/>
            <color indexed="81"/>
            <rFont val="Tahoma"/>
            <family val="2"/>
          </rPr>
          <t xml:space="preserve">
Unclear if this is needed.</t>
        </r>
      </text>
    </comment>
    <comment ref="B946" authorId="0">
      <text>
        <r>
          <rPr>
            <sz val="8"/>
            <color indexed="81"/>
            <rFont val="Tahoma"/>
            <family val="2"/>
          </rPr>
          <t xml:space="preserve">i.e. a money purchase fund or added years.
</t>
        </r>
      </text>
    </comment>
    <comment ref="C946" authorId="0">
      <text>
        <r>
          <rPr>
            <sz val="8"/>
            <color indexed="81"/>
            <rFont val="Tahoma"/>
            <family val="2"/>
          </rPr>
          <t xml:space="preserve">i.e. a money purchase fund or added years.
</t>
        </r>
      </text>
    </comment>
    <comment ref="E946" authorId="0">
      <text>
        <r>
          <rPr>
            <sz val="8"/>
            <color indexed="81"/>
            <rFont val="Tahoma"/>
            <family val="2"/>
          </rPr>
          <t xml:space="preserve">This only needs to be completed if AVC pension is paid by the scheme and needs to be calculated as part of the automation.
</t>
        </r>
      </text>
    </comment>
    <comment ref="L946" authorId="0">
      <text>
        <r>
          <rPr>
            <sz val="8"/>
            <color indexed="81"/>
            <rFont val="Tahoma"/>
            <family val="2"/>
          </rPr>
          <t xml:space="preserve">Please select from drop down list.  If the option you require is not available please add additional requirements below.
</t>
        </r>
      </text>
    </comment>
    <comment ref="D967" authorId="0">
      <text>
        <r>
          <rPr>
            <sz val="8"/>
            <color indexed="81"/>
            <rFont val="Tahoma"/>
            <family val="2"/>
          </rPr>
          <t xml:space="preserve">This only needs to be completed if the DC pension is paid by the scheme and needs to be calculated as part of the automation.
</t>
        </r>
      </text>
    </comment>
    <comment ref="C988" authorId="0">
      <text>
        <r>
          <rPr>
            <sz val="8"/>
            <color indexed="81"/>
            <rFont val="Tahoma"/>
            <family val="2"/>
          </rPr>
          <t xml:space="preserve">i.e. 3n/80ths or previous IR Maximum
</t>
        </r>
      </text>
    </comment>
    <comment ref="F988" authorId="0">
      <text>
        <r>
          <rPr>
            <sz val="8"/>
            <color indexed="81"/>
            <rFont val="Tahoma"/>
            <family val="2"/>
          </rPr>
          <t xml:space="preserve">Please select from the drop down list. 
</t>
        </r>
        <r>
          <rPr>
            <b/>
            <sz val="8"/>
            <color indexed="81"/>
            <rFont val="Tahoma"/>
            <family val="2"/>
          </rPr>
          <t>Single Factor Table</t>
        </r>
        <r>
          <rPr>
            <sz val="8"/>
            <color indexed="81"/>
            <rFont val="Tahoma"/>
            <family val="2"/>
          </rPr>
          <t xml:space="preserve">:  One table with factors based on age or years and months to retirement.
</t>
        </r>
        <r>
          <rPr>
            <b/>
            <sz val="8"/>
            <color indexed="81"/>
            <rFont val="Tahoma"/>
            <family val="2"/>
          </rPr>
          <t xml:space="preserve">Separate: </t>
        </r>
        <r>
          <rPr>
            <sz val="8"/>
            <color indexed="81"/>
            <rFont val="Tahoma"/>
            <family val="2"/>
          </rPr>
          <t xml:space="preserve">When commutation factors are split at one or more dates and the pension is broken down into splits and each part commuted separately.
</t>
        </r>
        <r>
          <rPr>
            <b/>
            <sz val="8"/>
            <color indexed="81"/>
            <rFont val="Tahoma"/>
            <family val="2"/>
          </rPr>
          <t>Averaged</t>
        </r>
        <r>
          <rPr>
            <sz val="8"/>
            <color indexed="81"/>
            <rFont val="Tahoma"/>
            <family val="2"/>
          </rPr>
          <t xml:space="preserve">: When commutation factors are split at one or more dates and a single averaged commutation factor is calculated.
</t>
        </r>
        <r>
          <rPr>
            <sz val="8"/>
            <color indexed="81"/>
            <rFont val="Tahoma"/>
            <family val="2"/>
          </rPr>
          <t xml:space="preserve">
</t>
        </r>
      </text>
    </comment>
    <comment ref="E1028" authorId="0">
      <text>
        <r>
          <rPr>
            <sz val="8"/>
            <color indexed="81"/>
            <rFont val="Tahoma"/>
            <family val="2"/>
          </rPr>
          <t xml:space="preserve">The accrual rate should be entered as fraction. e.g. 3/80
</t>
        </r>
      </text>
    </comment>
    <comment ref="C1085" authorId="0">
      <text>
        <r>
          <rPr>
            <sz val="8"/>
            <color indexed="81"/>
            <rFont val="Tahoma"/>
            <family val="2"/>
          </rPr>
          <t>e.g. 50%, 66.67% .  If different percentages apply to different categories or tranches of service these can be detailed on the Benefit Statement tab.</t>
        </r>
      </text>
    </comment>
    <comment ref="D1085" authorId="0">
      <text>
        <r>
          <rPr>
            <sz val="8"/>
            <color indexed="81"/>
            <rFont val="Tahoma"/>
            <family val="2"/>
          </rPr>
          <t xml:space="preserve">e.g.  Pension at NRD, Pension at Date of Death, Salary at Date of Death
</t>
        </r>
      </text>
    </comment>
    <comment ref="G1085" authorId="0">
      <text>
        <r>
          <rPr>
            <sz val="8"/>
            <color indexed="81"/>
            <rFont val="Tahoma"/>
            <family val="2"/>
          </rPr>
          <t xml:space="preserve">If a table of factors is used please add this to the Factors tab.
</t>
        </r>
      </text>
    </comment>
    <comment ref="C1099" authorId="0">
      <text>
        <r>
          <rPr>
            <sz val="8"/>
            <color indexed="81"/>
            <rFont val="Tahoma"/>
            <family val="2"/>
          </rPr>
          <t xml:space="preserve">e.g. 50%, 66.67%. If different percentages apply to different categories or tranches of service these can be detailed on the Active to Deferred tab.
</t>
        </r>
      </text>
    </comment>
    <comment ref="D1099" authorId="0">
      <text>
        <r>
          <rPr>
            <sz val="8"/>
            <color indexed="81"/>
            <rFont val="Tahoma"/>
            <family val="2"/>
          </rPr>
          <t xml:space="preserve">e.g.  Pension at DOL, Pension  at DOL revalued to Date of  Death.
</t>
        </r>
      </text>
    </comment>
    <comment ref="G1099" authorId="0">
      <text>
        <r>
          <rPr>
            <sz val="8"/>
            <color indexed="81"/>
            <rFont val="Tahoma"/>
            <family val="2"/>
          </rPr>
          <t xml:space="preserve">If a table of factors is used please add this to the Factors tab.
</t>
        </r>
      </text>
    </comment>
    <comment ref="C1172" authorId="0">
      <text>
        <r>
          <rPr>
            <sz val="8"/>
            <color indexed="81"/>
            <rFont val="Tahoma"/>
            <family val="2"/>
          </rPr>
          <t>This is in connection with the total number of children designated to the percentage. For instance, the first child may get more pension if there is no second child. e.g. a single child may get a full 50%, whilst if there are two children, it is split 25% and 25%.</t>
        </r>
      </text>
    </comment>
    <comment ref="E1172" authorId="0">
      <text>
        <r>
          <rPr>
            <sz val="8"/>
            <color indexed="81"/>
            <rFont val="Tahoma"/>
            <family val="2"/>
          </rPr>
          <t xml:space="preserve">The code assumes that the child's pension is taken as a percentage of the member’s pension. So even if the scheme rules say that it is a percentage of the spouse’s pension, then the child’s percentage should be combined with the spouse’s percentage before entering.
</t>
        </r>
      </text>
    </comment>
    <comment ref="F1172" authorId="0">
      <text>
        <r>
          <rPr>
            <sz val="8"/>
            <color indexed="81"/>
            <rFont val="Tahoma"/>
            <family val="2"/>
          </rPr>
          <t>If there is no spouse, then a child may get more pension, so two sets of percentages can be set up, one with a Yes and another with a No. If there is no difference, then there is no need to set them up twice, instead just set this flag to either.</t>
        </r>
      </text>
    </comment>
    <comment ref="I1172" authorId="0">
      <text>
        <r>
          <rPr>
            <sz val="8"/>
            <color indexed="81"/>
            <rFont val="Tahoma"/>
            <family val="2"/>
          </rPr>
          <t>This is in connection with the total number of children designated to the percentage. For instance, the first child may get more pension if there is no second child. e.g. a single child may get a full 50%, whilst if there are two children, it is split 25% and 25%.</t>
        </r>
      </text>
    </comment>
    <comment ref="K1172" authorId="0">
      <text>
        <r>
          <rPr>
            <sz val="8"/>
            <color indexed="81"/>
            <rFont val="Tahoma"/>
            <family val="2"/>
          </rPr>
          <t xml:space="preserve">The code assumes that the child's pension is taken as a percentage of the member’s pension. So even if the scheme rules say that it is a percentage of the spouse’s pension, then the child’s percentage should be combined with the spouse’s percentage before entering.
</t>
        </r>
      </text>
    </comment>
    <comment ref="L1172" authorId="0">
      <text>
        <r>
          <rPr>
            <sz val="8"/>
            <color indexed="81"/>
            <rFont val="Tahoma"/>
            <family val="2"/>
          </rPr>
          <t>If there is no spouse, then a child may get more pension, so two sets of percentages can be set up, one with a Yes and another with a No. If there is no difference, then there is no need to set them up twice, instead just set this flag to either.</t>
        </r>
      </text>
    </comment>
    <comment ref="C1194" authorId="0">
      <text>
        <r>
          <rPr>
            <sz val="8"/>
            <color indexed="81"/>
            <rFont val="Tahoma"/>
            <family val="2"/>
          </rPr>
          <t>This is in connection with the total number of children designated to the percentage. For instance, the first child may get more pension if there is no second child. e.g. a single child may get a full 50%, whilst if there are two children, it is split 25% and 25%.</t>
        </r>
      </text>
    </comment>
    <comment ref="E1194" authorId="0">
      <text>
        <r>
          <rPr>
            <sz val="8"/>
            <color indexed="81"/>
            <rFont val="Tahoma"/>
            <family val="2"/>
          </rPr>
          <t xml:space="preserve">The code assumes that the child's pension is taken as a percentage of the member’s pension. So even if the scheme rules say that it is a percentage of the spouse’s pension, then the child’s percentage should be combined with the spouse’s percentage before entering.
</t>
        </r>
      </text>
    </comment>
    <comment ref="F1194" authorId="0">
      <text>
        <r>
          <rPr>
            <sz val="8"/>
            <color indexed="81"/>
            <rFont val="Tahoma"/>
            <family val="2"/>
          </rPr>
          <t>If there is no spouse, then a child may get more pension, so two sets of percentages can be set up, one with a Yes and another with a No. If there is no difference, then there is no need to set them up twice, instead just set this flag to either.</t>
        </r>
      </text>
    </comment>
    <comment ref="I1194" authorId="0">
      <text>
        <r>
          <rPr>
            <sz val="8"/>
            <color indexed="81"/>
            <rFont val="Tahoma"/>
            <family val="2"/>
          </rPr>
          <t>This is in connection with the total number of children designated to the percentage. For instance, the first child may get more pension if there is no second child. e.g. a single child may get a full 50%, whilst if there are two children, it is split 25% and 25%.</t>
        </r>
      </text>
    </comment>
    <comment ref="K1194" authorId="0">
      <text>
        <r>
          <rPr>
            <sz val="8"/>
            <color indexed="81"/>
            <rFont val="Tahoma"/>
            <family val="2"/>
          </rPr>
          <t xml:space="preserve">The code assumes that the child's pension is taken as a percentage of the member’s pension. So even if the scheme rules say that it is a percentage of the spouse’s pension, then the child’s percentage should be combined with the spouse’s percentage before entering.
</t>
        </r>
      </text>
    </comment>
    <comment ref="L1194" authorId="0">
      <text>
        <r>
          <rPr>
            <sz val="8"/>
            <color indexed="81"/>
            <rFont val="Tahoma"/>
            <family val="2"/>
          </rPr>
          <t>If there is no spouse, then a child may get more pension, so two sets of percentages can be set up, one with a Yes and another with a No. If there is no difference, then there is no need to set them up twice, instead just set this flag to either.</t>
        </r>
      </text>
    </comment>
    <comment ref="C1216" authorId="0">
      <text>
        <r>
          <rPr>
            <sz val="8"/>
            <color indexed="81"/>
            <rFont val="Tahoma"/>
            <family val="2"/>
          </rPr>
          <t>This is in connection with the total number of children designated to the percentage. For instance, the first child may get more pension if there is no second child. e.g. a single child may get a full 50%, whilst if there are two children, it is split 25% and 25%.</t>
        </r>
      </text>
    </comment>
    <comment ref="E1216" authorId="0">
      <text>
        <r>
          <rPr>
            <sz val="8"/>
            <color indexed="81"/>
            <rFont val="Tahoma"/>
            <family val="2"/>
          </rPr>
          <t xml:space="preserve">The code assumes that the child's pension is taken as a percentage of the member’s pension. So even if the scheme rules say that it is a percentage of the spouse’s pension, then the child’s percentage should be combined with the spouse’s percentage before entering.
</t>
        </r>
      </text>
    </comment>
    <comment ref="F1216" authorId="0">
      <text>
        <r>
          <rPr>
            <sz val="8"/>
            <color indexed="81"/>
            <rFont val="Tahoma"/>
            <family val="2"/>
          </rPr>
          <t>If there is no spouse, then a child may get more pension, so two sets of percentages can be set up, one with a Yes and another with a No. If there is no difference, then there is no need to set them up twice, instead just set this flag to either.</t>
        </r>
      </text>
    </comment>
    <comment ref="I1216" authorId="0">
      <text>
        <r>
          <rPr>
            <sz val="8"/>
            <color indexed="81"/>
            <rFont val="Tahoma"/>
            <family val="2"/>
          </rPr>
          <t>This is in connection with the total number of children designated to the percentage. For instance, the first child may get more pension if there is no second child. e.g. a single child may get a full 50%, whilst if there are two children, it is split 25% and 25%.</t>
        </r>
      </text>
    </comment>
    <comment ref="K1216" authorId="0">
      <text>
        <r>
          <rPr>
            <sz val="8"/>
            <color indexed="81"/>
            <rFont val="Tahoma"/>
            <family val="2"/>
          </rPr>
          <t xml:space="preserve">The code assumes that the child's pension is taken as a percentage of the member’s pension. So even if the scheme rules say that it is a percentage of the spouse’s pension, then the child’s percentage should be combined with the spouse’s percentage before entering.
</t>
        </r>
      </text>
    </comment>
    <comment ref="L1216" authorId="0">
      <text>
        <r>
          <rPr>
            <sz val="8"/>
            <color indexed="81"/>
            <rFont val="Tahoma"/>
            <family val="2"/>
          </rPr>
          <t>If there is no spouse, then a child may get more pension, so two sets of percentages can be set up, one with a Yes and another with a No. If there is no difference, then there is no need to set them up twice, instead just set this flag to either.</t>
        </r>
      </text>
    </comment>
    <comment ref="C1243" authorId="0">
      <text>
        <r>
          <rPr>
            <sz val="8"/>
            <color indexed="81"/>
            <rFont val="Tahoma"/>
            <family val="2"/>
          </rPr>
          <t>If this is answered as YES, then if the current rules mean a trivial commutation could be paid, then a final check is done to check whether Pre commutation pension + any AVC/DC Fund pensions are greater than £260, and if they are, then the trivial commutation will not be allowed.
If you answer NO, then this additional check will not be performed.</t>
        </r>
      </text>
    </comment>
  </commentList>
</comments>
</file>

<file path=xl/comments2.xml><?xml version="1.0" encoding="utf-8"?>
<comments xmlns="http://schemas.openxmlformats.org/spreadsheetml/2006/main">
  <authors>
    <author>Justin Holmes</author>
  </authors>
  <commentList>
    <comment ref="B18" authorId="0">
      <text>
        <r>
          <rPr>
            <sz val="9"/>
            <color indexed="81"/>
            <rFont val="Tahoma"/>
            <family val="2"/>
          </rPr>
          <t>e.g. Age in years and months.</t>
        </r>
      </text>
    </comment>
    <comment ref="F18" authorId="0">
      <text>
        <r>
          <rPr>
            <sz val="9"/>
            <color indexed="81"/>
            <rFont val="Tahoma"/>
            <family val="2"/>
          </rPr>
          <t>e.g. Age in years and months.</t>
        </r>
      </text>
    </comment>
    <comment ref="J18" authorId="0">
      <text>
        <r>
          <rPr>
            <sz val="9"/>
            <color indexed="81"/>
            <rFont val="Tahoma"/>
            <family val="2"/>
          </rPr>
          <t>e.g. Age in years and months.</t>
        </r>
      </text>
    </comment>
    <comment ref="N18" authorId="0">
      <text>
        <r>
          <rPr>
            <sz val="9"/>
            <color indexed="81"/>
            <rFont val="Tahoma"/>
            <family val="2"/>
          </rPr>
          <t>e.g. Age in years and months.</t>
        </r>
      </text>
    </comment>
    <comment ref="R18" authorId="0">
      <text>
        <r>
          <rPr>
            <sz val="9"/>
            <color indexed="81"/>
            <rFont val="Tahoma"/>
            <family val="2"/>
          </rPr>
          <t>e.g. Age in years and months.</t>
        </r>
      </text>
    </comment>
    <comment ref="V18" authorId="0">
      <text>
        <r>
          <rPr>
            <sz val="9"/>
            <color indexed="81"/>
            <rFont val="Tahoma"/>
            <family val="2"/>
          </rPr>
          <t>e.g. Age in years and months.</t>
        </r>
      </text>
    </comment>
    <comment ref="Z18" authorId="0">
      <text>
        <r>
          <rPr>
            <sz val="9"/>
            <color indexed="81"/>
            <rFont val="Tahoma"/>
            <family val="2"/>
          </rPr>
          <t>e.g. Age in years and months.</t>
        </r>
      </text>
    </comment>
    <comment ref="AD18" authorId="0">
      <text>
        <r>
          <rPr>
            <sz val="9"/>
            <color indexed="81"/>
            <rFont val="Tahoma"/>
            <family val="2"/>
          </rPr>
          <t>e.g. Age in years and months.</t>
        </r>
      </text>
    </comment>
    <comment ref="AH18" authorId="0">
      <text>
        <r>
          <rPr>
            <sz val="9"/>
            <color indexed="81"/>
            <rFont val="Tahoma"/>
            <family val="2"/>
          </rPr>
          <t>e.g. Age in years and months.</t>
        </r>
      </text>
    </comment>
    <comment ref="AL18" authorId="0">
      <text>
        <r>
          <rPr>
            <sz val="9"/>
            <color indexed="81"/>
            <rFont val="Tahoma"/>
            <family val="2"/>
          </rPr>
          <t>e.g. Age in years and months.</t>
        </r>
      </text>
    </comment>
    <comment ref="B19" authorId="0">
      <text>
        <r>
          <rPr>
            <sz val="9"/>
            <color indexed="81"/>
            <rFont val="Tahoma"/>
            <family val="2"/>
          </rPr>
          <t>Up, Down or Nearest</t>
        </r>
      </text>
    </comment>
    <comment ref="F19" authorId="0">
      <text>
        <r>
          <rPr>
            <b/>
            <sz val="9"/>
            <color indexed="81"/>
            <rFont val="Tahoma"/>
            <family val="2"/>
          </rPr>
          <t>:</t>
        </r>
        <r>
          <rPr>
            <sz val="9"/>
            <color indexed="81"/>
            <rFont val="Tahoma"/>
            <family val="2"/>
          </rPr>
          <t xml:space="preserve">
Up, Down or Nearest</t>
        </r>
      </text>
    </comment>
    <comment ref="J19" authorId="0">
      <text>
        <r>
          <rPr>
            <b/>
            <sz val="9"/>
            <color indexed="81"/>
            <rFont val="Tahoma"/>
            <family val="2"/>
          </rPr>
          <t>:</t>
        </r>
        <r>
          <rPr>
            <sz val="9"/>
            <color indexed="81"/>
            <rFont val="Tahoma"/>
            <family val="2"/>
          </rPr>
          <t xml:space="preserve">
Up, Down or Nearest</t>
        </r>
      </text>
    </comment>
    <comment ref="N19" authorId="0">
      <text>
        <r>
          <rPr>
            <b/>
            <sz val="9"/>
            <color indexed="81"/>
            <rFont val="Tahoma"/>
            <family val="2"/>
          </rPr>
          <t>:</t>
        </r>
        <r>
          <rPr>
            <sz val="9"/>
            <color indexed="81"/>
            <rFont val="Tahoma"/>
            <family val="2"/>
          </rPr>
          <t xml:space="preserve">
Up, Down or Nearest</t>
        </r>
      </text>
    </comment>
    <comment ref="R19" authorId="0">
      <text>
        <r>
          <rPr>
            <b/>
            <sz val="9"/>
            <color indexed="81"/>
            <rFont val="Tahoma"/>
            <family val="2"/>
          </rPr>
          <t>:</t>
        </r>
        <r>
          <rPr>
            <sz val="9"/>
            <color indexed="81"/>
            <rFont val="Tahoma"/>
            <family val="2"/>
          </rPr>
          <t xml:space="preserve">
Up, Down or Nearest</t>
        </r>
      </text>
    </comment>
    <comment ref="V19" authorId="0">
      <text>
        <r>
          <rPr>
            <b/>
            <sz val="9"/>
            <color indexed="81"/>
            <rFont val="Tahoma"/>
            <family val="2"/>
          </rPr>
          <t>:</t>
        </r>
        <r>
          <rPr>
            <sz val="9"/>
            <color indexed="81"/>
            <rFont val="Tahoma"/>
            <family val="2"/>
          </rPr>
          <t xml:space="preserve">
Up, Down or Nearest</t>
        </r>
      </text>
    </comment>
    <comment ref="Z19" authorId="0">
      <text>
        <r>
          <rPr>
            <b/>
            <sz val="9"/>
            <color indexed="81"/>
            <rFont val="Tahoma"/>
            <family val="2"/>
          </rPr>
          <t>:</t>
        </r>
        <r>
          <rPr>
            <sz val="9"/>
            <color indexed="81"/>
            <rFont val="Tahoma"/>
            <family val="2"/>
          </rPr>
          <t xml:space="preserve">
Up, Down or Nearest</t>
        </r>
      </text>
    </comment>
    <comment ref="AD19" authorId="0">
      <text>
        <r>
          <rPr>
            <b/>
            <sz val="9"/>
            <color indexed="81"/>
            <rFont val="Tahoma"/>
            <family val="2"/>
          </rPr>
          <t>:</t>
        </r>
        <r>
          <rPr>
            <sz val="9"/>
            <color indexed="81"/>
            <rFont val="Tahoma"/>
            <family val="2"/>
          </rPr>
          <t xml:space="preserve">
Up, Down or Nearest</t>
        </r>
      </text>
    </comment>
    <comment ref="AH19" authorId="0">
      <text>
        <r>
          <rPr>
            <b/>
            <sz val="9"/>
            <color indexed="81"/>
            <rFont val="Tahoma"/>
            <family val="2"/>
          </rPr>
          <t>:</t>
        </r>
        <r>
          <rPr>
            <sz val="9"/>
            <color indexed="81"/>
            <rFont val="Tahoma"/>
            <family val="2"/>
          </rPr>
          <t xml:space="preserve">
Up, Down or Nearest</t>
        </r>
      </text>
    </comment>
    <comment ref="AL19" authorId="0">
      <text>
        <r>
          <rPr>
            <b/>
            <sz val="9"/>
            <color indexed="81"/>
            <rFont val="Tahoma"/>
            <family val="2"/>
          </rPr>
          <t>:</t>
        </r>
        <r>
          <rPr>
            <sz val="9"/>
            <color indexed="81"/>
            <rFont val="Tahoma"/>
            <family val="2"/>
          </rPr>
          <t xml:space="preserve">
Up, Down or Nearest</t>
        </r>
      </text>
    </comment>
    <comment ref="B234" authorId="0">
      <text>
        <r>
          <rPr>
            <sz val="9"/>
            <color indexed="81"/>
            <rFont val="Tahoma"/>
            <family val="2"/>
          </rPr>
          <t>e.g. Age in years and months.</t>
        </r>
      </text>
    </comment>
    <comment ref="F234" authorId="0">
      <text>
        <r>
          <rPr>
            <sz val="9"/>
            <color indexed="81"/>
            <rFont val="Tahoma"/>
            <family val="2"/>
          </rPr>
          <t>e.g. Age in years and months.</t>
        </r>
      </text>
    </comment>
    <comment ref="J234" authorId="0">
      <text>
        <r>
          <rPr>
            <sz val="9"/>
            <color indexed="81"/>
            <rFont val="Tahoma"/>
            <family val="2"/>
          </rPr>
          <t>e.g. Age in years and months.</t>
        </r>
      </text>
    </comment>
    <comment ref="N234" authorId="0">
      <text>
        <r>
          <rPr>
            <sz val="9"/>
            <color indexed="81"/>
            <rFont val="Tahoma"/>
            <family val="2"/>
          </rPr>
          <t>e.g. Age in years and months.</t>
        </r>
      </text>
    </comment>
    <comment ref="R234" authorId="0">
      <text>
        <r>
          <rPr>
            <sz val="9"/>
            <color indexed="81"/>
            <rFont val="Tahoma"/>
            <family val="2"/>
          </rPr>
          <t>e.g. Age in years and months.</t>
        </r>
      </text>
    </comment>
    <comment ref="V234" authorId="0">
      <text>
        <r>
          <rPr>
            <sz val="9"/>
            <color indexed="81"/>
            <rFont val="Tahoma"/>
            <family val="2"/>
          </rPr>
          <t>e.g. Age in years and months.</t>
        </r>
      </text>
    </comment>
    <comment ref="Z234" authorId="0">
      <text>
        <r>
          <rPr>
            <sz val="9"/>
            <color indexed="81"/>
            <rFont val="Tahoma"/>
            <family val="2"/>
          </rPr>
          <t>e.g. Age in years and months.</t>
        </r>
      </text>
    </comment>
    <comment ref="AD234" authorId="0">
      <text>
        <r>
          <rPr>
            <sz val="9"/>
            <color indexed="81"/>
            <rFont val="Tahoma"/>
            <family val="2"/>
          </rPr>
          <t>e.g. Age in years and months.</t>
        </r>
      </text>
    </comment>
    <comment ref="AH234" authorId="0">
      <text>
        <r>
          <rPr>
            <sz val="9"/>
            <color indexed="81"/>
            <rFont val="Tahoma"/>
            <family val="2"/>
          </rPr>
          <t>e.g. Age in years and months.</t>
        </r>
      </text>
    </comment>
    <comment ref="AL234" authorId="0">
      <text>
        <r>
          <rPr>
            <sz val="9"/>
            <color indexed="81"/>
            <rFont val="Tahoma"/>
            <family val="2"/>
          </rPr>
          <t>e.g. Age in years and months.</t>
        </r>
      </text>
    </comment>
    <comment ref="B235" authorId="0">
      <text>
        <r>
          <rPr>
            <b/>
            <sz val="9"/>
            <color indexed="81"/>
            <rFont val="Tahoma"/>
            <family val="2"/>
          </rPr>
          <t>:</t>
        </r>
        <r>
          <rPr>
            <sz val="9"/>
            <color indexed="81"/>
            <rFont val="Tahoma"/>
            <family val="2"/>
          </rPr>
          <t xml:space="preserve">
Up, Down or Nearest</t>
        </r>
      </text>
    </comment>
    <comment ref="F235" authorId="0">
      <text>
        <r>
          <rPr>
            <b/>
            <sz val="9"/>
            <color indexed="81"/>
            <rFont val="Tahoma"/>
            <family val="2"/>
          </rPr>
          <t>:</t>
        </r>
        <r>
          <rPr>
            <sz val="9"/>
            <color indexed="81"/>
            <rFont val="Tahoma"/>
            <family val="2"/>
          </rPr>
          <t xml:space="preserve">
Up, Down or Nearest</t>
        </r>
      </text>
    </comment>
    <comment ref="J235" authorId="0">
      <text>
        <r>
          <rPr>
            <b/>
            <sz val="9"/>
            <color indexed="81"/>
            <rFont val="Tahoma"/>
            <family val="2"/>
          </rPr>
          <t>:</t>
        </r>
        <r>
          <rPr>
            <sz val="9"/>
            <color indexed="81"/>
            <rFont val="Tahoma"/>
            <family val="2"/>
          </rPr>
          <t xml:space="preserve">
Up, Down or Nearest</t>
        </r>
      </text>
    </comment>
    <comment ref="N235" authorId="0">
      <text>
        <r>
          <rPr>
            <b/>
            <sz val="9"/>
            <color indexed="81"/>
            <rFont val="Tahoma"/>
            <family val="2"/>
          </rPr>
          <t>:</t>
        </r>
        <r>
          <rPr>
            <sz val="9"/>
            <color indexed="81"/>
            <rFont val="Tahoma"/>
            <family val="2"/>
          </rPr>
          <t xml:space="preserve">
Up, Down or Nearest</t>
        </r>
      </text>
    </comment>
    <comment ref="R235" authorId="0">
      <text>
        <r>
          <rPr>
            <b/>
            <sz val="9"/>
            <color indexed="81"/>
            <rFont val="Tahoma"/>
            <family val="2"/>
          </rPr>
          <t>:</t>
        </r>
        <r>
          <rPr>
            <sz val="9"/>
            <color indexed="81"/>
            <rFont val="Tahoma"/>
            <family val="2"/>
          </rPr>
          <t xml:space="preserve">
Up, Down or Nearest</t>
        </r>
      </text>
    </comment>
    <comment ref="V235" authorId="0">
      <text>
        <r>
          <rPr>
            <b/>
            <sz val="9"/>
            <color indexed="81"/>
            <rFont val="Tahoma"/>
            <family val="2"/>
          </rPr>
          <t>:</t>
        </r>
        <r>
          <rPr>
            <sz val="9"/>
            <color indexed="81"/>
            <rFont val="Tahoma"/>
            <family val="2"/>
          </rPr>
          <t xml:space="preserve">
Up, Down or Nearest</t>
        </r>
      </text>
    </comment>
    <comment ref="Z235" authorId="0">
      <text>
        <r>
          <rPr>
            <b/>
            <sz val="9"/>
            <color indexed="81"/>
            <rFont val="Tahoma"/>
            <family val="2"/>
          </rPr>
          <t>:</t>
        </r>
        <r>
          <rPr>
            <sz val="9"/>
            <color indexed="81"/>
            <rFont val="Tahoma"/>
            <family val="2"/>
          </rPr>
          <t xml:space="preserve">
Up, Down or Nearest</t>
        </r>
      </text>
    </comment>
    <comment ref="AD235" authorId="0">
      <text>
        <r>
          <rPr>
            <b/>
            <sz val="9"/>
            <color indexed="81"/>
            <rFont val="Tahoma"/>
            <family val="2"/>
          </rPr>
          <t>:</t>
        </r>
        <r>
          <rPr>
            <sz val="9"/>
            <color indexed="81"/>
            <rFont val="Tahoma"/>
            <family val="2"/>
          </rPr>
          <t xml:space="preserve">
Up, Down or Nearest</t>
        </r>
      </text>
    </comment>
    <comment ref="AH235" authorId="0">
      <text>
        <r>
          <rPr>
            <b/>
            <sz val="9"/>
            <color indexed="81"/>
            <rFont val="Tahoma"/>
            <family val="2"/>
          </rPr>
          <t>:</t>
        </r>
        <r>
          <rPr>
            <sz val="9"/>
            <color indexed="81"/>
            <rFont val="Tahoma"/>
            <family val="2"/>
          </rPr>
          <t xml:space="preserve">
Up, Down or Nearest</t>
        </r>
      </text>
    </comment>
    <comment ref="AL235" authorId="0">
      <text>
        <r>
          <rPr>
            <b/>
            <sz val="9"/>
            <color indexed="81"/>
            <rFont val="Tahoma"/>
            <family val="2"/>
          </rPr>
          <t>:</t>
        </r>
        <r>
          <rPr>
            <sz val="9"/>
            <color indexed="81"/>
            <rFont val="Tahoma"/>
            <family val="2"/>
          </rPr>
          <t xml:space="preserve">
Up, Down or Nearest</t>
        </r>
      </text>
    </comment>
    <comment ref="B450" authorId="0">
      <text>
        <r>
          <rPr>
            <sz val="9"/>
            <color indexed="81"/>
            <rFont val="Tahoma"/>
            <family val="2"/>
          </rPr>
          <t>e.g. Age in years and months.</t>
        </r>
      </text>
    </comment>
    <comment ref="F450" authorId="0">
      <text>
        <r>
          <rPr>
            <sz val="9"/>
            <color indexed="81"/>
            <rFont val="Tahoma"/>
            <family val="2"/>
          </rPr>
          <t>e.g. Age in years and months.</t>
        </r>
      </text>
    </comment>
    <comment ref="J450" authorId="0">
      <text>
        <r>
          <rPr>
            <sz val="9"/>
            <color indexed="81"/>
            <rFont val="Tahoma"/>
            <family val="2"/>
          </rPr>
          <t>e.g. Age in years and months.</t>
        </r>
      </text>
    </comment>
    <comment ref="N450" authorId="0">
      <text>
        <r>
          <rPr>
            <sz val="9"/>
            <color indexed="81"/>
            <rFont val="Tahoma"/>
            <family val="2"/>
          </rPr>
          <t>e.g. Age in years and months.</t>
        </r>
      </text>
    </comment>
    <comment ref="R450" authorId="0">
      <text>
        <r>
          <rPr>
            <sz val="9"/>
            <color indexed="81"/>
            <rFont val="Tahoma"/>
            <family val="2"/>
          </rPr>
          <t>e.g. Age in years and months.</t>
        </r>
      </text>
    </comment>
    <comment ref="V450" authorId="0">
      <text>
        <r>
          <rPr>
            <sz val="9"/>
            <color indexed="81"/>
            <rFont val="Tahoma"/>
            <family val="2"/>
          </rPr>
          <t>e.g. Age in years and months.</t>
        </r>
      </text>
    </comment>
    <comment ref="Z450" authorId="0">
      <text>
        <r>
          <rPr>
            <sz val="9"/>
            <color indexed="81"/>
            <rFont val="Tahoma"/>
            <family val="2"/>
          </rPr>
          <t>e.g. Age in years and months.</t>
        </r>
      </text>
    </comment>
    <comment ref="AD450" authorId="0">
      <text>
        <r>
          <rPr>
            <sz val="9"/>
            <color indexed="81"/>
            <rFont val="Tahoma"/>
            <family val="2"/>
          </rPr>
          <t>e.g. Age in years and months.</t>
        </r>
      </text>
    </comment>
    <comment ref="AH450" authorId="0">
      <text>
        <r>
          <rPr>
            <sz val="9"/>
            <color indexed="81"/>
            <rFont val="Tahoma"/>
            <family val="2"/>
          </rPr>
          <t>e.g. Age in years and months.</t>
        </r>
      </text>
    </comment>
    <comment ref="AL450" authorId="0">
      <text>
        <r>
          <rPr>
            <sz val="9"/>
            <color indexed="81"/>
            <rFont val="Tahoma"/>
            <family val="2"/>
          </rPr>
          <t>e.g. Age in years and months.</t>
        </r>
      </text>
    </comment>
    <comment ref="B451" authorId="0">
      <text>
        <r>
          <rPr>
            <b/>
            <sz val="9"/>
            <color indexed="81"/>
            <rFont val="Tahoma"/>
            <family val="2"/>
          </rPr>
          <t>:</t>
        </r>
        <r>
          <rPr>
            <sz val="9"/>
            <color indexed="81"/>
            <rFont val="Tahoma"/>
            <family val="2"/>
          </rPr>
          <t xml:space="preserve">
Up, Down or Nearest</t>
        </r>
      </text>
    </comment>
    <comment ref="F451" authorId="0">
      <text>
        <r>
          <rPr>
            <b/>
            <sz val="9"/>
            <color indexed="81"/>
            <rFont val="Tahoma"/>
            <family val="2"/>
          </rPr>
          <t>:</t>
        </r>
        <r>
          <rPr>
            <sz val="9"/>
            <color indexed="81"/>
            <rFont val="Tahoma"/>
            <family val="2"/>
          </rPr>
          <t xml:space="preserve">
Up, Down or Nearest</t>
        </r>
      </text>
    </comment>
    <comment ref="J451" authorId="0">
      <text>
        <r>
          <rPr>
            <b/>
            <sz val="9"/>
            <color indexed="81"/>
            <rFont val="Tahoma"/>
            <family val="2"/>
          </rPr>
          <t>:</t>
        </r>
        <r>
          <rPr>
            <sz val="9"/>
            <color indexed="81"/>
            <rFont val="Tahoma"/>
            <family val="2"/>
          </rPr>
          <t xml:space="preserve">
Up, Down or Nearest</t>
        </r>
      </text>
    </comment>
    <comment ref="N451" authorId="0">
      <text>
        <r>
          <rPr>
            <b/>
            <sz val="9"/>
            <color indexed="81"/>
            <rFont val="Tahoma"/>
            <family val="2"/>
          </rPr>
          <t>:</t>
        </r>
        <r>
          <rPr>
            <sz val="9"/>
            <color indexed="81"/>
            <rFont val="Tahoma"/>
            <family val="2"/>
          </rPr>
          <t xml:space="preserve">
Up, Down or Nearest</t>
        </r>
      </text>
    </comment>
    <comment ref="R451" authorId="0">
      <text>
        <r>
          <rPr>
            <b/>
            <sz val="9"/>
            <color indexed="81"/>
            <rFont val="Tahoma"/>
            <family val="2"/>
          </rPr>
          <t>:</t>
        </r>
        <r>
          <rPr>
            <sz val="9"/>
            <color indexed="81"/>
            <rFont val="Tahoma"/>
            <family val="2"/>
          </rPr>
          <t xml:space="preserve">
Up, Down or Nearest</t>
        </r>
      </text>
    </comment>
    <comment ref="V451" authorId="0">
      <text>
        <r>
          <rPr>
            <b/>
            <sz val="9"/>
            <color indexed="81"/>
            <rFont val="Tahoma"/>
            <family val="2"/>
          </rPr>
          <t>:</t>
        </r>
        <r>
          <rPr>
            <sz val="9"/>
            <color indexed="81"/>
            <rFont val="Tahoma"/>
            <family val="2"/>
          </rPr>
          <t xml:space="preserve">
Up, Down or Nearest</t>
        </r>
      </text>
    </comment>
    <comment ref="Z451" authorId="0">
      <text>
        <r>
          <rPr>
            <b/>
            <sz val="9"/>
            <color indexed="81"/>
            <rFont val="Tahoma"/>
            <family val="2"/>
          </rPr>
          <t>:</t>
        </r>
        <r>
          <rPr>
            <sz val="9"/>
            <color indexed="81"/>
            <rFont val="Tahoma"/>
            <family val="2"/>
          </rPr>
          <t xml:space="preserve">
Up, Down or Nearest</t>
        </r>
      </text>
    </comment>
    <comment ref="AD451" authorId="0">
      <text>
        <r>
          <rPr>
            <b/>
            <sz val="9"/>
            <color indexed="81"/>
            <rFont val="Tahoma"/>
            <family val="2"/>
          </rPr>
          <t>:</t>
        </r>
        <r>
          <rPr>
            <sz val="9"/>
            <color indexed="81"/>
            <rFont val="Tahoma"/>
            <family val="2"/>
          </rPr>
          <t xml:space="preserve">
Up, Down or Nearest</t>
        </r>
      </text>
    </comment>
    <comment ref="AH451" authorId="0">
      <text>
        <r>
          <rPr>
            <b/>
            <sz val="9"/>
            <color indexed="81"/>
            <rFont val="Tahoma"/>
            <family val="2"/>
          </rPr>
          <t>:</t>
        </r>
        <r>
          <rPr>
            <sz val="9"/>
            <color indexed="81"/>
            <rFont val="Tahoma"/>
            <family val="2"/>
          </rPr>
          <t xml:space="preserve">
Up, Down or Nearest</t>
        </r>
      </text>
    </comment>
    <comment ref="AL451" authorId="0">
      <text>
        <r>
          <rPr>
            <b/>
            <sz val="9"/>
            <color indexed="81"/>
            <rFont val="Tahoma"/>
            <family val="2"/>
          </rPr>
          <t>:</t>
        </r>
        <r>
          <rPr>
            <sz val="9"/>
            <color indexed="81"/>
            <rFont val="Tahoma"/>
            <family val="2"/>
          </rPr>
          <t xml:space="preserve">
Up, Down or Nearest</t>
        </r>
      </text>
    </comment>
    <comment ref="B666" authorId="0">
      <text>
        <r>
          <rPr>
            <sz val="9"/>
            <color indexed="81"/>
            <rFont val="Tahoma"/>
            <family val="2"/>
          </rPr>
          <t>e.g. Age in years and months.</t>
        </r>
      </text>
    </comment>
    <comment ref="F666" authorId="0">
      <text>
        <r>
          <rPr>
            <sz val="9"/>
            <color indexed="81"/>
            <rFont val="Tahoma"/>
            <family val="2"/>
          </rPr>
          <t>e.g. Age in years and months.</t>
        </r>
      </text>
    </comment>
    <comment ref="J666" authorId="0">
      <text>
        <r>
          <rPr>
            <sz val="9"/>
            <color indexed="81"/>
            <rFont val="Tahoma"/>
            <family val="2"/>
          </rPr>
          <t>e.g. Age in years and months.</t>
        </r>
      </text>
    </comment>
    <comment ref="N666" authorId="0">
      <text>
        <r>
          <rPr>
            <sz val="9"/>
            <color indexed="81"/>
            <rFont val="Tahoma"/>
            <family val="2"/>
          </rPr>
          <t>e.g. Age in years and months.</t>
        </r>
      </text>
    </comment>
    <comment ref="R666" authorId="0">
      <text>
        <r>
          <rPr>
            <sz val="9"/>
            <color indexed="81"/>
            <rFont val="Tahoma"/>
            <family val="2"/>
          </rPr>
          <t>e.g. Age in years and months.</t>
        </r>
      </text>
    </comment>
    <comment ref="V666" authorId="0">
      <text>
        <r>
          <rPr>
            <sz val="9"/>
            <color indexed="81"/>
            <rFont val="Tahoma"/>
            <family val="2"/>
          </rPr>
          <t>e.g. Age in years and months.</t>
        </r>
      </text>
    </comment>
    <comment ref="Z666" authorId="0">
      <text>
        <r>
          <rPr>
            <sz val="9"/>
            <color indexed="81"/>
            <rFont val="Tahoma"/>
            <family val="2"/>
          </rPr>
          <t>e.g. Age in years and months.</t>
        </r>
      </text>
    </comment>
    <comment ref="AD666" authorId="0">
      <text>
        <r>
          <rPr>
            <sz val="9"/>
            <color indexed="81"/>
            <rFont val="Tahoma"/>
            <family val="2"/>
          </rPr>
          <t>e.g. Age in years and months.</t>
        </r>
      </text>
    </comment>
    <comment ref="AH666" authorId="0">
      <text>
        <r>
          <rPr>
            <sz val="9"/>
            <color indexed="81"/>
            <rFont val="Tahoma"/>
            <family val="2"/>
          </rPr>
          <t>e.g. Age in years and months.</t>
        </r>
      </text>
    </comment>
    <comment ref="AL666" authorId="0">
      <text>
        <r>
          <rPr>
            <sz val="9"/>
            <color indexed="81"/>
            <rFont val="Tahoma"/>
            <family val="2"/>
          </rPr>
          <t>e.g. Age in years and months.</t>
        </r>
      </text>
    </comment>
    <comment ref="B667" authorId="0">
      <text>
        <r>
          <rPr>
            <b/>
            <sz val="9"/>
            <color indexed="81"/>
            <rFont val="Tahoma"/>
            <family val="2"/>
          </rPr>
          <t>:</t>
        </r>
        <r>
          <rPr>
            <sz val="9"/>
            <color indexed="81"/>
            <rFont val="Tahoma"/>
            <family val="2"/>
          </rPr>
          <t xml:space="preserve">
Up, Down or Nearest</t>
        </r>
      </text>
    </comment>
    <comment ref="F667" authorId="0">
      <text>
        <r>
          <rPr>
            <b/>
            <sz val="9"/>
            <color indexed="81"/>
            <rFont val="Tahoma"/>
            <family val="2"/>
          </rPr>
          <t>:</t>
        </r>
        <r>
          <rPr>
            <sz val="9"/>
            <color indexed="81"/>
            <rFont val="Tahoma"/>
            <family val="2"/>
          </rPr>
          <t xml:space="preserve">
Up, Down or Nearest</t>
        </r>
      </text>
    </comment>
    <comment ref="J667" authorId="0">
      <text>
        <r>
          <rPr>
            <b/>
            <sz val="9"/>
            <color indexed="81"/>
            <rFont val="Tahoma"/>
            <family val="2"/>
          </rPr>
          <t>:</t>
        </r>
        <r>
          <rPr>
            <sz val="9"/>
            <color indexed="81"/>
            <rFont val="Tahoma"/>
            <family val="2"/>
          </rPr>
          <t xml:space="preserve">
Up, Down or Nearest</t>
        </r>
      </text>
    </comment>
    <comment ref="N667" authorId="0">
      <text>
        <r>
          <rPr>
            <b/>
            <sz val="9"/>
            <color indexed="81"/>
            <rFont val="Tahoma"/>
            <family val="2"/>
          </rPr>
          <t>:</t>
        </r>
        <r>
          <rPr>
            <sz val="9"/>
            <color indexed="81"/>
            <rFont val="Tahoma"/>
            <family val="2"/>
          </rPr>
          <t xml:space="preserve">
Up, Down or Nearest</t>
        </r>
      </text>
    </comment>
    <comment ref="R667" authorId="0">
      <text>
        <r>
          <rPr>
            <b/>
            <sz val="9"/>
            <color indexed="81"/>
            <rFont val="Tahoma"/>
            <family val="2"/>
          </rPr>
          <t>:</t>
        </r>
        <r>
          <rPr>
            <sz val="9"/>
            <color indexed="81"/>
            <rFont val="Tahoma"/>
            <family val="2"/>
          </rPr>
          <t xml:space="preserve">
Up, Down or Nearest</t>
        </r>
      </text>
    </comment>
    <comment ref="V667" authorId="0">
      <text>
        <r>
          <rPr>
            <b/>
            <sz val="9"/>
            <color indexed="81"/>
            <rFont val="Tahoma"/>
            <family val="2"/>
          </rPr>
          <t>:</t>
        </r>
        <r>
          <rPr>
            <sz val="9"/>
            <color indexed="81"/>
            <rFont val="Tahoma"/>
            <family val="2"/>
          </rPr>
          <t xml:space="preserve">
Up, Down or Nearest</t>
        </r>
      </text>
    </comment>
    <comment ref="Z667" authorId="0">
      <text>
        <r>
          <rPr>
            <b/>
            <sz val="9"/>
            <color indexed="81"/>
            <rFont val="Tahoma"/>
            <family val="2"/>
          </rPr>
          <t>:</t>
        </r>
        <r>
          <rPr>
            <sz val="9"/>
            <color indexed="81"/>
            <rFont val="Tahoma"/>
            <family val="2"/>
          </rPr>
          <t xml:space="preserve">
Up, Down or Nearest</t>
        </r>
      </text>
    </comment>
    <comment ref="AD667" authorId="0">
      <text>
        <r>
          <rPr>
            <b/>
            <sz val="9"/>
            <color indexed="81"/>
            <rFont val="Tahoma"/>
            <family val="2"/>
          </rPr>
          <t>:</t>
        </r>
        <r>
          <rPr>
            <sz val="9"/>
            <color indexed="81"/>
            <rFont val="Tahoma"/>
            <family val="2"/>
          </rPr>
          <t xml:space="preserve">
Up, Down or Nearest</t>
        </r>
      </text>
    </comment>
    <comment ref="AH667" authorId="0">
      <text>
        <r>
          <rPr>
            <b/>
            <sz val="9"/>
            <color indexed="81"/>
            <rFont val="Tahoma"/>
            <family val="2"/>
          </rPr>
          <t>:</t>
        </r>
        <r>
          <rPr>
            <sz val="9"/>
            <color indexed="81"/>
            <rFont val="Tahoma"/>
            <family val="2"/>
          </rPr>
          <t xml:space="preserve">
Up, Down or Nearest</t>
        </r>
      </text>
    </comment>
    <comment ref="AL667" authorId="0">
      <text>
        <r>
          <rPr>
            <b/>
            <sz val="9"/>
            <color indexed="81"/>
            <rFont val="Tahoma"/>
            <family val="2"/>
          </rPr>
          <t>:</t>
        </r>
        <r>
          <rPr>
            <sz val="9"/>
            <color indexed="81"/>
            <rFont val="Tahoma"/>
            <family val="2"/>
          </rPr>
          <t xml:space="preserve">
Up, Down or Nearest</t>
        </r>
      </text>
    </comment>
    <comment ref="B882" authorId="0">
      <text>
        <r>
          <rPr>
            <sz val="9"/>
            <color indexed="81"/>
            <rFont val="Tahoma"/>
            <family val="2"/>
          </rPr>
          <t>e.g. Age in years and months.</t>
        </r>
      </text>
    </comment>
    <comment ref="F882" authorId="0">
      <text>
        <r>
          <rPr>
            <sz val="9"/>
            <color indexed="81"/>
            <rFont val="Tahoma"/>
            <family val="2"/>
          </rPr>
          <t>e.g. Age in years and months.</t>
        </r>
      </text>
    </comment>
    <comment ref="J882" authorId="0">
      <text>
        <r>
          <rPr>
            <sz val="9"/>
            <color indexed="81"/>
            <rFont val="Tahoma"/>
            <family val="2"/>
          </rPr>
          <t>e.g. Age in years and months.</t>
        </r>
      </text>
    </comment>
    <comment ref="N882" authorId="0">
      <text>
        <r>
          <rPr>
            <sz val="9"/>
            <color indexed="81"/>
            <rFont val="Tahoma"/>
            <family val="2"/>
          </rPr>
          <t>e.g. Age in years and months.</t>
        </r>
      </text>
    </comment>
    <comment ref="R882" authorId="0">
      <text>
        <r>
          <rPr>
            <sz val="9"/>
            <color indexed="81"/>
            <rFont val="Tahoma"/>
            <family val="2"/>
          </rPr>
          <t>e.g. Age in years and months.</t>
        </r>
      </text>
    </comment>
    <comment ref="V882" authorId="0">
      <text>
        <r>
          <rPr>
            <sz val="9"/>
            <color indexed="81"/>
            <rFont val="Tahoma"/>
            <family val="2"/>
          </rPr>
          <t>e.g. Age in years and months.</t>
        </r>
      </text>
    </comment>
    <comment ref="Z882" authorId="0">
      <text>
        <r>
          <rPr>
            <sz val="9"/>
            <color indexed="81"/>
            <rFont val="Tahoma"/>
            <family val="2"/>
          </rPr>
          <t>e.g. Age in years and months.</t>
        </r>
      </text>
    </comment>
    <comment ref="AD882" authorId="0">
      <text>
        <r>
          <rPr>
            <sz val="9"/>
            <color indexed="81"/>
            <rFont val="Tahoma"/>
            <family val="2"/>
          </rPr>
          <t>e.g. Age in years and months.</t>
        </r>
      </text>
    </comment>
    <comment ref="AH882" authorId="0">
      <text>
        <r>
          <rPr>
            <sz val="9"/>
            <color indexed="81"/>
            <rFont val="Tahoma"/>
            <family val="2"/>
          </rPr>
          <t>e.g. Age in years and months.</t>
        </r>
      </text>
    </comment>
    <comment ref="AL882" authorId="0">
      <text>
        <r>
          <rPr>
            <sz val="9"/>
            <color indexed="81"/>
            <rFont val="Tahoma"/>
            <family val="2"/>
          </rPr>
          <t>e.g. Age in years and months.</t>
        </r>
      </text>
    </comment>
    <comment ref="B883" authorId="0">
      <text>
        <r>
          <rPr>
            <b/>
            <sz val="9"/>
            <color indexed="81"/>
            <rFont val="Tahoma"/>
            <family val="2"/>
          </rPr>
          <t>:</t>
        </r>
        <r>
          <rPr>
            <sz val="9"/>
            <color indexed="81"/>
            <rFont val="Tahoma"/>
            <family val="2"/>
          </rPr>
          <t xml:space="preserve">
Up, Down or Nearest</t>
        </r>
      </text>
    </comment>
    <comment ref="F883" authorId="0">
      <text>
        <r>
          <rPr>
            <b/>
            <sz val="9"/>
            <color indexed="81"/>
            <rFont val="Tahoma"/>
            <family val="2"/>
          </rPr>
          <t>:</t>
        </r>
        <r>
          <rPr>
            <sz val="9"/>
            <color indexed="81"/>
            <rFont val="Tahoma"/>
            <family val="2"/>
          </rPr>
          <t xml:space="preserve">
Up, Down or Nearest</t>
        </r>
      </text>
    </comment>
    <comment ref="J883" authorId="0">
      <text>
        <r>
          <rPr>
            <b/>
            <sz val="9"/>
            <color indexed="81"/>
            <rFont val="Tahoma"/>
            <family val="2"/>
          </rPr>
          <t>:</t>
        </r>
        <r>
          <rPr>
            <sz val="9"/>
            <color indexed="81"/>
            <rFont val="Tahoma"/>
            <family val="2"/>
          </rPr>
          <t xml:space="preserve">
Up, Down or Nearest</t>
        </r>
      </text>
    </comment>
    <comment ref="N883" authorId="0">
      <text>
        <r>
          <rPr>
            <b/>
            <sz val="9"/>
            <color indexed="81"/>
            <rFont val="Tahoma"/>
            <family val="2"/>
          </rPr>
          <t>:</t>
        </r>
        <r>
          <rPr>
            <sz val="9"/>
            <color indexed="81"/>
            <rFont val="Tahoma"/>
            <family val="2"/>
          </rPr>
          <t xml:space="preserve">
Up, Down or Nearest</t>
        </r>
      </text>
    </comment>
    <comment ref="R883" authorId="0">
      <text>
        <r>
          <rPr>
            <b/>
            <sz val="9"/>
            <color indexed="81"/>
            <rFont val="Tahoma"/>
            <family val="2"/>
          </rPr>
          <t>:</t>
        </r>
        <r>
          <rPr>
            <sz val="9"/>
            <color indexed="81"/>
            <rFont val="Tahoma"/>
            <family val="2"/>
          </rPr>
          <t xml:space="preserve">
Up, Down or Nearest</t>
        </r>
      </text>
    </comment>
    <comment ref="V883" authorId="0">
      <text>
        <r>
          <rPr>
            <b/>
            <sz val="9"/>
            <color indexed="81"/>
            <rFont val="Tahoma"/>
            <family val="2"/>
          </rPr>
          <t>:</t>
        </r>
        <r>
          <rPr>
            <sz val="9"/>
            <color indexed="81"/>
            <rFont val="Tahoma"/>
            <family val="2"/>
          </rPr>
          <t xml:space="preserve">
Up, Down or Nearest</t>
        </r>
      </text>
    </comment>
    <comment ref="Z883" authorId="0">
      <text>
        <r>
          <rPr>
            <b/>
            <sz val="9"/>
            <color indexed="81"/>
            <rFont val="Tahoma"/>
            <family val="2"/>
          </rPr>
          <t>:</t>
        </r>
        <r>
          <rPr>
            <sz val="9"/>
            <color indexed="81"/>
            <rFont val="Tahoma"/>
            <family val="2"/>
          </rPr>
          <t xml:space="preserve">
Up, Down or Nearest</t>
        </r>
      </text>
    </comment>
    <comment ref="AD883" authorId="0">
      <text>
        <r>
          <rPr>
            <b/>
            <sz val="9"/>
            <color indexed="81"/>
            <rFont val="Tahoma"/>
            <family val="2"/>
          </rPr>
          <t>:</t>
        </r>
        <r>
          <rPr>
            <sz val="9"/>
            <color indexed="81"/>
            <rFont val="Tahoma"/>
            <family val="2"/>
          </rPr>
          <t xml:space="preserve">
Up, Down or Nearest</t>
        </r>
      </text>
    </comment>
    <comment ref="AH883" authorId="0">
      <text>
        <r>
          <rPr>
            <b/>
            <sz val="9"/>
            <color indexed="81"/>
            <rFont val="Tahoma"/>
            <family val="2"/>
          </rPr>
          <t>:</t>
        </r>
        <r>
          <rPr>
            <sz val="9"/>
            <color indexed="81"/>
            <rFont val="Tahoma"/>
            <family val="2"/>
          </rPr>
          <t xml:space="preserve">
Up, Down or Nearest</t>
        </r>
      </text>
    </comment>
    <comment ref="AL883" authorId="0">
      <text>
        <r>
          <rPr>
            <b/>
            <sz val="9"/>
            <color indexed="81"/>
            <rFont val="Tahoma"/>
            <family val="2"/>
          </rPr>
          <t>:</t>
        </r>
        <r>
          <rPr>
            <sz val="9"/>
            <color indexed="81"/>
            <rFont val="Tahoma"/>
            <family val="2"/>
          </rPr>
          <t xml:space="preserve">
Up, Down or Nearest</t>
        </r>
      </text>
    </comment>
  </commentList>
</comments>
</file>

<file path=xl/comments3.xml><?xml version="1.0" encoding="utf-8"?>
<comments xmlns="http://schemas.openxmlformats.org/spreadsheetml/2006/main">
  <authors>
    <author xml:space="preserve"> Michael Day</author>
    <author xml:space="preserve"> Anna Clark</author>
  </authors>
  <commentList>
    <comment ref="I5" authorId="0">
      <text>
        <r>
          <rPr>
            <sz val="8"/>
            <color indexed="81"/>
            <rFont val="Tahoma"/>
            <family val="2"/>
          </rPr>
          <t xml:space="preserve">Name of reviewer
</t>
        </r>
      </text>
    </comment>
    <comment ref="B42" authorId="1">
      <text>
        <r>
          <rPr>
            <sz val="8"/>
            <color indexed="81"/>
            <rFont val="Tahoma"/>
            <family val="2"/>
          </rPr>
          <t xml:space="preserve">e.g. category of members.
</t>
        </r>
      </text>
    </comment>
    <comment ref="B60" authorId="1">
      <text>
        <r>
          <rPr>
            <sz val="8"/>
            <color indexed="81"/>
            <rFont val="Tahoma"/>
            <family val="2"/>
          </rPr>
          <t xml:space="preserve">i.e. manual calculations.
</t>
        </r>
      </text>
    </comment>
    <comment ref="E60" authorId="1">
      <text>
        <r>
          <rPr>
            <sz val="8"/>
            <color indexed="81"/>
            <rFont val="Tahoma"/>
            <family val="2"/>
          </rPr>
          <t>An error will stop the calculation
running completely.  
A warning will allow the calculation to run as normal with a warning set to advise the administrator that these members have not been fully coded?
If an error/warning message is required please include the requirements in section 3 below.</t>
        </r>
      </text>
    </comment>
    <comment ref="H92" authorId="1">
      <text>
        <r>
          <rPr>
            <sz val="8"/>
            <color indexed="81"/>
            <rFont val="Tahoma"/>
            <family val="2"/>
          </rPr>
          <t xml:space="preserve">e.g. rounding down to 12p.
</t>
        </r>
      </text>
    </comment>
    <comment ref="K92" authorId="1">
      <text>
        <r>
          <rPr>
            <sz val="8"/>
            <color indexed="81"/>
            <rFont val="Tahoma"/>
            <family val="2"/>
          </rPr>
          <t xml:space="preserve">This only needs to be entered if the FPS required for the benefit statements is different from that specified on the Scheme Definitions tab.
</t>
        </r>
      </text>
    </comment>
    <comment ref="L92" authorId="1">
      <text>
        <r>
          <rPr>
            <sz val="8"/>
            <color indexed="81"/>
            <rFont val="Tahoma"/>
            <family val="2"/>
          </rPr>
          <t xml:space="preserve">PSAL used if more than detailed years to NRD.
</t>
        </r>
      </text>
    </comment>
    <comment ref="H114" authorId="1">
      <text>
        <r>
          <rPr>
            <sz val="8"/>
            <color indexed="81"/>
            <rFont val="Tahoma"/>
            <family val="2"/>
          </rPr>
          <t xml:space="preserve">e.g. rounding down to 12p.
</t>
        </r>
      </text>
    </comment>
    <comment ref="K114" authorId="1">
      <text>
        <r>
          <rPr>
            <sz val="8"/>
            <color indexed="81"/>
            <rFont val="Tahoma"/>
            <family val="2"/>
          </rPr>
          <t xml:space="preserve">This only needs to be entered if the FPS required for the benefit statements is different from that specified on the Scheme Definitions tab.
</t>
        </r>
      </text>
    </comment>
    <comment ref="L114" authorId="1">
      <text>
        <r>
          <rPr>
            <sz val="8"/>
            <color indexed="81"/>
            <rFont val="Tahoma"/>
            <family val="2"/>
          </rPr>
          <t xml:space="preserve">PSAL used if more than detailed years to NRD.
</t>
        </r>
      </text>
    </comment>
    <comment ref="H136" authorId="1">
      <text>
        <r>
          <rPr>
            <sz val="8"/>
            <color indexed="81"/>
            <rFont val="Tahoma"/>
            <family val="2"/>
          </rPr>
          <t xml:space="preserve">e.g. rounding down to 12p.
</t>
        </r>
      </text>
    </comment>
    <comment ref="K136" authorId="1">
      <text>
        <r>
          <rPr>
            <sz val="8"/>
            <color indexed="81"/>
            <rFont val="Tahoma"/>
            <family val="2"/>
          </rPr>
          <t xml:space="preserve">This only needs to be entered if the FPS required for the benefit statements is different from that specified on the Scheme Definitions tab.
</t>
        </r>
      </text>
    </comment>
    <comment ref="L136" authorId="1">
      <text>
        <r>
          <rPr>
            <sz val="8"/>
            <color indexed="81"/>
            <rFont val="Tahoma"/>
            <family val="2"/>
          </rPr>
          <t xml:space="preserve">PSAL used if more than detailed years to NRD.
</t>
        </r>
      </text>
    </comment>
    <comment ref="H158" authorId="1">
      <text>
        <r>
          <rPr>
            <sz val="8"/>
            <color indexed="81"/>
            <rFont val="Tahoma"/>
            <family val="2"/>
          </rPr>
          <t xml:space="preserve">e.g. rounding down to 12p.
</t>
        </r>
      </text>
    </comment>
    <comment ref="K158" authorId="1">
      <text>
        <r>
          <rPr>
            <sz val="8"/>
            <color indexed="81"/>
            <rFont val="Tahoma"/>
            <family val="2"/>
          </rPr>
          <t xml:space="preserve">This only needs to be entered if the FPS required for the benefit statements is different from that specified on the Scheme Definitions tab.
</t>
        </r>
      </text>
    </comment>
    <comment ref="L158" authorId="1">
      <text>
        <r>
          <rPr>
            <sz val="8"/>
            <color indexed="81"/>
            <rFont val="Tahoma"/>
            <family val="2"/>
          </rPr>
          <t xml:space="preserve">PSAL used if more than detailed years to NRD.
</t>
        </r>
      </text>
    </comment>
    <comment ref="H180" authorId="1">
      <text>
        <r>
          <rPr>
            <sz val="8"/>
            <color indexed="81"/>
            <rFont val="Tahoma"/>
            <family val="2"/>
          </rPr>
          <t xml:space="preserve">e.g. rounding down to 12p.
</t>
        </r>
      </text>
    </comment>
    <comment ref="K180" authorId="1">
      <text>
        <r>
          <rPr>
            <sz val="8"/>
            <color indexed="81"/>
            <rFont val="Tahoma"/>
            <family val="2"/>
          </rPr>
          <t xml:space="preserve">This only needs to be entered if the FPS required for the benefit statements is different from that specified on the Scheme Definitions tab.
</t>
        </r>
      </text>
    </comment>
    <comment ref="L180" authorId="1">
      <text>
        <r>
          <rPr>
            <sz val="8"/>
            <color indexed="81"/>
            <rFont val="Tahoma"/>
            <family val="2"/>
          </rPr>
          <t xml:space="preserve">PSAL used if more than detailed years to NRD.
</t>
        </r>
      </text>
    </comment>
    <comment ref="H202" authorId="1">
      <text>
        <r>
          <rPr>
            <sz val="8"/>
            <color indexed="81"/>
            <rFont val="Tahoma"/>
            <family val="2"/>
          </rPr>
          <t xml:space="preserve">e.g. rounding down to 12p.
</t>
        </r>
      </text>
    </comment>
    <comment ref="K202" authorId="1">
      <text>
        <r>
          <rPr>
            <sz val="8"/>
            <color indexed="81"/>
            <rFont val="Tahoma"/>
            <family val="2"/>
          </rPr>
          <t xml:space="preserve">This only needs to be entered if the FPS required for the benefit statements is different from that specified on the Scheme Definitions tab.
</t>
        </r>
      </text>
    </comment>
    <comment ref="L202" authorId="1">
      <text>
        <r>
          <rPr>
            <sz val="8"/>
            <color indexed="81"/>
            <rFont val="Tahoma"/>
            <family val="2"/>
          </rPr>
          <t xml:space="preserve">PSAL used if more than detailed years to NRD.
</t>
        </r>
      </text>
    </comment>
    <comment ref="H224" authorId="1">
      <text>
        <r>
          <rPr>
            <sz val="8"/>
            <color indexed="81"/>
            <rFont val="Tahoma"/>
            <family val="2"/>
          </rPr>
          <t xml:space="preserve">e.g. rounding down to 12p.
</t>
        </r>
      </text>
    </comment>
    <comment ref="K224" authorId="1">
      <text>
        <r>
          <rPr>
            <sz val="8"/>
            <color indexed="81"/>
            <rFont val="Tahoma"/>
            <family val="2"/>
          </rPr>
          <t xml:space="preserve">This only needs to be entered if the FPS required for the benefit statements is different from that specified on the Scheme Definitions tab.
</t>
        </r>
      </text>
    </comment>
    <comment ref="L224" authorId="1">
      <text>
        <r>
          <rPr>
            <sz val="8"/>
            <color indexed="81"/>
            <rFont val="Tahoma"/>
            <family val="2"/>
          </rPr>
          <t xml:space="preserve">PSAL used if more than detailed years to NRD.
</t>
        </r>
      </text>
    </comment>
    <comment ref="H246" authorId="1">
      <text>
        <r>
          <rPr>
            <sz val="8"/>
            <color indexed="81"/>
            <rFont val="Tahoma"/>
            <family val="2"/>
          </rPr>
          <t xml:space="preserve">e.g. rounding down to 12p.
</t>
        </r>
      </text>
    </comment>
    <comment ref="K246" authorId="1">
      <text>
        <r>
          <rPr>
            <sz val="8"/>
            <color indexed="81"/>
            <rFont val="Tahoma"/>
            <family val="2"/>
          </rPr>
          <t xml:space="preserve">This only needs to be entered if the FPS required for the benefit statements is different from that specified on the Scheme Definitions tab.
</t>
        </r>
      </text>
    </comment>
    <comment ref="L246" authorId="1">
      <text>
        <r>
          <rPr>
            <sz val="8"/>
            <color indexed="81"/>
            <rFont val="Tahoma"/>
            <family val="2"/>
          </rPr>
          <t xml:space="preserve">PSAL used if more than detailed years to NRD.
</t>
        </r>
      </text>
    </comment>
    <comment ref="H268" authorId="1">
      <text>
        <r>
          <rPr>
            <sz val="8"/>
            <color indexed="81"/>
            <rFont val="Tahoma"/>
            <family val="2"/>
          </rPr>
          <t xml:space="preserve">e.g. rounding down to 12p.
</t>
        </r>
      </text>
    </comment>
    <comment ref="K268" authorId="1">
      <text>
        <r>
          <rPr>
            <sz val="8"/>
            <color indexed="81"/>
            <rFont val="Tahoma"/>
            <family val="2"/>
          </rPr>
          <t xml:space="preserve">This only needs to be entered if the FPS required for the benefit statements is different from that specified on the Scheme Definitions tab.
</t>
        </r>
      </text>
    </comment>
    <comment ref="L268" authorId="1">
      <text>
        <r>
          <rPr>
            <sz val="8"/>
            <color indexed="81"/>
            <rFont val="Tahoma"/>
            <family val="2"/>
          </rPr>
          <t xml:space="preserve">PSAL used if more than detailed years to NRD.
</t>
        </r>
      </text>
    </comment>
    <comment ref="H290" authorId="1">
      <text>
        <r>
          <rPr>
            <sz val="8"/>
            <color indexed="81"/>
            <rFont val="Tahoma"/>
            <family val="2"/>
          </rPr>
          <t xml:space="preserve">e.g. rounding down to 12p.
</t>
        </r>
      </text>
    </comment>
    <comment ref="K290" authorId="1">
      <text>
        <r>
          <rPr>
            <sz val="8"/>
            <color indexed="81"/>
            <rFont val="Tahoma"/>
            <family val="2"/>
          </rPr>
          <t xml:space="preserve">This only needs to be entered if the FPS required for the benefit statements is different from that specified on the Scheme Definitions tab.
</t>
        </r>
      </text>
    </comment>
    <comment ref="L290" authorId="1">
      <text>
        <r>
          <rPr>
            <sz val="8"/>
            <color indexed="81"/>
            <rFont val="Tahoma"/>
            <family val="2"/>
          </rPr>
          <t xml:space="preserve">PSAL used if more than detailed years to NRD.
</t>
        </r>
      </text>
    </comment>
    <comment ref="B320" authorId="1">
      <text>
        <r>
          <rPr>
            <sz val="8"/>
            <color indexed="81"/>
            <rFont val="Tahoma"/>
            <family val="2"/>
          </rPr>
          <t>An error will stop the calculation from running until the problem has been fixed.
A warning will just appear to warn the administrator but the calculation will still run.</t>
        </r>
      </text>
    </comment>
    <comment ref="C320" authorId="1">
      <text>
        <r>
          <rPr>
            <sz val="8"/>
            <color indexed="81"/>
            <rFont val="Tahoma"/>
            <family val="2"/>
          </rPr>
          <t xml:space="preserve">What are the requirements for the error/warning to be applicable.
</t>
        </r>
      </text>
    </comment>
    <comment ref="J320" authorId="1">
      <text>
        <r>
          <rPr>
            <sz val="8"/>
            <color indexed="81"/>
            <rFont val="Tahoma"/>
            <family val="2"/>
          </rPr>
          <t>What is the message you want to see.</t>
        </r>
      </text>
    </comment>
    <comment ref="M357" authorId="1">
      <text>
        <r>
          <rPr>
            <sz val="8"/>
            <color indexed="81"/>
            <rFont val="Tahoma"/>
            <family val="2"/>
          </rPr>
          <t xml:space="preserve">e.g. date format: 1st December 1999.
</t>
        </r>
      </text>
    </comment>
  </commentList>
</comments>
</file>

<file path=xl/comments4.xml><?xml version="1.0" encoding="utf-8"?>
<comments xmlns="http://schemas.openxmlformats.org/spreadsheetml/2006/main">
  <authors>
    <author xml:space="preserve"> Michael Day</author>
    <author xml:space="preserve"> Anna Clark</author>
  </authors>
  <commentList>
    <comment ref="I5" authorId="0">
      <text>
        <r>
          <rPr>
            <sz val="8"/>
            <color indexed="81"/>
            <rFont val="Tahoma"/>
            <family val="2"/>
          </rPr>
          <t xml:space="preserve">Name of reviewer
</t>
        </r>
      </text>
    </comment>
    <comment ref="B44" authorId="1">
      <text>
        <r>
          <rPr>
            <sz val="8"/>
            <color indexed="81"/>
            <rFont val="Tahoma"/>
            <family val="2"/>
          </rPr>
          <t xml:space="preserve">e.g. category of members.
</t>
        </r>
      </text>
    </comment>
    <comment ref="R61" authorId="1">
      <text>
        <r>
          <rPr>
            <sz val="8"/>
            <color indexed="81"/>
            <rFont val="Tahoma"/>
            <family val="2"/>
          </rPr>
          <t>An error will stop the calculation
running completely.  
A warning will allow the calculation to run as normal with a warning set to advise the administrator that these members have not been fully coded?
If an error/warning message is required please include the requirements in section 3 below.</t>
        </r>
      </text>
    </comment>
    <comment ref="H90" authorId="1">
      <text>
        <r>
          <rPr>
            <sz val="8"/>
            <color indexed="81"/>
            <rFont val="Tahoma"/>
            <family val="2"/>
          </rPr>
          <t>e.g. rounding down to 12p.</t>
        </r>
      </text>
    </comment>
    <comment ref="H112" authorId="1">
      <text>
        <r>
          <rPr>
            <sz val="8"/>
            <color indexed="81"/>
            <rFont val="Tahoma"/>
            <family val="2"/>
          </rPr>
          <t>e.g. rounding down to 12p.</t>
        </r>
      </text>
    </comment>
    <comment ref="H134" authorId="1">
      <text>
        <r>
          <rPr>
            <sz val="8"/>
            <color indexed="81"/>
            <rFont val="Tahoma"/>
            <family val="2"/>
          </rPr>
          <t>e.g. rounding down to 12p.</t>
        </r>
      </text>
    </comment>
    <comment ref="H156" authorId="1">
      <text>
        <r>
          <rPr>
            <sz val="8"/>
            <color indexed="81"/>
            <rFont val="Tahoma"/>
            <family val="2"/>
          </rPr>
          <t>e.g. rounding down to 12p.</t>
        </r>
      </text>
    </comment>
    <comment ref="H178" authorId="1">
      <text>
        <r>
          <rPr>
            <sz val="8"/>
            <color indexed="81"/>
            <rFont val="Tahoma"/>
            <family val="2"/>
          </rPr>
          <t>e.g. rounding down to 12p.</t>
        </r>
      </text>
    </comment>
    <comment ref="H200" authorId="1">
      <text>
        <r>
          <rPr>
            <sz val="8"/>
            <color indexed="81"/>
            <rFont val="Tahoma"/>
            <family val="2"/>
          </rPr>
          <t>e.g. rounding down to 12p.</t>
        </r>
      </text>
    </comment>
    <comment ref="H222" authorId="1">
      <text>
        <r>
          <rPr>
            <sz val="8"/>
            <color indexed="81"/>
            <rFont val="Tahoma"/>
            <family val="2"/>
          </rPr>
          <t>e.g. rounding down to 12p.</t>
        </r>
      </text>
    </comment>
    <comment ref="H244" authorId="1">
      <text>
        <r>
          <rPr>
            <sz val="8"/>
            <color indexed="81"/>
            <rFont val="Tahoma"/>
            <family val="2"/>
          </rPr>
          <t>e.g. rounding down to 12p.</t>
        </r>
      </text>
    </comment>
    <comment ref="H266" authorId="1">
      <text>
        <r>
          <rPr>
            <sz val="8"/>
            <color indexed="81"/>
            <rFont val="Tahoma"/>
            <family val="2"/>
          </rPr>
          <t>e.g. rounding down to 12p.</t>
        </r>
      </text>
    </comment>
    <comment ref="H288" authorId="1">
      <text>
        <r>
          <rPr>
            <sz val="8"/>
            <color indexed="81"/>
            <rFont val="Tahoma"/>
            <family val="2"/>
          </rPr>
          <t>e.g. rounding down to 12p.</t>
        </r>
      </text>
    </comment>
    <comment ref="B318" authorId="1">
      <text>
        <r>
          <rPr>
            <sz val="8"/>
            <color indexed="81"/>
            <rFont val="Tahoma"/>
            <family val="2"/>
          </rPr>
          <t xml:space="preserve">A Valiadation uses data stored on the members record and is performed prior to the calcuation beingrun.
An error will stop the calculation from running until the problem has been fixed.
A warning will just appear to warn the administrator but the calculation will still run.
</t>
        </r>
      </text>
    </comment>
    <comment ref="I318" authorId="1">
      <text>
        <r>
          <rPr>
            <sz val="8"/>
            <color indexed="81"/>
            <rFont val="Tahoma"/>
            <family val="2"/>
          </rPr>
          <t>What is the message you want to see.</t>
        </r>
      </text>
    </comment>
    <comment ref="F354" authorId="1">
      <text>
        <r>
          <rPr>
            <sz val="8"/>
            <color indexed="81"/>
            <rFont val="Tahoma"/>
            <family val="2"/>
          </rPr>
          <t xml:space="preserve">e.g. date format: 1st December 1999.
</t>
        </r>
      </text>
    </comment>
    <comment ref="P354" authorId="1">
      <text>
        <r>
          <rPr>
            <sz val="8"/>
            <color indexed="81"/>
            <rFont val="Tahoma"/>
            <family val="2"/>
          </rPr>
          <t xml:space="preserve">e.g. date format: 1st December 1999.
</t>
        </r>
      </text>
    </comment>
  </commentList>
</comments>
</file>

<file path=xl/comments5.xml><?xml version="1.0" encoding="utf-8"?>
<comments xmlns="http://schemas.openxmlformats.org/spreadsheetml/2006/main">
  <authors>
    <author xml:space="preserve"> Michael Day</author>
    <author xml:space="preserve"> Anna Clark</author>
    <author xml:space="preserve"> </author>
  </authors>
  <commentList>
    <comment ref="I5" authorId="0">
      <text>
        <r>
          <rPr>
            <sz val="8"/>
            <color indexed="81"/>
            <rFont val="Tahoma"/>
            <family val="2"/>
          </rPr>
          <t xml:space="preserve">Name of reviewer
</t>
        </r>
      </text>
    </comment>
    <comment ref="B46" authorId="1">
      <text>
        <r>
          <rPr>
            <sz val="8"/>
            <color indexed="81"/>
            <rFont val="Tahoma"/>
            <family val="2"/>
          </rPr>
          <t xml:space="preserve">e.g. category of members.
</t>
        </r>
      </text>
    </comment>
    <comment ref="R63" authorId="1">
      <text>
        <r>
          <rPr>
            <sz val="8"/>
            <color indexed="81"/>
            <rFont val="Tahoma"/>
            <family val="2"/>
          </rPr>
          <t>An error will stop the calculation
running completely.  
A warning will allow the calculation to run as normal with a warning set to advise the administrator that these members have not been fully coded?
If an error/warning message is required please include the requirements in section 3 below.</t>
        </r>
      </text>
    </comment>
    <comment ref="B89" authorId="1">
      <text>
        <r>
          <rPr>
            <b/>
            <sz val="8"/>
            <color indexed="81"/>
            <rFont val="Tahoma"/>
            <family val="2"/>
          </rPr>
          <t xml:space="preserve">None - </t>
        </r>
        <r>
          <rPr>
            <sz val="8"/>
            <color indexed="81"/>
            <rFont val="Tahoma"/>
            <family val="2"/>
          </rPr>
          <t xml:space="preserve">No cost neutral calcuation is required.
</t>
        </r>
        <r>
          <rPr>
            <b/>
            <sz val="8"/>
            <color indexed="81"/>
            <rFont val="Tahoma"/>
            <family val="2"/>
          </rPr>
          <t xml:space="preserve">Revalue to Tranche NRD - </t>
        </r>
        <r>
          <rPr>
            <sz val="8"/>
            <color indexed="81"/>
            <rFont val="Tahoma"/>
            <family val="2"/>
          </rPr>
          <t xml:space="preserve">Revalue each tranche up to it’s own NPA (as defined in Scheme Definitions). So Barber elements will get revalued to 60 and non barber ones to 65.
</t>
        </r>
        <r>
          <rPr>
            <b/>
            <sz val="8"/>
            <color indexed="81"/>
            <rFont val="Tahoma"/>
            <family val="2"/>
          </rPr>
          <t xml:space="preserve">Revalue to Current NRD - </t>
        </r>
        <r>
          <rPr>
            <sz val="8"/>
            <color indexed="81"/>
            <rFont val="Tahoma"/>
            <family val="2"/>
          </rPr>
          <t xml:space="preserve">Revalue every element up to the schemes current NRD. So every element gets revalued to the NRD of the current category.
</t>
        </r>
        <r>
          <rPr>
            <b/>
            <sz val="8"/>
            <color indexed="81"/>
            <rFont val="Tahoma"/>
            <family val="2"/>
          </rPr>
          <t xml:space="preserve">Revalue to Max of NRD and DOR - </t>
        </r>
        <r>
          <rPr>
            <sz val="8"/>
            <color indexed="81"/>
            <rFont val="Tahoma"/>
            <family val="2"/>
          </rPr>
          <t>This is like Revalye to Tranche NRD, in that it uses the NPA of each tranche, but if the member retires after the NPA of a tranche, then that tranche will be revalued all the way to the DOR. So barber elements with an NPA of 60 could be revalued beyond 60.</t>
        </r>
        <r>
          <rPr>
            <b/>
            <sz val="8"/>
            <color indexed="81"/>
            <rFont val="Tahoma"/>
            <family val="2"/>
          </rPr>
          <t xml:space="preserve">
</t>
        </r>
      </text>
    </comment>
    <comment ref="J94" authorId="1">
      <text>
        <r>
          <rPr>
            <sz val="8"/>
            <color indexed="81"/>
            <rFont val="Tahoma"/>
            <family val="2"/>
          </rPr>
          <t>Please select from the drop down options which are defined on the factors tab.</t>
        </r>
      </text>
    </comment>
    <comment ref="L94" authorId="1">
      <text>
        <r>
          <rPr>
            <sz val="8"/>
            <color indexed="81"/>
            <rFont val="Tahoma"/>
            <family val="2"/>
          </rPr>
          <t xml:space="preserve">e.g. DOR, NPA or NRD.
</t>
        </r>
      </text>
    </comment>
    <comment ref="N94" authorId="1">
      <text>
        <r>
          <rPr>
            <sz val="8"/>
            <color indexed="81"/>
            <rFont val="Tahoma"/>
            <family val="2"/>
          </rPr>
          <t>Please select from the drop down options which are defined on the factors tab.</t>
        </r>
      </text>
    </comment>
    <comment ref="P94" authorId="2">
      <text>
        <r>
          <rPr>
            <sz val="8"/>
            <color indexed="81"/>
            <rFont val="Tahoma"/>
            <family val="2"/>
          </rPr>
          <t xml:space="preserve">e.g. DOR, NPA or NRD.
</t>
        </r>
      </text>
    </comment>
    <comment ref="H95" authorId="1">
      <text>
        <r>
          <rPr>
            <sz val="8"/>
            <color indexed="81"/>
            <rFont val="Tahoma"/>
            <family val="2"/>
          </rPr>
          <t>e.g. rounding down to 12p.</t>
        </r>
      </text>
    </comment>
    <comment ref="J117" authorId="1">
      <text>
        <r>
          <rPr>
            <sz val="8"/>
            <color indexed="81"/>
            <rFont val="Tahoma"/>
            <family val="2"/>
          </rPr>
          <t>Please select from the drop down options which are defined on the factors tab.</t>
        </r>
      </text>
    </comment>
    <comment ref="L117" authorId="1">
      <text>
        <r>
          <rPr>
            <sz val="8"/>
            <color indexed="81"/>
            <rFont val="Tahoma"/>
            <family val="2"/>
          </rPr>
          <t xml:space="preserve">e.g. DOR, NPA or NRD.
</t>
        </r>
      </text>
    </comment>
    <comment ref="N117" authorId="1">
      <text>
        <r>
          <rPr>
            <sz val="8"/>
            <color indexed="81"/>
            <rFont val="Tahoma"/>
            <family val="2"/>
          </rPr>
          <t>Please select from the drop down options which are defined on the factors tab.</t>
        </r>
      </text>
    </comment>
    <comment ref="P117" authorId="2">
      <text>
        <r>
          <rPr>
            <sz val="8"/>
            <color indexed="81"/>
            <rFont val="Tahoma"/>
            <family val="2"/>
          </rPr>
          <t xml:space="preserve">e.g. DOR, NPA or NRD.
</t>
        </r>
      </text>
    </comment>
    <comment ref="H118" authorId="1">
      <text>
        <r>
          <rPr>
            <sz val="8"/>
            <color indexed="81"/>
            <rFont val="Tahoma"/>
            <family val="2"/>
          </rPr>
          <t>e.g. rounding down to 12p.</t>
        </r>
      </text>
    </comment>
    <comment ref="J140" authorId="1">
      <text>
        <r>
          <rPr>
            <sz val="8"/>
            <color indexed="81"/>
            <rFont val="Tahoma"/>
            <family val="2"/>
          </rPr>
          <t>Please select from the drop down options which are defined on the factors tab.</t>
        </r>
      </text>
    </comment>
    <comment ref="L140" authorId="1">
      <text>
        <r>
          <rPr>
            <sz val="8"/>
            <color indexed="81"/>
            <rFont val="Tahoma"/>
            <family val="2"/>
          </rPr>
          <t xml:space="preserve">e.g. DOR, NPA or NRD.
</t>
        </r>
      </text>
    </comment>
    <comment ref="N140" authorId="1">
      <text>
        <r>
          <rPr>
            <sz val="8"/>
            <color indexed="81"/>
            <rFont val="Tahoma"/>
            <family val="2"/>
          </rPr>
          <t>Please select from the drop down options which are defined on the factors tab.</t>
        </r>
      </text>
    </comment>
    <comment ref="P140" authorId="2">
      <text>
        <r>
          <rPr>
            <sz val="8"/>
            <color indexed="81"/>
            <rFont val="Tahoma"/>
            <family val="2"/>
          </rPr>
          <t xml:space="preserve">e.g. DOR, NPA or NRD.
</t>
        </r>
      </text>
    </comment>
    <comment ref="H141" authorId="1">
      <text>
        <r>
          <rPr>
            <sz val="8"/>
            <color indexed="81"/>
            <rFont val="Tahoma"/>
            <family val="2"/>
          </rPr>
          <t>e.g. rounding down to 12p.</t>
        </r>
      </text>
    </comment>
    <comment ref="J163" authorId="1">
      <text>
        <r>
          <rPr>
            <sz val="8"/>
            <color indexed="81"/>
            <rFont val="Tahoma"/>
            <family val="2"/>
          </rPr>
          <t>Please select from the drop down options which are defined on the factors tab.</t>
        </r>
      </text>
    </comment>
    <comment ref="L163" authorId="1">
      <text>
        <r>
          <rPr>
            <sz val="8"/>
            <color indexed="81"/>
            <rFont val="Tahoma"/>
            <family val="2"/>
          </rPr>
          <t xml:space="preserve">e.g. DOR, NPA or NRD.
</t>
        </r>
      </text>
    </comment>
    <comment ref="N163" authorId="1">
      <text>
        <r>
          <rPr>
            <sz val="8"/>
            <color indexed="81"/>
            <rFont val="Tahoma"/>
            <family val="2"/>
          </rPr>
          <t>Please select from the drop down options which are defined on the factors tab.</t>
        </r>
      </text>
    </comment>
    <comment ref="P163" authorId="2">
      <text>
        <r>
          <rPr>
            <sz val="8"/>
            <color indexed="81"/>
            <rFont val="Tahoma"/>
            <family val="2"/>
          </rPr>
          <t xml:space="preserve">e.g. DOR, NPA or NRD.
</t>
        </r>
      </text>
    </comment>
    <comment ref="H164" authorId="1">
      <text>
        <r>
          <rPr>
            <sz val="8"/>
            <color indexed="81"/>
            <rFont val="Tahoma"/>
            <family val="2"/>
          </rPr>
          <t>e.g. rounding down to 12p.</t>
        </r>
      </text>
    </comment>
    <comment ref="J186" authorId="1">
      <text>
        <r>
          <rPr>
            <sz val="8"/>
            <color indexed="81"/>
            <rFont val="Tahoma"/>
            <family val="2"/>
          </rPr>
          <t>Please select from the drop down options which are defined on the factors tab.</t>
        </r>
      </text>
    </comment>
    <comment ref="L186" authorId="1">
      <text>
        <r>
          <rPr>
            <sz val="8"/>
            <color indexed="81"/>
            <rFont val="Tahoma"/>
            <family val="2"/>
          </rPr>
          <t xml:space="preserve">e.g. DOR, NPA or NRD.
</t>
        </r>
      </text>
    </comment>
    <comment ref="N186" authorId="1">
      <text>
        <r>
          <rPr>
            <sz val="8"/>
            <color indexed="81"/>
            <rFont val="Tahoma"/>
            <family val="2"/>
          </rPr>
          <t>Please select from the drop down options which are defined on the factors tab.</t>
        </r>
      </text>
    </comment>
    <comment ref="P186" authorId="2">
      <text>
        <r>
          <rPr>
            <sz val="8"/>
            <color indexed="81"/>
            <rFont val="Tahoma"/>
            <family val="2"/>
          </rPr>
          <t xml:space="preserve">e.g. DOR, NPA or NRD.
</t>
        </r>
      </text>
    </comment>
    <comment ref="H187" authorId="1">
      <text>
        <r>
          <rPr>
            <sz val="8"/>
            <color indexed="81"/>
            <rFont val="Tahoma"/>
            <family val="2"/>
          </rPr>
          <t>e.g. rounding down to 12p.</t>
        </r>
      </text>
    </comment>
    <comment ref="J209" authorId="1">
      <text>
        <r>
          <rPr>
            <sz val="8"/>
            <color indexed="81"/>
            <rFont val="Tahoma"/>
            <family val="2"/>
          </rPr>
          <t>Please select from the drop down options which are defined on the factors tab.</t>
        </r>
      </text>
    </comment>
    <comment ref="L209" authorId="1">
      <text>
        <r>
          <rPr>
            <sz val="8"/>
            <color indexed="81"/>
            <rFont val="Tahoma"/>
            <family val="2"/>
          </rPr>
          <t xml:space="preserve">e.g. DOR, NPA or NRD.
</t>
        </r>
      </text>
    </comment>
    <comment ref="N209" authorId="1">
      <text>
        <r>
          <rPr>
            <sz val="8"/>
            <color indexed="81"/>
            <rFont val="Tahoma"/>
            <family val="2"/>
          </rPr>
          <t>Please select from the drop down options which are defined on the factors tab.</t>
        </r>
      </text>
    </comment>
    <comment ref="P209" authorId="2">
      <text>
        <r>
          <rPr>
            <sz val="8"/>
            <color indexed="81"/>
            <rFont val="Tahoma"/>
            <family val="2"/>
          </rPr>
          <t xml:space="preserve">e.g. DOR, NPA or NRD.
</t>
        </r>
      </text>
    </comment>
    <comment ref="H210" authorId="1">
      <text>
        <r>
          <rPr>
            <sz val="8"/>
            <color indexed="81"/>
            <rFont val="Tahoma"/>
            <family val="2"/>
          </rPr>
          <t>e.g. rounding down to 12p.</t>
        </r>
      </text>
    </comment>
    <comment ref="J232" authorId="1">
      <text>
        <r>
          <rPr>
            <sz val="8"/>
            <color indexed="81"/>
            <rFont val="Tahoma"/>
            <family val="2"/>
          </rPr>
          <t>Please select from the drop down options which are defined on the factors tab.</t>
        </r>
      </text>
    </comment>
    <comment ref="L232" authorId="1">
      <text>
        <r>
          <rPr>
            <sz val="8"/>
            <color indexed="81"/>
            <rFont val="Tahoma"/>
            <family val="2"/>
          </rPr>
          <t xml:space="preserve">e.g. DOR, NPA or NRD.
</t>
        </r>
      </text>
    </comment>
    <comment ref="N232" authorId="1">
      <text>
        <r>
          <rPr>
            <sz val="8"/>
            <color indexed="81"/>
            <rFont val="Tahoma"/>
            <family val="2"/>
          </rPr>
          <t>Please select from the drop down options which are defined on the factors tab.</t>
        </r>
      </text>
    </comment>
    <comment ref="P232" authorId="2">
      <text>
        <r>
          <rPr>
            <sz val="8"/>
            <color indexed="81"/>
            <rFont val="Tahoma"/>
            <family val="2"/>
          </rPr>
          <t xml:space="preserve">e.g. DOR, NPA or NRD.
</t>
        </r>
      </text>
    </comment>
    <comment ref="H233" authorId="1">
      <text>
        <r>
          <rPr>
            <sz val="8"/>
            <color indexed="81"/>
            <rFont val="Tahoma"/>
            <family val="2"/>
          </rPr>
          <t>e.g. rounding down to 12p.</t>
        </r>
      </text>
    </comment>
    <comment ref="J255" authorId="1">
      <text>
        <r>
          <rPr>
            <sz val="8"/>
            <color indexed="81"/>
            <rFont val="Tahoma"/>
            <family val="2"/>
          </rPr>
          <t>Please select from the drop down options which are defined on the factors tab.</t>
        </r>
      </text>
    </comment>
    <comment ref="L255" authorId="1">
      <text>
        <r>
          <rPr>
            <sz val="8"/>
            <color indexed="81"/>
            <rFont val="Tahoma"/>
            <family val="2"/>
          </rPr>
          <t xml:space="preserve">e.g. DOR, NPA or NRD.
</t>
        </r>
      </text>
    </comment>
    <comment ref="N255" authorId="1">
      <text>
        <r>
          <rPr>
            <sz val="8"/>
            <color indexed="81"/>
            <rFont val="Tahoma"/>
            <family val="2"/>
          </rPr>
          <t>Please select from the drop down options which are defined on the factors tab.</t>
        </r>
      </text>
    </comment>
    <comment ref="P255" authorId="2">
      <text>
        <r>
          <rPr>
            <sz val="8"/>
            <color indexed="81"/>
            <rFont val="Tahoma"/>
            <family val="2"/>
          </rPr>
          <t xml:space="preserve">e.g. DOR, NPA or NRD.
</t>
        </r>
      </text>
    </comment>
    <comment ref="H256" authorId="1">
      <text>
        <r>
          <rPr>
            <sz val="8"/>
            <color indexed="81"/>
            <rFont val="Tahoma"/>
            <family val="2"/>
          </rPr>
          <t>e.g. rounding down to 12p.</t>
        </r>
      </text>
    </comment>
    <comment ref="J278" authorId="1">
      <text>
        <r>
          <rPr>
            <sz val="8"/>
            <color indexed="81"/>
            <rFont val="Tahoma"/>
            <family val="2"/>
          </rPr>
          <t>Please select from the drop down options which are defined on the factors tab.</t>
        </r>
      </text>
    </comment>
    <comment ref="L278" authorId="1">
      <text>
        <r>
          <rPr>
            <sz val="8"/>
            <color indexed="81"/>
            <rFont val="Tahoma"/>
            <family val="2"/>
          </rPr>
          <t xml:space="preserve">e.g. DOR, NPA or NRD.
</t>
        </r>
      </text>
    </comment>
    <comment ref="N278" authorId="1">
      <text>
        <r>
          <rPr>
            <sz val="8"/>
            <color indexed="81"/>
            <rFont val="Tahoma"/>
            <family val="2"/>
          </rPr>
          <t>Please select from the drop down options which are defined on the factors tab.</t>
        </r>
      </text>
    </comment>
    <comment ref="P278" authorId="2">
      <text>
        <r>
          <rPr>
            <sz val="8"/>
            <color indexed="81"/>
            <rFont val="Tahoma"/>
            <family val="2"/>
          </rPr>
          <t xml:space="preserve">e.g. DOR, NPA or NRD.
</t>
        </r>
      </text>
    </comment>
    <comment ref="H279" authorId="1">
      <text>
        <r>
          <rPr>
            <sz val="8"/>
            <color indexed="81"/>
            <rFont val="Tahoma"/>
            <family val="2"/>
          </rPr>
          <t>e.g. rounding down to 12p.</t>
        </r>
      </text>
    </comment>
    <comment ref="J301" authorId="1">
      <text>
        <r>
          <rPr>
            <sz val="8"/>
            <color indexed="81"/>
            <rFont val="Tahoma"/>
            <family val="2"/>
          </rPr>
          <t>Please select from the drop down options which are defined on the factors tab.</t>
        </r>
      </text>
    </comment>
    <comment ref="L301" authorId="1">
      <text>
        <r>
          <rPr>
            <sz val="8"/>
            <color indexed="81"/>
            <rFont val="Tahoma"/>
            <family val="2"/>
          </rPr>
          <t xml:space="preserve">e.g. DOR, NPA or NRD.
</t>
        </r>
      </text>
    </comment>
    <comment ref="N301" authorId="1">
      <text>
        <r>
          <rPr>
            <sz val="8"/>
            <color indexed="81"/>
            <rFont val="Tahoma"/>
            <family val="2"/>
          </rPr>
          <t>Please select from the drop down options which are defined on the factors tab.</t>
        </r>
      </text>
    </comment>
    <comment ref="P301" authorId="2">
      <text>
        <r>
          <rPr>
            <sz val="8"/>
            <color indexed="81"/>
            <rFont val="Tahoma"/>
            <family val="2"/>
          </rPr>
          <t xml:space="preserve">e.g. DOR, NPA or NRD.
</t>
        </r>
      </text>
    </comment>
    <comment ref="H302" authorId="1">
      <text>
        <r>
          <rPr>
            <sz val="8"/>
            <color indexed="81"/>
            <rFont val="Tahoma"/>
            <family val="2"/>
          </rPr>
          <t>e.g. rounding down to 12p.</t>
        </r>
      </text>
    </comment>
    <comment ref="B332" authorId="1">
      <text>
        <r>
          <rPr>
            <sz val="8"/>
            <color indexed="81"/>
            <rFont val="Tahoma"/>
            <family val="2"/>
          </rPr>
          <t xml:space="preserve">A Valiadation uses data stored on the members record and is performed prior to the calcuation beingrun.
An error will stop the calculation from running until the problem has been fixed.
A warning will just appear to warn the administrator but the calculation will still run.
</t>
        </r>
      </text>
    </comment>
    <comment ref="H332" authorId="1">
      <text>
        <r>
          <rPr>
            <sz val="8"/>
            <color indexed="81"/>
            <rFont val="Tahoma"/>
            <family val="2"/>
          </rPr>
          <t>What is the message you want to see.</t>
        </r>
      </text>
    </comment>
    <comment ref="O368" authorId="1">
      <text>
        <r>
          <rPr>
            <sz val="8"/>
            <color indexed="81"/>
            <rFont val="Tahoma"/>
            <family val="2"/>
          </rPr>
          <t xml:space="preserve">e.g. date format: 1st December 1999.
</t>
        </r>
      </text>
    </comment>
  </commentList>
</comments>
</file>

<file path=xl/comments6.xml><?xml version="1.0" encoding="utf-8"?>
<comments xmlns="http://schemas.openxmlformats.org/spreadsheetml/2006/main">
  <authors>
    <author xml:space="preserve"> Michael Day</author>
    <author xml:space="preserve"> Anna Clark</author>
  </authors>
  <commentList>
    <comment ref="I5" authorId="0">
      <text>
        <r>
          <rPr>
            <sz val="8"/>
            <color indexed="81"/>
            <rFont val="Tahoma"/>
            <family val="2"/>
          </rPr>
          <t xml:space="preserve">Name of reviewer
</t>
        </r>
      </text>
    </comment>
    <comment ref="B45" authorId="1">
      <text>
        <r>
          <rPr>
            <sz val="8"/>
            <color indexed="81"/>
            <rFont val="Tahoma"/>
            <family val="2"/>
          </rPr>
          <t xml:space="preserve">e.g. category of members.
</t>
        </r>
      </text>
    </comment>
    <comment ref="M62" authorId="1">
      <text>
        <r>
          <rPr>
            <sz val="8"/>
            <color indexed="81"/>
            <rFont val="Tahoma"/>
            <family val="2"/>
          </rPr>
          <t>An error will stop the calculation
running completely.  
A warning will allow the calculation to run as normal with a warning set to advise the administrator that these members have not been fully coded?
If an error/warning message is required please include the requirements in section 3 below.</t>
        </r>
      </text>
    </comment>
    <comment ref="F92" authorId="1">
      <text>
        <r>
          <rPr>
            <sz val="8"/>
            <color indexed="81"/>
            <rFont val="Tahoma"/>
            <family val="2"/>
          </rPr>
          <t>These should match the factor names provided on the factors tab.</t>
        </r>
      </text>
    </comment>
    <comment ref="H92" authorId="1">
      <text>
        <r>
          <rPr>
            <sz val="8"/>
            <color indexed="81"/>
            <rFont val="Tahoma"/>
            <family val="2"/>
          </rPr>
          <t xml:space="preserve">e.g. DOR, NPA or NRD.
</t>
        </r>
      </text>
    </comment>
    <comment ref="D93" authorId="1">
      <text>
        <r>
          <rPr>
            <sz val="8"/>
            <color indexed="81"/>
            <rFont val="Tahoma"/>
            <family val="2"/>
          </rPr>
          <t>e.g. rounding down to 12p.</t>
        </r>
      </text>
    </comment>
    <comment ref="F115" authorId="1">
      <text>
        <r>
          <rPr>
            <sz val="8"/>
            <color indexed="81"/>
            <rFont val="Tahoma"/>
            <family val="2"/>
          </rPr>
          <t>These should match the factor names provided on the factors tab.</t>
        </r>
      </text>
    </comment>
    <comment ref="H115" authorId="1">
      <text>
        <r>
          <rPr>
            <sz val="8"/>
            <color indexed="81"/>
            <rFont val="Tahoma"/>
            <family val="2"/>
          </rPr>
          <t xml:space="preserve">e.g. DOR, NPA or NRD.
</t>
        </r>
      </text>
    </comment>
    <comment ref="D116" authorId="1">
      <text>
        <r>
          <rPr>
            <sz val="8"/>
            <color indexed="81"/>
            <rFont val="Tahoma"/>
            <family val="2"/>
          </rPr>
          <t>e.g. rounding down to 12p.</t>
        </r>
      </text>
    </comment>
    <comment ref="F138" authorId="1">
      <text>
        <r>
          <rPr>
            <sz val="8"/>
            <color indexed="81"/>
            <rFont val="Tahoma"/>
            <family val="2"/>
          </rPr>
          <t>These should match the factor names provided on the factors tab.</t>
        </r>
      </text>
    </comment>
    <comment ref="H138" authorId="1">
      <text>
        <r>
          <rPr>
            <sz val="8"/>
            <color indexed="81"/>
            <rFont val="Tahoma"/>
            <family val="2"/>
          </rPr>
          <t xml:space="preserve">e.g. DOR, NPA or NRD.
</t>
        </r>
      </text>
    </comment>
    <comment ref="D139" authorId="1">
      <text>
        <r>
          <rPr>
            <sz val="8"/>
            <color indexed="81"/>
            <rFont val="Tahoma"/>
            <family val="2"/>
          </rPr>
          <t>e.g. rounding down to 12p.</t>
        </r>
      </text>
    </comment>
    <comment ref="F161" authorId="1">
      <text>
        <r>
          <rPr>
            <sz val="8"/>
            <color indexed="81"/>
            <rFont val="Tahoma"/>
            <family val="2"/>
          </rPr>
          <t>These should match the factor names provided on the factors tab.</t>
        </r>
      </text>
    </comment>
    <comment ref="H161" authorId="1">
      <text>
        <r>
          <rPr>
            <sz val="8"/>
            <color indexed="81"/>
            <rFont val="Tahoma"/>
            <family val="2"/>
          </rPr>
          <t xml:space="preserve">e.g. DOR, NPA or NRD.
</t>
        </r>
      </text>
    </comment>
    <comment ref="D162" authorId="1">
      <text>
        <r>
          <rPr>
            <sz val="8"/>
            <color indexed="81"/>
            <rFont val="Tahoma"/>
            <family val="2"/>
          </rPr>
          <t>e.g. rounding down to 12p.</t>
        </r>
      </text>
    </comment>
    <comment ref="F184" authorId="1">
      <text>
        <r>
          <rPr>
            <sz val="8"/>
            <color indexed="81"/>
            <rFont val="Tahoma"/>
            <family val="2"/>
          </rPr>
          <t>These should match the factor names provided on the factors tab.</t>
        </r>
      </text>
    </comment>
    <comment ref="H184" authorId="1">
      <text>
        <r>
          <rPr>
            <sz val="8"/>
            <color indexed="81"/>
            <rFont val="Tahoma"/>
            <family val="2"/>
          </rPr>
          <t xml:space="preserve">e.g. DOR, NPA or NRD.
</t>
        </r>
      </text>
    </comment>
    <comment ref="D185" authorId="1">
      <text>
        <r>
          <rPr>
            <sz val="8"/>
            <color indexed="81"/>
            <rFont val="Tahoma"/>
            <family val="2"/>
          </rPr>
          <t>e.g. rounding down to 12p.</t>
        </r>
      </text>
    </comment>
    <comment ref="F207" authorId="1">
      <text>
        <r>
          <rPr>
            <sz val="8"/>
            <color indexed="81"/>
            <rFont val="Tahoma"/>
            <family val="2"/>
          </rPr>
          <t>These should match the factor names provided on the factors tab.</t>
        </r>
      </text>
    </comment>
    <comment ref="H207" authorId="1">
      <text>
        <r>
          <rPr>
            <sz val="8"/>
            <color indexed="81"/>
            <rFont val="Tahoma"/>
            <family val="2"/>
          </rPr>
          <t xml:space="preserve">e.g. DOR, NPA or NRD.
</t>
        </r>
      </text>
    </comment>
    <comment ref="D208" authorId="1">
      <text>
        <r>
          <rPr>
            <sz val="8"/>
            <color indexed="81"/>
            <rFont val="Tahoma"/>
            <family val="2"/>
          </rPr>
          <t>e.g. rounding down to 12p.</t>
        </r>
      </text>
    </comment>
    <comment ref="F230" authorId="1">
      <text>
        <r>
          <rPr>
            <sz val="8"/>
            <color indexed="81"/>
            <rFont val="Tahoma"/>
            <family val="2"/>
          </rPr>
          <t>These should match the factor names provided on the factors tab.</t>
        </r>
      </text>
    </comment>
    <comment ref="H230" authorId="1">
      <text>
        <r>
          <rPr>
            <sz val="8"/>
            <color indexed="81"/>
            <rFont val="Tahoma"/>
            <family val="2"/>
          </rPr>
          <t xml:space="preserve">e.g. DOR, NPA or NRD.
</t>
        </r>
      </text>
    </comment>
    <comment ref="D231" authorId="1">
      <text>
        <r>
          <rPr>
            <sz val="8"/>
            <color indexed="81"/>
            <rFont val="Tahoma"/>
            <family val="2"/>
          </rPr>
          <t>e.g. rounding down to 12p.</t>
        </r>
      </text>
    </comment>
    <comment ref="F253" authorId="1">
      <text>
        <r>
          <rPr>
            <sz val="8"/>
            <color indexed="81"/>
            <rFont val="Tahoma"/>
            <family val="2"/>
          </rPr>
          <t>These should match the factor names provided on the factors tab.</t>
        </r>
      </text>
    </comment>
    <comment ref="H253" authorId="1">
      <text>
        <r>
          <rPr>
            <sz val="8"/>
            <color indexed="81"/>
            <rFont val="Tahoma"/>
            <family val="2"/>
          </rPr>
          <t xml:space="preserve">e.g. DOR, NPA or NRD.
</t>
        </r>
      </text>
    </comment>
    <comment ref="D254" authorId="1">
      <text>
        <r>
          <rPr>
            <sz val="8"/>
            <color indexed="81"/>
            <rFont val="Tahoma"/>
            <family val="2"/>
          </rPr>
          <t>e.g. rounding down to 12p.</t>
        </r>
      </text>
    </comment>
    <comment ref="F276" authorId="1">
      <text>
        <r>
          <rPr>
            <sz val="8"/>
            <color indexed="81"/>
            <rFont val="Tahoma"/>
            <family val="2"/>
          </rPr>
          <t>These should match the factor names provided on the factors tab.</t>
        </r>
      </text>
    </comment>
    <comment ref="H276" authorId="1">
      <text>
        <r>
          <rPr>
            <sz val="8"/>
            <color indexed="81"/>
            <rFont val="Tahoma"/>
            <family val="2"/>
          </rPr>
          <t xml:space="preserve">e.g. DOR, NPA or NRD.
</t>
        </r>
      </text>
    </comment>
    <comment ref="D277" authorId="1">
      <text>
        <r>
          <rPr>
            <sz val="8"/>
            <color indexed="81"/>
            <rFont val="Tahoma"/>
            <family val="2"/>
          </rPr>
          <t>e.g. rounding down to 12p.</t>
        </r>
      </text>
    </comment>
    <comment ref="F299" authorId="1">
      <text>
        <r>
          <rPr>
            <sz val="8"/>
            <color indexed="81"/>
            <rFont val="Tahoma"/>
            <family val="2"/>
          </rPr>
          <t>These should match the factor names provided on the factors tab.</t>
        </r>
      </text>
    </comment>
    <comment ref="H299" authorId="1">
      <text>
        <r>
          <rPr>
            <sz val="8"/>
            <color indexed="81"/>
            <rFont val="Tahoma"/>
            <family val="2"/>
          </rPr>
          <t xml:space="preserve">e.g. DOR, NPA or NRD.
</t>
        </r>
      </text>
    </comment>
    <comment ref="D300" authorId="1">
      <text>
        <r>
          <rPr>
            <sz val="8"/>
            <color indexed="81"/>
            <rFont val="Tahoma"/>
            <family val="2"/>
          </rPr>
          <t>e.g. rounding down to 12p.</t>
        </r>
      </text>
    </comment>
    <comment ref="B330" authorId="1">
      <text>
        <r>
          <rPr>
            <sz val="8"/>
            <color indexed="81"/>
            <rFont val="Tahoma"/>
            <family val="2"/>
          </rPr>
          <t xml:space="preserve">A Valiadation uses data stored on the members record and is performed prior to the calcuation beingrun.
An error will stop the calculation from running until the problem has been fixed.
A warning will just appear to warn the administrator but the calculation will still run.
</t>
        </r>
      </text>
    </comment>
    <comment ref="H330" authorId="1">
      <text>
        <r>
          <rPr>
            <sz val="8"/>
            <color indexed="81"/>
            <rFont val="Tahoma"/>
            <family val="2"/>
          </rPr>
          <t>What is the message you want to see.</t>
        </r>
      </text>
    </comment>
    <comment ref="K366" authorId="1">
      <text>
        <r>
          <rPr>
            <sz val="8"/>
            <color indexed="81"/>
            <rFont val="Tahoma"/>
            <family val="2"/>
          </rPr>
          <t xml:space="preserve">e.g. date format: 1st December 1999.
</t>
        </r>
      </text>
    </comment>
  </commentList>
</comments>
</file>

<file path=xl/comments7.xml><?xml version="1.0" encoding="utf-8"?>
<comments xmlns="http://schemas.openxmlformats.org/spreadsheetml/2006/main">
  <authors>
    <author xml:space="preserve"> Michael Day</author>
    <author xml:space="preserve"> Anna Clark</author>
  </authors>
  <commentList>
    <comment ref="I5" authorId="0">
      <text>
        <r>
          <rPr>
            <sz val="8"/>
            <color indexed="81"/>
            <rFont val="Tahoma"/>
            <family val="2"/>
          </rPr>
          <t xml:space="preserve">Name of reviewer
</t>
        </r>
      </text>
    </comment>
    <comment ref="C46" authorId="1">
      <text>
        <r>
          <rPr>
            <sz val="8"/>
            <color indexed="81"/>
            <rFont val="Tahoma"/>
            <family val="2"/>
          </rPr>
          <t>Does this scheme require Death in Retirement calculations to be coded on PenScope?  If the answer is yes please complete the rest of this section with the calculation requirments.</t>
        </r>
      </text>
    </comment>
    <comment ref="C78" authorId="1">
      <text>
        <r>
          <rPr>
            <sz val="8"/>
            <color indexed="81"/>
            <rFont val="Tahoma"/>
            <family val="2"/>
          </rPr>
          <t>Does this scheme require Death in Service calculations to be coded on PenScope?  If the answer is yes please complete the rest of this section.</t>
        </r>
      </text>
    </comment>
    <comment ref="C96" authorId="1">
      <text>
        <r>
          <rPr>
            <sz val="8"/>
            <color indexed="81"/>
            <rFont val="Tahoma"/>
            <family val="2"/>
          </rPr>
          <t>Does this scheme require Death in Deferment calculations to be coded on PenScope?  If the answer is yes the code will assume the spouses pension defined in the Scheme Definitions is applied to the revalued pension at date of death unless an alternative calculation is requested below.</t>
        </r>
      </text>
    </comment>
    <comment ref="D115" authorId="1">
      <text>
        <r>
          <rPr>
            <sz val="8"/>
            <color indexed="81"/>
            <rFont val="Tahoma"/>
            <family val="2"/>
          </rPr>
          <t xml:space="preserve">A Valiadation uses data stored on the members record and is performed prior to the calcuation beingrun.
An error will stop the calculation from running until the problem has been fixed.
A warning will just appear to warn the administrator but the calculation will still run.
</t>
        </r>
      </text>
    </comment>
    <comment ref="J115" authorId="1">
      <text>
        <r>
          <rPr>
            <sz val="8"/>
            <color indexed="81"/>
            <rFont val="Tahoma"/>
            <family val="2"/>
          </rPr>
          <t>What is the message you want to see.</t>
        </r>
      </text>
    </comment>
    <comment ref="K137" authorId="1">
      <text>
        <r>
          <rPr>
            <sz val="8"/>
            <color indexed="81"/>
            <rFont val="Tahoma"/>
            <family val="2"/>
          </rPr>
          <t xml:space="preserve">e.g. date format: 1st December 1999.
</t>
        </r>
      </text>
    </comment>
  </commentList>
</comments>
</file>

<file path=xl/comments8.xml><?xml version="1.0" encoding="utf-8"?>
<comments xmlns="http://schemas.openxmlformats.org/spreadsheetml/2006/main">
  <authors>
    <author xml:space="preserve"> Michael Day</author>
    <author>Sheheryar.Haq</author>
    <author xml:space="preserve"> Anna Clark</author>
  </authors>
  <commentList>
    <comment ref="I5" authorId="0">
      <text>
        <r>
          <rPr>
            <sz val="8"/>
            <color indexed="81"/>
            <rFont val="Tahoma"/>
            <family val="2"/>
          </rPr>
          <t xml:space="preserve">Name of reviewer
</t>
        </r>
      </text>
    </comment>
    <comment ref="B36" authorId="1">
      <text>
        <r>
          <rPr>
            <sz val="9"/>
            <color indexed="81"/>
            <rFont val="Tahoma"/>
            <family val="2"/>
          </rPr>
          <t>Groups are used to separate sections of members who are increased at different dates.
If this applies, please select yes and provide details in the table below.</t>
        </r>
      </text>
    </comment>
    <comment ref="B38" authorId="2">
      <text>
        <r>
          <rPr>
            <sz val="8"/>
            <color indexed="81"/>
            <rFont val="Tahoma"/>
            <family val="2"/>
          </rPr>
          <t xml:space="preserve">Where no gouping is required, this is defaulted to "all scheme"
</t>
        </r>
      </text>
    </comment>
    <comment ref="D46" authorId="2">
      <text>
        <r>
          <rPr>
            <sz val="8"/>
            <color indexed="81"/>
            <rFont val="Tahoma"/>
            <family val="2"/>
          </rPr>
          <t xml:space="preserve">e.g. 1 April
</t>
        </r>
      </text>
    </comment>
    <comment ref="I46" authorId="2">
      <text>
        <r>
          <rPr>
            <sz val="8"/>
            <color indexed="81"/>
            <rFont val="Tahoma"/>
            <family val="2"/>
          </rPr>
          <t xml:space="preserve">e.g. 1 April
</t>
        </r>
      </text>
    </comment>
    <comment ref="J46" authorId="2">
      <text>
        <r>
          <rPr>
            <sz val="8"/>
            <color indexed="81"/>
            <rFont val="Tahoma"/>
            <family val="2"/>
          </rPr>
          <t>If the member retires from Active service should their first increase be pro-rated.</t>
        </r>
      </text>
    </comment>
    <comment ref="K46" authorId="2">
      <text>
        <r>
          <rPr>
            <sz val="8"/>
            <color indexed="81"/>
            <rFont val="Tahoma"/>
            <family val="2"/>
          </rPr>
          <t>If the member retires from Active service should their first increase be pro-rated.</t>
        </r>
      </text>
    </comment>
    <comment ref="L46" authorId="2">
      <text>
        <r>
          <rPr>
            <sz val="8"/>
            <color indexed="81"/>
            <rFont val="Tahoma"/>
            <family val="2"/>
          </rPr>
          <t>Do GMP elements get a pro-rated increase in the first year after retirement.</t>
        </r>
      </text>
    </comment>
    <comment ref="M46" authorId="2">
      <text>
        <r>
          <rPr>
            <sz val="8"/>
            <color indexed="81"/>
            <rFont val="Tahoma"/>
            <family val="2"/>
          </rPr>
          <t>Do excess elements get a pro-rated increase in the first year after retirement.</t>
        </r>
      </text>
    </comment>
    <comment ref="O46" authorId="2">
      <text>
        <r>
          <rPr>
            <sz val="8"/>
            <color indexed="81"/>
            <rFont val="Tahoma"/>
            <family val="2"/>
          </rPr>
          <t>e.g. for an increase of 3% for 8 months:
Simple = 1+ ((3 x 8/12)/100) = 1.020
Compound = 1.03^(8/12) = 1.019</t>
        </r>
      </text>
    </comment>
    <comment ref="K89" authorId="1">
      <text>
        <r>
          <rPr>
            <sz val="9"/>
            <color indexed="81"/>
            <rFont val="Tahoma"/>
            <family val="2"/>
          </rPr>
          <t xml:space="preserve">Please insert the appropriate percentage applicable for the last Pension Increase run
</t>
        </r>
      </text>
    </comment>
    <comment ref="M89" authorId="1">
      <text>
        <r>
          <rPr>
            <sz val="9"/>
            <color indexed="81"/>
            <rFont val="Tahoma"/>
            <family val="2"/>
          </rPr>
          <t>Please insert the date of the last Pension Increase run</t>
        </r>
      </text>
    </comment>
    <comment ref="K116" authorId="1">
      <text>
        <r>
          <rPr>
            <sz val="9"/>
            <color indexed="81"/>
            <rFont val="Tahoma"/>
            <family val="2"/>
          </rPr>
          <t xml:space="preserve">Please insert the appropriate percentage applicable for the last Pension Increase run
</t>
        </r>
      </text>
    </comment>
    <comment ref="M116" authorId="1">
      <text>
        <r>
          <rPr>
            <sz val="9"/>
            <color indexed="81"/>
            <rFont val="Tahoma"/>
            <family val="2"/>
          </rPr>
          <t>Please insert the date of the last Pension Increase run</t>
        </r>
      </text>
    </comment>
    <comment ref="K143" authorId="1">
      <text>
        <r>
          <rPr>
            <sz val="9"/>
            <color indexed="81"/>
            <rFont val="Tahoma"/>
            <family val="2"/>
          </rPr>
          <t xml:space="preserve">Please insert the appropriate percentage applicable for the last Pension Increase run
</t>
        </r>
      </text>
    </comment>
    <comment ref="M143" authorId="1">
      <text>
        <r>
          <rPr>
            <sz val="9"/>
            <color indexed="81"/>
            <rFont val="Tahoma"/>
            <family val="2"/>
          </rPr>
          <t>Please insert the date of the last Pension Increase run</t>
        </r>
      </text>
    </comment>
    <comment ref="K170" authorId="1">
      <text>
        <r>
          <rPr>
            <sz val="9"/>
            <color indexed="81"/>
            <rFont val="Tahoma"/>
            <family val="2"/>
          </rPr>
          <t xml:space="preserve">Please insert the appropriate percentage applicable for the last Pension Increase run
</t>
        </r>
      </text>
    </comment>
    <comment ref="M170" authorId="1">
      <text>
        <r>
          <rPr>
            <sz val="9"/>
            <color indexed="81"/>
            <rFont val="Tahoma"/>
            <family val="2"/>
          </rPr>
          <t>Please insert the date of the last Pension Increase run</t>
        </r>
      </text>
    </comment>
    <comment ref="K197" authorId="1">
      <text>
        <r>
          <rPr>
            <sz val="9"/>
            <color indexed="81"/>
            <rFont val="Tahoma"/>
            <family val="2"/>
          </rPr>
          <t xml:space="preserve">Please insert the appropriate percentage applicable for the last Pension Increase run
</t>
        </r>
      </text>
    </comment>
    <comment ref="M197" authorId="1">
      <text>
        <r>
          <rPr>
            <sz val="9"/>
            <color indexed="81"/>
            <rFont val="Tahoma"/>
            <family val="2"/>
          </rPr>
          <t>Please insert the date of the last Pension Increase run</t>
        </r>
      </text>
    </comment>
  </commentList>
</comments>
</file>

<file path=xl/comments9.xml><?xml version="1.0" encoding="utf-8"?>
<comments xmlns="http://schemas.openxmlformats.org/spreadsheetml/2006/main">
  <authors>
    <author xml:space="preserve"> Michael Day</author>
    <author xml:space="preserve"> Anna Clark</author>
    <author xml:space="preserve"> </author>
  </authors>
  <commentList>
    <comment ref="I5" authorId="0">
      <text>
        <r>
          <rPr>
            <sz val="8"/>
            <color indexed="81"/>
            <rFont val="Tahoma"/>
            <family val="2"/>
          </rPr>
          <t xml:space="preserve">Name of reviewer
</t>
        </r>
      </text>
    </comment>
    <comment ref="B35" authorId="1">
      <text>
        <r>
          <rPr>
            <sz val="8"/>
            <color indexed="81"/>
            <rFont val="Tahoma"/>
            <family val="2"/>
          </rPr>
          <t>Subset of members to be included in the extract.</t>
        </r>
      </text>
    </comment>
    <comment ref="B38" authorId="1">
      <text>
        <r>
          <rPr>
            <sz val="8"/>
            <color indexed="81"/>
            <rFont val="Tahoma"/>
            <family val="2"/>
          </rPr>
          <t xml:space="preserve">Only enter a date in this field if the Salary, Contribution Rate or Fund details 
that should be used in the process have a start date after the Statement Date.
</t>
        </r>
      </text>
    </comment>
    <comment ref="B57" authorId="0">
      <text>
        <r>
          <rPr>
            <sz val="8"/>
            <color indexed="81"/>
            <rFont val="Tahoma"/>
            <family val="2"/>
          </rPr>
          <t>Represents the number of years in the lifestyle matrix (if lifestyling applies for this scheme)</t>
        </r>
      </text>
    </comment>
    <comment ref="B61" authorId="2">
      <text>
        <r>
          <rPr>
            <sz val="8"/>
            <color indexed="81"/>
            <rFont val="Tahoma"/>
            <family val="2"/>
          </rPr>
          <t>Normally "Scheme Main" but any alternative as you wish.  
If there is to be more than one category please specify separately.</t>
        </r>
      </text>
    </comment>
    <comment ref="B67" authorId="1">
      <text>
        <r>
          <rPr>
            <sz val="8"/>
            <color indexed="81"/>
            <rFont val="Tahoma"/>
            <family val="2"/>
          </rPr>
          <t xml:space="preserve">Yes or No
If Yes please complete the information below.
</t>
        </r>
      </text>
    </comment>
    <comment ref="B70" authorId="2">
      <text>
        <r>
          <rPr>
            <sz val="8"/>
            <color indexed="81"/>
            <rFont val="Tahoma"/>
            <family val="2"/>
          </rPr>
          <t xml:space="preserve">Please name appropriately (e.g. Age Related Scale)
</t>
        </r>
      </text>
    </comment>
    <comment ref="B73" authorId="2">
      <text>
        <r>
          <rPr>
            <sz val="8"/>
            <color indexed="81"/>
            <rFont val="Tahoma"/>
            <family val="2"/>
          </rPr>
          <t xml:space="preserve">Please name appropriately (e.g. Age Related Scale)
</t>
        </r>
      </text>
    </comment>
    <comment ref="B79" authorId="1">
      <text>
        <r>
          <rPr>
            <sz val="8"/>
            <color indexed="81"/>
            <rFont val="Tahoma"/>
            <family val="2"/>
          </rPr>
          <t xml:space="preserve">Yes or No
If Yes please complete the information below.
</t>
        </r>
      </text>
    </comment>
    <comment ref="J89" authorId="1">
      <text>
        <r>
          <rPr>
            <sz val="8"/>
            <color indexed="81"/>
            <rFont val="Tahoma"/>
            <family val="2"/>
          </rPr>
          <t xml:space="preserve">This should be in relation to the results provided for testing.
</t>
        </r>
      </text>
    </comment>
    <comment ref="L89" authorId="1">
      <text>
        <r>
          <rPr>
            <sz val="8"/>
            <color indexed="81"/>
            <rFont val="Tahoma"/>
            <family val="2"/>
          </rPr>
          <t xml:space="preserve">This should be in relation to the results provided for testing.
</t>
        </r>
      </text>
    </comment>
    <comment ref="B121" authorId="1">
      <text>
        <r>
          <rPr>
            <sz val="8"/>
            <color indexed="81"/>
            <rFont val="Tahoma"/>
            <family val="2"/>
          </rPr>
          <t xml:space="preserve">Examples must be provided in order to ensure the correct results are being produced.
</t>
        </r>
      </text>
    </comment>
    <comment ref="M125" authorId="1">
      <text>
        <r>
          <rPr>
            <sz val="8"/>
            <color indexed="81"/>
            <rFont val="Tahoma"/>
            <family val="2"/>
          </rPr>
          <t xml:space="preserve">e.g. date format: 1st December 1999.
</t>
        </r>
      </text>
    </comment>
  </commentList>
</comments>
</file>

<file path=xl/comments10.xml><?xml version="1.0" encoding="utf-8"?>
<comments xmlns="http://schemas.openxmlformats.org/spreadsheetml/2006/main">
  <authors>
    <author xml:space="preserve"> Michael Day</author>
    <author xml:space="preserve"> Anna Clark</author>
  </authors>
  <commentList>
    <comment ref="I5" authorId="0">
      <text>
        <r>
          <rPr>
            <sz val="8"/>
            <color indexed="81"/>
            <rFont val="Tahoma"/>
            <family val="2"/>
          </rPr>
          <t xml:space="preserve">Name of reviewer
</t>
        </r>
      </text>
    </comment>
    <comment ref="B32" authorId="1">
      <text>
        <r>
          <rPr>
            <sz val="8"/>
            <color indexed="81"/>
            <rFont val="Tahoma"/>
            <family val="2"/>
          </rPr>
          <t xml:space="preserve">e.g. Active, Passive, Other …...
</t>
        </r>
      </text>
    </comment>
    <comment ref="B36" authorId="1">
      <text>
        <r>
          <rPr>
            <sz val="8"/>
            <color indexed="81"/>
            <rFont val="Tahoma"/>
            <family val="2"/>
          </rPr>
          <t xml:space="preserve">Yes or No
If Yes please list the contribution sources which should be excluded.
</t>
        </r>
      </text>
    </comment>
    <comment ref="B43" authorId="1">
      <text>
        <r>
          <rPr>
            <sz val="8"/>
            <color indexed="81"/>
            <rFont val="Tahoma"/>
            <family val="2"/>
          </rPr>
          <t xml:space="preserve">e.g. All conts, Main Conts Lifestyle AVC conts not Lifestyle, Main Conts not lifestyled AVC conts Lifestyles, All combinations
</t>
        </r>
      </text>
    </comment>
    <comment ref="B49" authorId="0">
      <text>
        <r>
          <rPr>
            <sz val="8"/>
            <color indexed="81"/>
            <rFont val="Tahoma"/>
            <family val="2"/>
          </rPr>
          <t>If Yes, please ensure the correct percentage is specified for each member in Lifestyling Options page.  If none is specified it defaults to 100% (i.e. fully lifestyled).
Please note this can only be done once lifestyling is set up for the scheme.</t>
        </r>
      </text>
    </comment>
    <comment ref="B51" authorId="0">
      <text>
        <r>
          <rPr>
            <sz val="8"/>
            <color indexed="81"/>
            <rFont val="Tahoma"/>
            <family val="2"/>
          </rPr>
          <t>Anniversary switching means a process can be run e.g. monthly but members will only be picked up for switching once a year, on the anniversary of birth.</t>
        </r>
      </text>
    </comment>
    <comment ref="B70" authorId="1">
      <text>
        <r>
          <rPr>
            <sz val="8"/>
            <color indexed="81"/>
            <rFont val="Tahoma"/>
            <family val="2"/>
          </rPr>
          <t>This is the effective date of the first PenScope Lifestyling process. 
If the data has not yet been migrated please just input the day and month and the next anchor date after the migration takes place will be used.</t>
        </r>
      </text>
    </comment>
    <comment ref="B74" authorId="1">
      <text>
        <r>
          <rPr>
            <sz val="8"/>
            <color indexed="81"/>
            <rFont val="Tahoma"/>
            <family val="2"/>
          </rPr>
          <t xml:space="preserve">Additional rows are available for monthly schemes.
</t>
        </r>
      </text>
    </comment>
    <comment ref="C232" authorId="0">
      <text>
        <r>
          <rPr>
            <sz val="8"/>
            <color indexed="81"/>
            <rFont val="Tahoma"/>
            <family val="2"/>
          </rPr>
          <t xml:space="preserve">If the scheme has already been migrated, this should be the fund name, exactly as it appears on PenScope
</t>
        </r>
      </text>
    </comment>
    <comment ref="G232" authorId="0">
      <text>
        <r>
          <rPr>
            <sz val="8"/>
            <color indexed="81"/>
            <rFont val="Tahoma"/>
            <family val="2"/>
          </rPr>
          <t>If reverse switching is not permitted then the correct flow restriction should be set here.  This should represent how the percentages change in the matrix.  
If reverse switching is allowed, these can be set to Neutral.</t>
        </r>
      </text>
    </comment>
    <comment ref="B256" authorId="1">
      <text>
        <r>
          <rPr>
            <sz val="8"/>
            <color indexed="81"/>
            <rFont val="Tahoma"/>
            <family val="2"/>
          </rPr>
          <t>This is the effective date of the first PenScope Lifestyling process. 
If the data has not yet been migrated please just input the day and month and the next anchor date after the migration takes place will be used.</t>
        </r>
      </text>
    </comment>
    <comment ref="B259" authorId="1">
      <text>
        <r>
          <rPr>
            <sz val="8"/>
            <color indexed="81"/>
            <rFont val="Tahoma"/>
            <family val="2"/>
          </rPr>
          <t xml:space="preserve">Additional rows are available for monthly schemes.
</t>
        </r>
      </text>
    </comment>
    <comment ref="C417" authorId="0">
      <text>
        <r>
          <rPr>
            <sz val="8"/>
            <color indexed="81"/>
            <rFont val="Tahoma"/>
            <family val="2"/>
          </rPr>
          <t xml:space="preserve">If the scheme has already been migrated, this should be the fund name, exactly as it appears on PenScope
</t>
        </r>
      </text>
    </comment>
    <comment ref="G417" authorId="0">
      <text>
        <r>
          <rPr>
            <sz val="8"/>
            <color indexed="81"/>
            <rFont val="Tahoma"/>
            <family val="2"/>
          </rPr>
          <t>If reverse switching is not permitted then the correct flow restriction should be set here.  This should represent how the percentages change in the matrix.  
If reverse switching is allowed, these can be set to Neutral.</t>
        </r>
      </text>
    </comment>
  </commentList>
</comments>
</file>

<file path=xl/sharedStrings.xml><?xml version="1.0" encoding="utf-8"?>
<sst xmlns="http://schemas.openxmlformats.org/spreadsheetml/2006/main" count="4798" uniqueCount="1084">
  <si>
    <t>1)</t>
  </si>
  <si>
    <t>2)</t>
  </si>
  <si>
    <t>3)</t>
  </si>
  <si>
    <t>Part Time</t>
  </si>
  <si>
    <t>GMP Test</t>
  </si>
  <si>
    <t>AVCs</t>
  </si>
  <si>
    <t>Commutation/Residual Pension</t>
  </si>
  <si>
    <t>Spouse/Dependants Benefits</t>
  </si>
  <si>
    <t>Death Lump Sums</t>
  </si>
  <si>
    <t>ERF</t>
  </si>
  <si>
    <t>LRF</t>
  </si>
  <si>
    <t>Commutation</t>
  </si>
  <si>
    <t xml:space="preserve">Accrued Pension </t>
  </si>
  <si>
    <t>Members Pension</t>
  </si>
  <si>
    <t>Scheme Categories</t>
  </si>
  <si>
    <t>Category</t>
  </si>
  <si>
    <t>NRA</t>
  </si>
  <si>
    <t>Male</t>
  </si>
  <si>
    <t>Female</t>
  </si>
  <si>
    <t>Active to Retirement</t>
  </si>
  <si>
    <t>Deferred to Retirement</t>
  </si>
  <si>
    <t>Active to Deferred</t>
  </si>
  <si>
    <t>Contracted Out</t>
  </si>
  <si>
    <t>Start Date</t>
  </si>
  <si>
    <t>End Date</t>
  </si>
  <si>
    <t>Tranche Sex</t>
  </si>
  <si>
    <t>Accrual</t>
  </si>
  <si>
    <t>Deferred Element Name</t>
  </si>
  <si>
    <t>Pension Element Name</t>
  </si>
  <si>
    <t>Pre 88 GMP</t>
  </si>
  <si>
    <t>Post 88 GMP</t>
  </si>
  <si>
    <t>Do partial years’ get pro-rated deductions?</t>
  </si>
  <si>
    <t>Final Pensionable Salary</t>
  </si>
  <si>
    <t xml:space="preserve">Pensionable Service </t>
  </si>
  <si>
    <t xml:space="preserve"> </t>
  </si>
  <si>
    <t>Element Type</t>
  </si>
  <si>
    <t>Members covered by this spec</t>
  </si>
  <si>
    <t xml:space="preserve">How are these members identified on the database? </t>
  </si>
  <si>
    <r>
      <t>Pence Rounding?</t>
    </r>
    <r>
      <rPr>
        <b/>
        <i/>
        <sz val="10"/>
        <color indexed="8"/>
        <rFont val="Calibri"/>
        <family val="2"/>
      </rPr>
      <t/>
    </r>
  </si>
  <si>
    <t>FPS</t>
  </si>
  <si>
    <t>Please insert table</t>
  </si>
  <si>
    <t>Test condition</t>
  </si>
  <si>
    <t>NRD not between 60 and 65</t>
  </si>
  <si>
    <t>FS_member_contribution table is incomplete</t>
  </si>
  <si>
    <t>Members NI history data is incomplete</t>
  </si>
  <si>
    <t>Description</t>
  </si>
  <si>
    <t>Complete NI history check</t>
  </si>
  <si>
    <t>NRD Check.</t>
  </si>
  <si>
    <t>Active Start date check.</t>
  </si>
  <si>
    <t>Complete db conts check</t>
  </si>
  <si>
    <t>Age check</t>
  </si>
  <si>
    <t>Sex check</t>
  </si>
  <si>
    <t>Date of Birth check</t>
  </si>
  <si>
    <t>Date Joined Company check</t>
  </si>
  <si>
    <t>Date Joined Scheme check</t>
  </si>
  <si>
    <t>Date Commenced Pensionable Service check</t>
  </si>
  <si>
    <t>Contracted Out Data check</t>
  </si>
  <si>
    <t>Protection check</t>
  </si>
  <si>
    <t>Salary Entries Check.</t>
  </si>
  <si>
    <t>Future Calculation check</t>
  </si>
  <si>
    <t>Part timers check</t>
  </si>
  <si>
    <t>Service breaks check</t>
  </si>
  <si>
    <t>Historic Benefits check</t>
  </si>
  <si>
    <t>AVC check</t>
  </si>
  <si>
    <t>Manual calc check</t>
  </si>
  <si>
    <t>Date of Birth not verified</t>
  </si>
  <si>
    <t>NRD missing</t>
  </si>
  <si>
    <t>Sex of member is missing</t>
  </si>
  <si>
    <t>Under 16 years of age at DJS</t>
  </si>
  <si>
    <t>Date of Birth missing</t>
  </si>
  <si>
    <t>Date of Birth greater than date joined scheme</t>
  </si>
  <si>
    <t>Date Joined Company missing</t>
  </si>
  <si>
    <t>Date Joined Scheme missing</t>
  </si>
  <si>
    <t>Date Commenced Pensionable Service missing</t>
  </si>
  <si>
    <t>Date Commenced Pensionable Service before Status History Start Date</t>
  </si>
  <si>
    <t>Date Contracted Out less than Date Joined Scheme</t>
  </si>
  <si>
    <t>Date Contracted Out is earlier than 06/04/1978</t>
  </si>
  <si>
    <t>Check members contracted out status: missing data</t>
  </si>
  <si>
    <t>Contracted out histories are not concurrent</t>
  </si>
  <si>
    <t>Member has Primary Protection</t>
  </si>
  <si>
    <t>Member has Enhanced Protection</t>
  </si>
  <si>
    <t>Member has Enhanced + Primary Protection</t>
  </si>
  <si>
    <t>Check salary details start and end dates, dates are not concurrent</t>
  </si>
  <si>
    <t>FPS override has been used</t>
  </si>
  <si>
    <t>Future Calculation: latest salary data more than 18 months old</t>
  </si>
  <si>
    <t>Member has a history of part time service recorded</t>
  </si>
  <si>
    <t>Member has service break, please check</t>
  </si>
  <si>
    <t>Member has Historical Benefits/Transfer-ins</t>
  </si>
  <si>
    <t>Member has AVCs</t>
  </si>
  <si>
    <t>Member has Manual calc flag</t>
  </si>
  <si>
    <t>NRD</t>
  </si>
  <si>
    <t>Standard Fields</t>
  </si>
  <si>
    <t>Title</t>
  </si>
  <si>
    <t>Surname</t>
  </si>
  <si>
    <t>Date</t>
  </si>
  <si>
    <t>Member record</t>
  </si>
  <si>
    <t>DEFERMENT TABLE</t>
  </si>
  <si>
    <t>Leaving Date</t>
  </si>
  <si>
    <t>Total Deferred Pension</t>
  </si>
  <si>
    <t>Final Pensionable salary</t>
  </si>
  <si>
    <t>Contributions</t>
  </si>
  <si>
    <t>Spouses Pension In deferment</t>
  </si>
  <si>
    <t>PENSIONER TABLE</t>
  </si>
  <si>
    <t>Retirement Date</t>
  </si>
  <si>
    <t>Pre Commutation Pension</t>
  </si>
  <si>
    <t>Post Commutation</t>
  </si>
  <si>
    <t>Total Pension commuted</t>
  </si>
  <si>
    <t>Total Tax Free Cash</t>
  </si>
  <si>
    <t>Pre 88 GMP at SPA</t>
  </si>
  <si>
    <t>Post 88 GMP at SPA</t>
  </si>
  <si>
    <t>Spouses Pension amount</t>
  </si>
  <si>
    <t>Capital Value of Benefits</t>
  </si>
  <si>
    <t>Percentage of LTA used</t>
  </si>
  <si>
    <t>PENSION HISTORY</t>
  </si>
  <si>
    <t>Element Name</t>
  </si>
  <si>
    <t>Amount</t>
  </si>
  <si>
    <t>DEFERRED AMOUNTS TABLE</t>
  </si>
  <si>
    <t>Deferred Pension at DOL</t>
  </si>
  <si>
    <t>RETIREMENT AMOUNTS TABLE</t>
  </si>
  <si>
    <t>Pre Commutation</t>
  </si>
  <si>
    <t>Scheme Name:</t>
  </si>
  <si>
    <t>Change History</t>
  </si>
  <si>
    <t>Version</t>
  </si>
  <si>
    <t>Changes</t>
  </si>
  <si>
    <t>Benefit Statements</t>
  </si>
  <si>
    <t>Categories / Sections of Membership Covered</t>
  </si>
  <si>
    <t>Factor Name</t>
  </si>
  <si>
    <t>Are late retirement factors applied? If so from what age? </t>
  </si>
  <si>
    <t>Service Tranche Name</t>
  </si>
  <si>
    <t xml:space="preserve">Please complete the following tables if AVCs are to be included as part of the routine. </t>
  </si>
  <si>
    <t>Any Further Comments or Illustrative Examples:</t>
  </si>
  <si>
    <t xml:space="preserve">Scheme Definitions </t>
  </si>
  <si>
    <t>Revaluation</t>
  </si>
  <si>
    <t>Escalation</t>
  </si>
  <si>
    <t xml:space="preserve"> Factors</t>
  </si>
  <si>
    <t>Scheme Specific Errors &amp; Warnings</t>
  </si>
  <si>
    <t>Standard validations and warnings can be found on the errors and warnings tab.  If any scheme specific warnings are required please add to the table below.</t>
  </si>
  <si>
    <t>Please add any additional fields required, making sure they have been included in the specification.</t>
  </si>
  <si>
    <t>Additional Field Required</t>
  </si>
  <si>
    <t>Format</t>
  </si>
  <si>
    <t>Total Pension</t>
  </si>
  <si>
    <t>Date of Leaving</t>
  </si>
  <si>
    <t>Total Contributions</t>
  </si>
  <si>
    <t>Fields to be posted to the Database</t>
  </si>
  <si>
    <t xml:space="preserve">The following fields will be posted back as standard to the Deferment table. </t>
  </si>
  <si>
    <t>Tranches</t>
  </si>
  <si>
    <t xml:space="preserve"> Letter</t>
  </si>
  <si>
    <t>Date of Retirement</t>
  </si>
  <si>
    <t>Residual Pension</t>
  </si>
  <si>
    <t xml:space="preserve">The following fields will be posted back as standard. </t>
  </si>
  <si>
    <t xml:space="preserve">The Retirements Amounts page is scheme specific so you need to list all the sections and elements that you require for this scheme. Please note that this needs to include the same pension splits as the Pension History page.  </t>
  </si>
  <si>
    <t xml:space="preserve">Cash Taken </t>
  </si>
  <si>
    <t>Validations</t>
  </si>
  <si>
    <t>Warnings</t>
  </si>
  <si>
    <t>Factors</t>
  </si>
  <si>
    <t xml:space="preserve">The following fields will be set up as standard.  </t>
  </si>
  <si>
    <t xml:space="preserve">If you have scheme specific fields or require a different format from that indicated please add to the Scheme Specific Fields box below.  </t>
  </si>
  <si>
    <t>Error or Warning?</t>
  </si>
  <si>
    <t xml:space="preserve">Error or Warning </t>
  </si>
  <si>
    <t>Message Required</t>
  </si>
  <si>
    <t>Additional Fields Required</t>
  </si>
  <si>
    <t>Spouse's DIS Percentage</t>
  </si>
  <si>
    <t xml:space="preserve">The following fields are the standard results produced for a Benefit Statement:  </t>
  </si>
  <si>
    <t>Author</t>
  </si>
  <si>
    <t>The Deferred Amounts page is scheme specific so you need to list all the sections and elements that you require for this scheme. The columns below are standard sections so please add any scheme specific requirements as additional columns.</t>
  </si>
  <si>
    <t>Validations are run prior to the calculation so that any data errors can be investigated and amended.</t>
  </si>
  <si>
    <t>DJS and active start date or DPS mismatch</t>
  </si>
  <si>
    <t>Warnings are reported on as part of the calculation and will be shown on the front page of the calculation print.</t>
  </si>
  <si>
    <t>Death Calculations</t>
  </si>
  <si>
    <t>Death in Retirement</t>
  </si>
  <si>
    <t xml:space="preserve">What is the spouse’s death in service percentage? </t>
  </si>
  <si>
    <t>Death in Service</t>
  </si>
  <si>
    <t>What is the death in service percentage applied to?</t>
  </si>
  <si>
    <t>Are a return of contributions paid on death in service?</t>
  </si>
  <si>
    <t>Are any AVC returned on death?</t>
  </si>
  <si>
    <t>Number of Children</t>
  </si>
  <si>
    <t>Child Number</t>
  </si>
  <si>
    <t>With Spouse</t>
  </si>
  <si>
    <t>Child %</t>
  </si>
  <si>
    <t>Death Type</t>
  </si>
  <si>
    <t>Spouses Amounts direct from pensioners record</t>
  </si>
  <si>
    <t>Is the spouse's pension reduced if the spouse is younger than the member?</t>
  </si>
  <si>
    <t>If yes to above, how many years younger does the spouse need to be before the reduction applies?</t>
  </si>
  <si>
    <t>If yes to above, what reductions is applied?</t>
  </si>
  <si>
    <t>PENSIONER TAX DETAILS</t>
  </si>
  <si>
    <t>Are Spouse's Death in Retirement calculations required for this scheme?</t>
  </si>
  <si>
    <t>Are Children's Death in Retirement calculations required for this scheme?</t>
  </si>
  <si>
    <t>The Spouse's Death in Retirement calculation can pick up information from three different places depending on the completness of the members record.  These three options will calculate the spouses pension to differing degrees of acuracy. Please indicate below which of these options should be considered for this scheme. If more than one if selected the calculation will look for whichever record has been populated in the order shown below.</t>
  </si>
  <si>
    <t>Are Spouse's Death in Service calculations required for this scheme?</t>
  </si>
  <si>
    <t>Are Children's Death in Service calculations required for this scheme?</t>
  </si>
  <si>
    <t xml:space="preserve">Is the same FPS used to calculate Spouse's/Children's benefits as for a Scheme member?
</t>
  </si>
  <si>
    <t>If No, What FPS is used?</t>
  </si>
  <si>
    <t>Are Children's Death in Deferment calculations required for this scheme?</t>
  </si>
  <si>
    <t>Are Spouse's Death in Deferment calculations required for this scheme?</t>
  </si>
  <si>
    <t>Pre Comm splits increased using full pension increase history</t>
  </si>
  <si>
    <t>Pre Comm splits increased by proportionate increase in each split</t>
  </si>
  <si>
    <t>Rounding Order</t>
  </si>
  <si>
    <t>Increase Description</t>
  </si>
  <si>
    <t>Increase Date</t>
  </si>
  <si>
    <t>Is there a Defined Benefit Lump Sum Death Benefit?</t>
  </si>
  <si>
    <t>If Yes, please define the DBLSDB?</t>
  </si>
  <si>
    <t>When are Pension Increases paid?</t>
  </si>
  <si>
    <t>General Details</t>
  </si>
  <si>
    <t>Pension Rounding</t>
  </si>
  <si>
    <t>What rounding method should be used?</t>
  </si>
  <si>
    <t xml:space="preserve">Last Years Increases </t>
  </si>
  <si>
    <t>Career Average Revalued Earnings (CARE)</t>
  </si>
  <si>
    <t>Trivial Commutation</t>
  </si>
  <si>
    <t xml:space="preserve"> Have post-A Day tax rules for trivial commutation specifically been adopted or does the scheme rely on the 2006 Modification Regulations?</t>
  </si>
  <si>
    <r>
      <t>Are Trivial Commutation calculations required for this routine?</t>
    </r>
    <r>
      <rPr>
        <sz val="10"/>
        <color indexed="8"/>
        <rFont val="Calibri"/>
        <family val="2"/>
      </rPr>
      <t xml:space="preserve"> </t>
    </r>
  </si>
  <si>
    <t>Letters</t>
  </si>
  <si>
    <t xml:space="preserve"> Letters</t>
  </si>
  <si>
    <t>Routine</t>
  </si>
  <si>
    <t>Death in Deferment</t>
  </si>
  <si>
    <t>Pension Increases</t>
  </si>
  <si>
    <t>Children's Benefits</t>
  </si>
  <si>
    <t>Number of decimal places required if factors need to be calculated?</t>
  </si>
  <si>
    <t xml:space="preserve">What is the spouse’s death in deferment percentage? </t>
  </si>
  <si>
    <t>Are a return of contributions paid on death in deferment?</t>
  </si>
  <si>
    <t>Lump Sum Death benefit multiple</t>
  </si>
  <si>
    <t>Pre 88 GMP at DOR</t>
  </si>
  <si>
    <t>Post 88 GMP at DOR</t>
  </si>
  <si>
    <t>Spouse's DID Percentage</t>
  </si>
  <si>
    <t>actual_service_years</t>
  </si>
  <si>
    <t>actual_service_months</t>
  </si>
  <si>
    <t>actual_service_days</t>
  </si>
  <si>
    <t>prospective_service_years</t>
  </si>
  <si>
    <t>prospective_service_months</t>
  </si>
  <si>
    <t>prospective_service_days</t>
  </si>
  <si>
    <t>pensionable_salary</t>
  </si>
  <si>
    <t>final_pensionable_salary</t>
  </si>
  <si>
    <t>pension_at_benstat_date</t>
  </si>
  <si>
    <t>spouses_pension_DIS</t>
  </si>
  <si>
    <t>spouses_pension_DAR</t>
  </si>
  <si>
    <t>Statement_Date</t>
  </si>
  <si>
    <t>DIS_lumpsum</t>
  </si>
  <si>
    <t>total_contributions</t>
  </si>
  <si>
    <t>lifetime_allowance</t>
  </si>
  <si>
    <t>CORE Warning</t>
  </si>
  <si>
    <t>MemberID</t>
  </si>
  <si>
    <t>Initials</t>
  </si>
  <si>
    <t>FirstName</t>
  </si>
  <si>
    <t>Address1</t>
  </si>
  <si>
    <t>Address2</t>
  </si>
  <si>
    <t>Address3</t>
  </si>
  <si>
    <t>Address4</t>
  </si>
  <si>
    <t>Address5</t>
  </si>
  <si>
    <t>PostCode</t>
  </si>
  <si>
    <t>NINumber</t>
  </si>
  <si>
    <t>EmployerRef</t>
  </si>
  <si>
    <t>Sex</t>
  </si>
  <si>
    <t>dob</t>
  </si>
  <si>
    <t>djc</t>
  </si>
  <si>
    <t>djs</t>
  </si>
  <si>
    <t>dcps</t>
  </si>
  <si>
    <t>nrd</t>
  </si>
  <si>
    <t>nra</t>
  </si>
  <si>
    <t>Text</t>
  </si>
  <si>
    <t>Date of Calculation</t>
  </si>
  <si>
    <t>Spouses Pension After Retirement</t>
  </si>
  <si>
    <t>Date Pension Due</t>
  </si>
  <si>
    <t>Opted Out Indicator</t>
  </si>
  <si>
    <t>Spouses Pension</t>
  </si>
  <si>
    <t>Pension Payment Frequency</t>
  </si>
  <si>
    <t>Total lump Sum</t>
  </si>
  <si>
    <t>Lump Sum from Pension</t>
  </si>
  <si>
    <t>Pension Per Period</t>
  </si>
  <si>
    <t>Scheme Pension Capital Value</t>
  </si>
  <si>
    <t>Total Capital Value</t>
  </si>
  <si>
    <t>Percentage of LTA Pre Commutation</t>
  </si>
  <si>
    <t>1 d.p.</t>
  </si>
  <si>
    <t>Percentage of LTA Post Commutation</t>
  </si>
  <si>
    <t>Retirement Reason</t>
  </si>
  <si>
    <t>Guarantee Expiry Date</t>
  </si>
  <si>
    <t>Post Commutation Pension</t>
  </si>
  <si>
    <t>Spouses Pension Percentge</t>
  </si>
  <si>
    <t>AVC Lump Sum</t>
  </si>
  <si>
    <t>Standard Outputs</t>
  </si>
  <si>
    <t>Fields to be included in the calculation output</t>
  </si>
  <si>
    <t>Calculation Date</t>
  </si>
  <si>
    <t>Scheme Specific Fields</t>
  </si>
  <si>
    <t>Pensionable Salary</t>
  </si>
  <si>
    <t>Monthly, Weekly, Annual</t>
  </si>
  <si>
    <t>If you have scheme specific fields or require a different format from that indicated please add to the Scheme Specific Fields box below.  
Pension Elements should also be included as these are scheme specific.</t>
  </si>
  <si>
    <t>Effective  Date</t>
  </si>
  <si>
    <t>Increase</t>
  </si>
  <si>
    <t>Member Pension</t>
  </si>
  <si>
    <t>Pre 88 GMP at DOL</t>
  </si>
  <si>
    <t>Post 88 GMP at DOL</t>
  </si>
  <si>
    <t>The following fields will be set up as standard when the calculation is coded. There will also be additional standard PenScope bookmarks already available from the members data which can be viewed from the scheme level Letter Bookmarks on PenScope. Please review these before requesting scheme specific fields.</t>
  </si>
  <si>
    <t>Calculation date cannot be earlier than or equal to the care benefits effective date</t>
  </si>
  <si>
    <t>No salaries present between the day after care benefits effective date and the calculation date</t>
  </si>
  <si>
    <t>Calculations not available for this category</t>
  </si>
  <si>
    <t>Member is missing a CARE Benefits record as at the date of conversion to CARE</t>
  </si>
  <si>
    <t>Member is missing a CARE Benefits record as at the previous renewal date</t>
  </si>
  <si>
    <t>The calculation date is earlier than the member''s date of leaving active service</t>
  </si>
  <si>
    <t>The Section 148 factor doesn''t exist for this future calculation date</t>
  </si>
  <si>
    <t>Company Consent value of '''    ''' recorded. Confirm value on record before proceeding</t>
  </si>
  <si>
    <t>CARE conversion rollup check</t>
  </si>
  <si>
    <t>CARE Benefits effective date check</t>
  </si>
  <si>
    <t>Death Details</t>
  </si>
  <si>
    <t>Date of Death</t>
  </si>
  <si>
    <t>Lump Sum</t>
  </si>
  <si>
    <t>Refund of Employee Contributions</t>
  </si>
  <si>
    <t>Return of AVCs</t>
  </si>
  <si>
    <t xml:space="preserve">Defined Benefit Lump Sum Death Benefit </t>
  </si>
  <si>
    <t>Name</t>
  </si>
  <si>
    <t>Number</t>
  </si>
  <si>
    <t>DPS</t>
  </si>
  <si>
    <t>DOB</t>
  </si>
  <si>
    <t>SPA</t>
  </si>
  <si>
    <t>CALC Date Age (Months)</t>
  </si>
  <si>
    <t>CALC Date Age (Years)</t>
  </si>
  <si>
    <t>NI Number</t>
  </si>
  <si>
    <t>GMP</t>
  </si>
  <si>
    <t>Transfer In Summary</t>
  </si>
  <si>
    <t>Total TV-IN Pension at DOL</t>
  </si>
  <si>
    <t>Total TV-IN GMP</t>
  </si>
  <si>
    <t>Service</t>
  </si>
  <si>
    <t>Total Service (yrs)</t>
  </si>
  <si>
    <t>Salaries</t>
  </si>
  <si>
    <t>Winning FPS</t>
  </si>
  <si>
    <t>Pensionable Benefits</t>
  </si>
  <si>
    <t>Scale Pension</t>
  </si>
  <si>
    <t>Part Timer</t>
  </si>
  <si>
    <t>Current Category</t>
  </si>
  <si>
    <t>SPD</t>
  </si>
  <si>
    <t>Date Of Leaving</t>
  </si>
  <si>
    <t>AVC Fund Value</t>
  </si>
  <si>
    <t>Valuation Date</t>
  </si>
  <si>
    <t>Total GMP</t>
  </si>
  <si>
    <t>GMP Revaluation Rate</t>
  </si>
  <si>
    <t>Excess Deferred Elements at DOL</t>
  </si>
  <si>
    <t>Deferred Element</t>
  </si>
  <si>
    <t>Service Summary</t>
  </si>
  <si>
    <t>Years</t>
  </si>
  <si>
    <t>Months</t>
  </si>
  <si>
    <t>Days</t>
  </si>
  <si>
    <t>Percentage</t>
  </si>
  <si>
    <t>Adjusted Service</t>
  </si>
  <si>
    <t>Full Breakdown of Scale Pension Splits</t>
  </si>
  <si>
    <t>FPP Value</t>
  </si>
  <si>
    <t>Scale Pension Splits Summary</t>
  </si>
  <si>
    <t>Pensionable Pay Information For The Winning Salary Type</t>
  </si>
  <si>
    <t>Base Salary Rate Title</t>
  </si>
  <si>
    <t>WINNING FPP DEFINITION</t>
  </si>
  <si>
    <t>FPP</t>
  </si>
  <si>
    <t>Pensal</t>
  </si>
  <si>
    <t>In FPP?</t>
  </si>
  <si>
    <t>Prorate Num</t>
  </si>
  <si>
    <t>Prorate Denom</t>
  </si>
  <si>
    <t>Base Salary</t>
  </si>
  <si>
    <t>Deduction</t>
  </si>
  <si>
    <t>Pen Salary</t>
  </si>
  <si>
    <t>Deduction Applies</t>
  </si>
  <si>
    <t>Pensionable Pay Information For The Losing Salary Type</t>
  </si>
  <si>
    <t>Other FPP Definition</t>
  </si>
  <si>
    <t>Working Life</t>
  </si>
  <si>
    <t>Pre 88 Total Revalued Conts</t>
  </si>
  <si>
    <t>Post 88 Total Revalued Conts</t>
  </si>
  <si>
    <t>GMP Test Pension</t>
  </si>
  <si>
    <t>GMP Test Revaluation Factor</t>
  </si>
  <si>
    <t>GMP Test Revaluations</t>
  </si>
  <si>
    <t>GMP Test Facto Name</t>
  </si>
  <si>
    <t>Assumed Pension Increase</t>
  </si>
  <si>
    <t xml:space="preserve">End Date </t>
  </si>
  <si>
    <t>Tax Year</t>
  </si>
  <si>
    <t>Contracted Out Earnings</t>
  </si>
  <si>
    <t>Contracted Out Rate</t>
  </si>
  <si>
    <t>S148 Factor</t>
  </si>
  <si>
    <t>Revalued Contracted Out Earnings</t>
  </si>
  <si>
    <t>Transfer Date</t>
  </si>
  <si>
    <t>Scheme Name</t>
  </si>
  <si>
    <t>Split</t>
  </si>
  <si>
    <t>Added Years</t>
  </si>
  <si>
    <t>Added Months</t>
  </si>
  <si>
    <t>Service Credit Summary</t>
  </si>
  <si>
    <t>Revaluation Factor Name</t>
  </si>
  <si>
    <t>Revaluation Factor</t>
  </si>
  <si>
    <t>Revaluation Amount</t>
  </si>
  <si>
    <t>No of Revaluations</t>
  </si>
  <si>
    <t>Benefit Percent</t>
  </si>
  <si>
    <t>Benefit Percentage</t>
  </si>
  <si>
    <t>Transfer In GMP</t>
  </si>
  <si>
    <t>Pg 1</t>
  </si>
  <si>
    <t>Pg 2</t>
  </si>
  <si>
    <t>Members Basic Details</t>
  </si>
  <si>
    <t>Pg 3</t>
  </si>
  <si>
    <t>Pg 4</t>
  </si>
  <si>
    <t>Pg 5</t>
  </si>
  <si>
    <t>Pg 6</t>
  </si>
  <si>
    <t>Pg 7</t>
  </si>
  <si>
    <t>Pg 8</t>
  </si>
  <si>
    <t>Active to Retired</t>
  </si>
  <si>
    <t>Age/Term for factors - Years</t>
  </si>
  <si>
    <t>Age/Term for factors - Months</t>
  </si>
  <si>
    <t>Commutation Factors</t>
  </si>
  <si>
    <t>LTA Post Commutation</t>
  </si>
  <si>
    <t>Capital Value Cash</t>
  </si>
  <si>
    <t>Capital Value Pension</t>
  </si>
  <si>
    <t>Capital Value Total</t>
  </si>
  <si>
    <t>LTA Percentage Cash</t>
  </si>
  <si>
    <t>LTA Percentage Pension</t>
  </si>
  <si>
    <t>LTA Percentage Total</t>
  </si>
  <si>
    <t>LTA Pre Commutation</t>
  </si>
  <si>
    <t>Maximum Cash</t>
  </si>
  <si>
    <t>AVC Fund</t>
  </si>
  <si>
    <t>Cash for AVC</t>
  </si>
  <si>
    <t>Cash Excl. AVCs</t>
  </si>
  <si>
    <t>Residual Pension (pa)</t>
  </si>
  <si>
    <t>Early Ret Factor Table</t>
  </si>
  <si>
    <t>Early Ret Factor</t>
  </si>
  <si>
    <t>Late Ret Table</t>
  </si>
  <si>
    <t>Pre Commutation Amount</t>
  </si>
  <si>
    <t>Added Service Days</t>
  </si>
  <si>
    <t>Early Retirement Factor Table</t>
  </si>
  <si>
    <t>Early Retirement Factor</t>
  </si>
  <si>
    <t>Early Retirement Amount</t>
  </si>
  <si>
    <t>GMP Test Factor Name</t>
  </si>
  <si>
    <t>Pg 9</t>
  </si>
  <si>
    <t>GMP Calculation Summary</t>
  </si>
  <si>
    <t>Final Pension Details</t>
  </si>
  <si>
    <t>Amount Per Period</t>
  </si>
  <si>
    <t>Standard Increases</t>
  </si>
  <si>
    <t>Commutation Details</t>
  </si>
  <si>
    <t>Commuted Cash</t>
  </si>
  <si>
    <t>Order Commuted</t>
  </si>
  <si>
    <t>Deferred Amount</t>
  </si>
  <si>
    <t>Revalued Amount</t>
  </si>
  <si>
    <t>GMP at SPA</t>
  </si>
  <si>
    <t>Commutation Factor</t>
  </si>
  <si>
    <t>Revaluation Factor (S52)</t>
  </si>
  <si>
    <t>Cash for AVCs</t>
  </si>
  <si>
    <t>Deferred GMP Details</t>
  </si>
  <si>
    <t>Revaluation Series</t>
  </si>
  <si>
    <t>Number of Revaluations</t>
  </si>
  <si>
    <t>Number of Future Revaluations</t>
  </si>
  <si>
    <t>Factor</t>
  </si>
  <si>
    <t>Deferred Element Details</t>
  </si>
  <si>
    <t>Deferred TV-IN Element Details</t>
  </si>
  <si>
    <t>Errors &amp; Warnings</t>
  </si>
  <si>
    <t>GMP Calculation Details</t>
  </si>
  <si>
    <t>Pension Commencement Lump Sum</t>
  </si>
  <si>
    <t>J)</t>
  </si>
  <si>
    <t>CARE conversion rollup check.</t>
  </si>
  <si>
    <t>GMP calculation date check</t>
  </si>
  <si>
    <t>GMP calculation date check 2</t>
  </si>
  <si>
    <t>Company Consent check</t>
  </si>
  <si>
    <t>Category not coded check</t>
  </si>
  <si>
    <t>GMP Payment Date</t>
  </si>
  <si>
    <t>Scale Pension Pre Adjustment</t>
  </si>
  <si>
    <t>Retirement Amount Post Adjustment</t>
  </si>
  <si>
    <t>LTA Amount</t>
  </si>
  <si>
    <t>Lifetime Allowance</t>
  </si>
  <si>
    <t>Capital Value Annuity</t>
  </si>
  <si>
    <t>LTA Percentage Annuity</t>
  </si>
  <si>
    <t>Excess Future Years</t>
  </si>
  <si>
    <t>Excess Revaluation Years</t>
  </si>
  <si>
    <t>Active/Deferred to Retirement</t>
  </si>
  <si>
    <t>Warning if Member under age 50 at run date</t>
  </si>
  <si>
    <t>Warning if Member under age 55 at run date (if calculation date is &gt;=  06/04/2010</t>
  </si>
  <si>
    <t>Warning if Residual pension does not cover GMP at SPA</t>
  </si>
  <si>
    <t>Warning if Retirement pension does not cover GMP at SPA</t>
  </si>
  <si>
    <t>Warning No FPP definitions picked up. Check that Final Salary Definitions and Scheme Salary Types are set up correctly.</t>
  </si>
  <si>
    <t>Warning The member has a Salary that exceeds the Earnings Cap</t>
  </si>
  <si>
    <t>Warning Pension is less than 15% of the AVC fund value.</t>
  </si>
  <si>
    <t>Warning No salary definitions have been picked up. Please check Scheme Salary Types and Final Salary Definitions.</t>
  </si>
  <si>
    <t>Warning Problem with member's COE data - end date is earlier than start date.</t>
  </si>
  <si>
    <t>Warning Excess Pension Elements do not cover GMP</t>
  </si>
  <si>
    <t>Warning Late Retirement not in scope - it should be noted this applies to true late retirement calculations not late retirement of barber elements</t>
  </si>
  <si>
    <t xml:space="preserve">Error if Early Retirement factor is missing </t>
  </si>
  <si>
    <t>Error if commutation factor is missing</t>
  </si>
  <si>
    <t xml:space="preserve">If the member (has Pre78AVC or the calculation date is &gt; 06/04/2006) and the AVC fund is &gt; IRMaximum cash </t>
  </si>
  <si>
    <t>Warning Not all of the AVCs can be taken as cash because of Inland Revenue limits. This member's benefits will have to be calculated manually as an AVC pension must be arranged.</t>
  </si>
  <si>
    <t>If the calculations for the members' category have not been signed off.</t>
  </si>
  <si>
    <t>Warning calculations for category ….…have not been signed off.</t>
  </si>
  <si>
    <t>If the calculation for the members' category have not been set up.</t>
  </si>
  <si>
    <t>Warning calculations for category ….…have not been coded.</t>
  </si>
  <si>
    <t>If the unrestricted pension is &gt; IRMaximum pension</t>
  </si>
  <si>
    <t>Warning Unrestricted Pension of £…. has been restricted to £….</t>
  </si>
  <si>
    <t>If the members total pension including AVC pension is &gt; IRMaximum pension</t>
  </si>
  <si>
    <t>Warning This member's total pension £…….(including the pension from AVCs) exceeds the calculated IR Maximum pension £……. Refund AVCs to member.</t>
  </si>
  <si>
    <t>If the unrestricted lumpsum is &gt; IRMaximum lumpsum</t>
  </si>
  <si>
    <t>Warning Unrestricted Lumpsum of £…. has been restricted to £….</t>
  </si>
  <si>
    <t>if the unrestricted pension is &lt; GMPTestPension.</t>
  </si>
  <si>
    <t>Warning Pension of £…... does not cover GMP test Pension of £….... Early Retirement not allowed.")</t>
  </si>
  <si>
    <t>If an element name cannot be found for a historic benefit element</t>
  </si>
  <si>
    <t>Warning Unable to find appropriate Scale Pension Split for Historic Benefit. Please check that historic benefit element has been linked to a tranche via scheme_transfer_in_element_link.</t>
  </si>
  <si>
    <t>If a normal retirement calculation and the calculated scale pension is greater than the retirement pension</t>
  </si>
  <si>
    <t>Warning Accrued Pension is more than the propective pension</t>
  </si>
  <si>
    <t>Warning Member has outstanding processes</t>
  </si>
  <si>
    <t>If GMP is zero, scheme is C/O and member's date commenced pensionable service is less than 06/04/1997</t>
  </si>
  <si>
    <t>Warning GMP is zero, please check (section 148 orders may be unavailable if calculation is in future</t>
  </si>
  <si>
    <t>If total conts are &gt; 10% of FPS</t>
  </si>
  <si>
    <t>Warning Contributions look high</t>
  </si>
  <si>
    <t>If total conts are &lt; 5% of FPS</t>
  </si>
  <si>
    <t>Warning Contributions look low</t>
  </si>
  <si>
    <t xml:space="preserve">If post 97 pension does not cover minimum protected rights pension </t>
  </si>
  <si>
    <t>Warning MEMBER UNABLE TO RETIRE - post 97 pension does not cover minimum protected rights pension</t>
  </si>
  <si>
    <t xml:space="preserve">If the member has a standalone TVIN GMP </t>
  </si>
  <si>
    <t>Warning Member has individual TV-IN GMP - calculate manually</t>
  </si>
  <si>
    <t>If the member or scheme does not have an excess element linked to the GMP</t>
  </si>
  <si>
    <t>Warning The member or scheme does not have a linked excess to their GMP</t>
  </si>
  <si>
    <t>If the commutation factors have been set up on a term lower basis</t>
  </si>
  <si>
    <t>Warning Code cannot deal with term based commutation factors</t>
  </si>
  <si>
    <t>If a specified lump sum is entered that is &gt; IRMaximum lump sum</t>
  </si>
  <si>
    <t>Warning The choice of lump sum of £……has been restricted to the member's Inland Revenue maximum lump sum of £……</t>
  </si>
  <si>
    <t>If the lump sum is restricted to cover GMP</t>
  </si>
  <si>
    <t>Warning GMP is not covered.  The Lump Sum has been restricted from £…... to £……</t>
  </si>
  <si>
    <t>If post A-Day cash protesction applies</t>
  </si>
  <si>
    <t>Warning - Cash Protection Applies</t>
  </si>
  <si>
    <t>If DOR tax year start is &gt; 2006 and available Lifetime Allowance = 0</t>
  </si>
  <si>
    <t>Warning - Lifetime Allowance not available for DOR selected. Current Lifetime Allowance has been used</t>
  </si>
  <si>
    <t>If the member has cash protection and the Lifetime Allowance at DOR = 0</t>
  </si>
  <si>
    <t>Warning - could not retrieve LTA for Cash Protection</t>
  </si>
  <si>
    <t>If CashProtectionValue &gt; lump sum and separate commutation factors are used</t>
  </si>
  <si>
    <t>Warning - separate commutation factors with cash protection. Code will not function correctly with this setup and will need amending in CLumpSumSeparate.SetMaximumLumpSum</t>
  </si>
  <si>
    <t>If the Bank Base Rate used for the Protected Rights underpin calculation is unavailable at the start date of the period required</t>
  </si>
  <si>
    <t>Warning Unable to use BBR value for from date 01/01/1900, instead using BBR from 01/01/1900</t>
  </si>
  <si>
    <t>If the Bank Base Rate used for the Protected Rights underpin calculation is unavailable at the end date of the period required</t>
  </si>
  <si>
    <t>If the members pension has been commuted in full under triviality rules</t>
  </si>
  <si>
    <t>Warning Pension has been trivially commuted to cash</t>
  </si>
  <si>
    <t xml:space="preserve">If the member specifies lump sum less than the maximum and more than one commutation factor is used </t>
  </si>
  <si>
    <t>Warning Specified lump sum is below maximum of £……. Pension splits will need to be calculated manually.</t>
  </si>
  <si>
    <t>If the members pension is EPB only and has been commuted in full under triviality rules</t>
  </si>
  <si>
    <t>Warning No tax paid on EPB trivial commutations</t>
  </si>
  <si>
    <t xml:space="preserve">If TVIN benefits accrue at 60ths or less </t>
  </si>
  <si>
    <t>Transferred in benefits assumed to be at an accrual rate of 1/60ths or below</t>
  </si>
  <si>
    <t>If any COES are missing, will appear for each year affected</t>
  </si>
  <si>
    <t>Warning Missing COES for tax year "  TaxYear, 4, 6  " to "  TaxYear + 1, 4, 5</t>
  </si>
  <si>
    <t>If total of spouses elements differs from spouses total</t>
  </si>
  <si>
    <t>Warning Manual Calc Required. Total Spouses Pension differs from elements by ………..</t>
  </si>
  <si>
    <t>If there is no attaching Pension Increase Code for a particular pension element</t>
  </si>
  <si>
    <t>Warning No Pension Increase Code defined for element: Element Name</t>
  </si>
  <si>
    <t>If total of pre commutation elements differs from pre commutation total pension</t>
  </si>
  <si>
    <t>Warning Manual Calc Required. Total Pre Comm Pension differs from elements by "  dblPreCommAdjustment</t>
  </si>
  <si>
    <t>If total of post commutation elements differs from post commutation total pension</t>
  </si>
  <si>
    <t>Warning Manual Calc Required. Total Post Comm Pension differs from elements by "  dblPostCommAdjustment</t>
  </si>
  <si>
    <t>If the scheme has GuaranteedPensionIncreases and AVC process is finalised</t>
  </si>
  <si>
    <t>Warning AVCs have been finalised. Pension Elements may need updating</t>
  </si>
  <si>
    <t>If members service exceeds the set scheme limit</t>
  </si>
  <si>
    <t>Warning Pensionable service restricted to …... years</t>
  </si>
  <si>
    <t>Warning if Member over age 50 at run date</t>
  </si>
  <si>
    <t>Warning if member has Historical Benefits/Transfer-ins</t>
  </si>
  <si>
    <t>Warning  if member is within 1 year of NRD</t>
  </si>
  <si>
    <t>Warning calculations for category ………………….have not been signed off.</t>
  </si>
  <si>
    <t>Warning calculations for category……………………….. have not been coded.</t>
  </si>
  <si>
    <t>If there are Historical Benefit Elements but there are no deferred element names set up for historical benefits</t>
  </si>
  <si>
    <t>Warning There are not deferred elements available for the Historical Benefits, please refer to developer</t>
  </si>
  <si>
    <t>If member has less than 2 years scheme service</t>
  </si>
  <si>
    <t>Warning Members total scheme service less than 2 years. Refund may be payable.</t>
  </si>
  <si>
    <t>If there is an outstanding DC process for a member</t>
  </si>
  <si>
    <t>Warning Transferred in benefits assumed to be at an accrual rate of 1/60ths or below</t>
  </si>
  <si>
    <t>If after deducting GMP from XS element the result is less than 0</t>
  </si>
  <si>
    <t>Warning Deducting GMP from element …..DeferredElementName has reduced it below zero.</t>
  </si>
  <si>
    <t>Warning Member's service exceeds scheme limit of …... years. And Pensionable service restricted to …... years</t>
  </si>
  <si>
    <t>Benefit Statement</t>
  </si>
  <si>
    <t>If the Benefit Statement date is &gt;= to the members NRD less 1 year</t>
  </si>
  <si>
    <t xml:space="preserve">Warning  member within 1 year of NRD –If within FPP averaging period of NRD could be an issue but this would need to be a calc specific warning </t>
  </si>
  <si>
    <t>If salary start date &lt; Benefit Statement date and &gt; Benefit Statement date less 1 year</t>
  </si>
  <si>
    <t>Warning no (renewal date) salary recorded</t>
  </si>
  <si>
    <t xml:space="preserve">Warning if Accrued Pension is &gt; prospective pension </t>
  </si>
  <si>
    <t>age/term</t>
  </si>
  <si>
    <t>Factor  Male or Either</t>
  </si>
  <si>
    <t xml:space="preserve">Factor Name </t>
  </si>
  <si>
    <t>What is the death in deferment percentage applied to?</t>
  </si>
  <si>
    <t>Maximum age if not in full time education?</t>
  </si>
  <si>
    <t>Maximum age if in full time education?</t>
  </si>
  <si>
    <t>Measure</t>
  </si>
  <si>
    <t>Measure Rounding</t>
  </si>
  <si>
    <t>Life Assurance Only?</t>
  </si>
  <si>
    <t>Spouses DIR Percentage</t>
  </si>
  <si>
    <t xml:space="preserve">Spouses Reduction Factor </t>
  </si>
  <si>
    <t>Standard Calculation Prints - IT SHOULD BE NOTED THAT THESE ARE IN A PROJECT TO BE UPDATED AT THE MOMENT AND SO MAY NOT MATCH FINAL VERSIONS DELIVERED.</t>
  </si>
  <si>
    <t>Transfers Out</t>
  </si>
  <si>
    <t>Are pensioners to be grouped according to different increase dates?</t>
  </si>
  <si>
    <t>Group Name</t>
  </si>
  <si>
    <t>Group Increase Date</t>
  </si>
  <si>
    <t>Members to be excluded from calculation</t>
  </si>
  <si>
    <t xml:space="preserve">If at a fixed date, what is this date? </t>
  </si>
  <si>
    <t>Are GMP elements to be increased at a different date to the excess elements?</t>
  </si>
  <si>
    <t>If yes, what is the review date for the GMP elements?</t>
  </si>
  <si>
    <t>Proportionate Increases</t>
  </si>
  <si>
    <t>Pro-rate retirements from Active status?</t>
  </si>
  <si>
    <t>Pro-rate retirements from Deferred status?</t>
  </si>
  <si>
    <t>Are GMP elements pro-rated?</t>
  </si>
  <si>
    <t>Are excess elements pro_rated?</t>
  </si>
  <si>
    <t>How is pro-rating applied?</t>
  </si>
  <si>
    <t>How is the pro-rated increase calculated?</t>
  </si>
  <si>
    <t>Pro-rate spouses pension where member died from Active status?</t>
  </si>
  <si>
    <t>Pro-rate spouses pension where member died from Deferred status?</t>
  </si>
  <si>
    <t>Pro-rate spouses pension where member died from Pensioner status?</t>
  </si>
  <si>
    <t>Is the total pension rounded?</t>
  </si>
  <si>
    <t>GMP pence rounding?</t>
  </si>
  <si>
    <t xml:space="preserve">Excess Elements pence rounding? </t>
  </si>
  <si>
    <t>Order</t>
  </si>
  <si>
    <t>Last Increase %</t>
  </si>
  <si>
    <t>Refund of Contribution Calculations</t>
  </si>
  <si>
    <t>Detail of calculation basis required</t>
  </si>
  <si>
    <t xml:space="preserve">What is the pension in payment increase rate? </t>
  </si>
  <si>
    <t>Scheme Type</t>
  </si>
  <si>
    <t>Date Closed to Members</t>
  </si>
  <si>
    <t xml:space="preserve">What form do AVCs take? </t>
  </si>
  <si>
    <t>If so what factors are used?</t>
  </si>
  <si>
    <t>Are AVCs normally taken as cash and therefore less pension commuted from within the scheme?</t>
  </si>
  <si>
    <t>Are AVCs taken first for Cash, or is Cash first commuted from the member’s DB Scheme benefits?</t>
  </si>
  <si>
    <t>Is there another basis used as a minimum ?</t>
  </si>
  <si>
    <t>Is the above rounding Up/Down/Nearest?</t>
  </si>
  <si>
    <t>Does the scheme have multiple commutation factors?  If Yes please give details below.</t>
  </si>
  <si>
    <t>Is pension commuted across pension elements proportionately or is there an order in which pension elements are commuted?</t>
  </si>
  <si>
    <t>What is the death in retirement percentage applied to?</t>
  </si>
  <si>
    <t>What is the death after retirement Guarantee Period?</t>
  </si>
  <si>
    <t>Are AVCs converted to pension within the scheme?</t>
  </si>
  <si>
    <t>What proportion of the AVC Fund can be taken as cash?</t>
  </si>
  <si>
    <t>What method is used to determine the CCF used to calculate the PCLS?</t>
  </si>
  <si>
    <t>What is the spouse’s death in retirement percentage?</t>
  </si>
  <si>
    <t>Is the Pre 85 Pension subject to franking and only the statutory minimum is paid on retirement?</t>
  </si>
  <si>
    <t>If Yes, which element is to be reduced to meet the GMP revaluation?</t>
  </si>
  <si>
    <t>At what date is the benefit calculated to before the early retirement factor is applied ?</t>
  </si>
  <si>
    <t xml:space="preserve">Do any minimum increases apply?
</t>
  </si>
  <si>
    <t>Factor Female</t>
  </si>
  <si>
    <t xml:space="preserve">Are any comparisons/underpins required? 
</t>
  </si>
  <si>
    <t>Pre 01/01/1999 leavers</t>
  </si>
  <si>
    <t>Please complete the following table for the definition of the scheme’s Career Average Revalued Earnings, and specify the required parameters.  The current Pensionable Salaries stored on PenScope are available in the drop down box. If a definition you require is not available please indicate what is required in the 'Any further comments' section below.</t>
  </si>
  <si>
    <t>If applicable please attach AVC commutation factors on the Factors tab.</t>
  </si>
  <si>
    <t>How is the cash rounded?</t>
  </si>
  <si>
    <t>If this information differs for different categories please indicate this below.</t>
  </si>
  <si>
    <t>DAR</t>
  </si>
  <si>
    <t>If there is no spouse, then a child may get more pension, so two sets of percentages can be set up, one with a Yes in the 'With Spouse' column and another with a No. If there is no difference, then there is no need to set them up twice, instead just set this flag to either.
There are separate tables for the three different death scenarios.  If a Children's pensions not required for any of these sections please just leave the table blank.</t>
  </si>
  <si>
    <t>DIS</t>
  </si>
  <si>
    <t>Please complete a new table for each category that is being coded.   Each Pension Element should be included in the table.</t>
  </si>
  <si>
    <t xml:space="preserve">Term for FPS </t>
  </si>
  <si>
    <t>If the total pension is rounded there is sometimes a small rounding element that needs to be accounted for.  Please complete the table below to indicate the order to which element the rounding should be added. Please ensure that all elements are listed.</t>
  </si>
  <si>
    <t>Test Condition</t>
  </si>
  <si>
    <t>Message</t>
  </si>
  <si>
    <t>Member under age 50 at run date</t>
  </si>
  <si>
    <t>Member under age 55 at run date (if calculation date is &gt;=  06/04/2010</t>
  </si>
  <si>
    <t>If Residual pension does not cover GMP at SPA</t>
  </si>
  <si>
    <t>If Retirement pension does not cover GMP at SPA</t>
  </si>
  <si>
    <t>No FPP definitions picked up.</t>
  </si>
  <si>
    <t>The member has a Salary that exceeds the Earnings Cap</t>
  </si>
  <si>
    <t>The members pension is less than 15% of the AVC fund value.</t>
  </si>
  <si>
    <t xml:space="preserve">No salary definitions have been picked up. </t>
  </si>
  <si>
    <t>COE end date is earlier than start date.</t>
  </si>
  <si>
    <t>Excess Pension Elements do not cover GMP</t>
  </si>
  <si>
    <t>Late Retirement not in scope</t>
  </si>
  <si>
    <t xml:space="preserve">Early Retirement factor is missing </t>
  </si>
  <si>
    <t>Commutation factor is missing</t>
  </si>
  <si>
    <t>Member over age 50 at run date</t>
  </si>
  <si>
    <t>Warning if Outstanding Investments - Disinvestment not completed</t>
  </si>
  <si>
    <t>If member is within 1 year of NRD</t>
  </si>
  <si>
    <t>No salary definitions have been picked up.</t>
  </si>
  <si>
    <t>The calculations for the members' category have not been signed off.</t>
  </si>
  <si>
    <t xml:space="preserve">If Accrued Pension is &gt; prospective pension </t>
  </si>
  <si>
    <r>
      <t>If Outstanding Investments - Disinvestment not completed (</t>
    </r>
    <r>
      <rPr>
        <sz val="10"/>
        <color indexed="10"/>
        <rFont val="Calibri"/>
        <family val="2"/>
        <scheme val="minor"/>
      </rPr>
      <t>hybrid schemes only</t>
    </r>
    <r>
      <rPr>
        <sz val="10"/>
        <color indexed="8"/>
        <rFont val="Calibri"/>
        <family val="2"/>
        <scheme val="minor"/>
      </rPr>
      <t>)</t>
    </r>
  </si>
  <si>
    <r>
      <t>Warning if Outstanding Investments - Disinvestment not completed (</t>
    </r>
    <r>
      <rPr>
        <sz val="10"/>
        <color indexed="10"/>
        <rFont val="Calibri"/>
        <family val="2"/>
        <scheme val="minor"/>
      </rPr>
      <t>hybrid schemes only</t>
    </r>
    <r>
      <rPr>
        <sz val="10"/>
        <color indexed="8"/>
        <rFont val="Calibri"/>
        <family val="2"/>
        <scheme val="minor"/>
      </rPr>
      <t>)</t>
    </r>
  </si>
  <si>
    <r>
      <t>If there is an outstanding DC process for a member (</t>
    </r>
    <r>
      <rPr>
        <sz val="10"/>
        <color indexed="10"/>
        <rFont val="Calibri"/>
        <family val="2"/>
        <scheme val="minor"/>
      </rPr>
      <t>hybrid schemes only</t>
    </r>
    <r>
      <rPr>
        <sz val="10"/>
        <color indexed="8"/>
        <rFont val="Calibri"/>
        <family val="2"/>
        <scheme val="minor"/>
      </rPr>
      <t>)</t>
    </r>
  </si>
  <si>
    <r>
      <t>Outstanding Investments - Disinvestment not completed (</t>
    </r>
    <r>
      <rPr>
        <sz val="10"/>
        <color indexed="10"/>
        <rFont val="Calibri"/>
        <family val="2"/>
        <scheme val="minor"/>
      </rPr>
      <t>hybrid schemes only</t>
    </r>
    <r>
      <rPr>
        <sz val="10"/>
        <color indexed="8"/>
        <rFont val="Calibri"/>
        <family val="2"/>
        <scheme val="minor"/>
      </rPr>
      <t>)</t>
    </r>
  </si>
  <si>
    <r>
      <t>Warning Member has outstanding processes (</t>
    </r>
    <r>
      <rPr>
        <sz val="10"/>
        <color indexed="10"/>
        <rFont val="Calibri"/>
        <family val="2"/>
        <scheme val="minor"/>
      </rPr>
      <t>hybrid schems only</t>
    </r>
    <r>
      <rPr>
        <sz val="10"/>
        <color indexed="8"/>
        <rFont val="Calibri"/>
        <family val="2"/>
        <scheme val="minor"/>
      </rPr>
      <t>)</t>
    </r>
  </si>
  <si>
    <t>DC</t>
  </si>
  <si>
    <t>Are DC pensions paid within the scheme?</t>
  </si>
  <si>
    <t>Are DC benefits normally taken as cash and therefore less pension commuted from within the scheme?</t>
  </si>
  <si>
    <t>Are DC benefits taken first for Cash, or is Cash first commuted from the member’s DB Scheme benefits?</t>
  </si>
  <si>
    <t xml:space="preserve">Please ensure a separate table is completed for each category required.
</t>
  </si>
  <si>
    <t>Please ensure a separate table is completed for each category required.</t>
  </si>
  <si>
    <t>Future Escalation Rate?</t>
  </si>
  <si>
    <t>Please complete the following tables if DC benefits need to be included as part of the routine. 
If applicable please attach factors on the Factors tab.</t>
  </si>
  <si>
    <t>Are any AVCs returned on death?</t>
  </si>
  <si>
    <t>DID</t>
  </si>
  <si>
    <t>Excess</t>
  </si>
  <si>
    <t>Please list the actual increase percentage applied for each element as at the last review date.  If there is more than one increase group (specified in section 1), please repeat the elements below for both increase dates.</t>
  </si>
  <si>
    <t>Group</t>
  </si>
  <si>
    <t>Please complete a new table for each category that is being coded.  Each Deferred Element should be included in the table and where an element is treated differently for male/female members it should be repeated with the Tranche Sex indicated which is Male or Female.
If a member retires after GMP payment date the core code will revalue the GMP to GMP payment date and then add the statutory late retirement increases of 1/7% per complete week to DOR plus  increases.  If an alternative is required please detail this in the Additional Comments box below.</t>
  </si>
  <si>
    <t>If the review date is after 6th April, for members who reached GMP payement date between 6th April and the review date, should any Post 88 GMP receive an increase this year?</t>
  </si>
  <si>
    <t>PCLS Calculation</t>
  </si>
  <si>
    <t>Are transfer values to be calculated by PenScope?</t>
  </si>
  <si>
    <t>Are refunds of contributions to be calculated by PenScope?</t>
  </si>
  <si>
    <t>Interest rate if applicable</t>
  </si>
  <si>
    <t>Interest basis if applicable</t>
  </si>
  <si>
    <t>Please complete the table below for normal scheme service.  The code will use DCPS as the pensionable service start date unless indicated otherwise.
If any scheme service credits or transfers in apply please complete the 'Historic Benefits' section below.</t>
  </si>
  <si>
    <t>Please complete the following table if you wish to compare an early retirement pension to a GMP test pension. This is used for two purposes:
1) To test whether early retirement is allowed (i.e. GMP should be covered at GMP payment date)
2) To limit the amount of pension that can be commuted (i.e. to ensure GMP is covered at GMP payment date)</t>
  </si>
  <si>
    <t>Additional Cash</t>
  </si>
  <si>
    <t xml:space="preserve">If you want the additional cash to be calculated on full service enter the start date as 1 Jan 1899 and leave the end dateblank.  If you require splits then please enter these below. However please note that the code assumes that these are dates that the main tranches are splits by. </t>
  </si>
  <si>
    <t xml:space="preserve">FPS </t>
  </si>
  <si>
    <t>1 Jan 1900</t>
  </si>
  <si>
    <t>ERF1</t>
  </si>
  <si>
    <t>ERF2</t>
  </si>
  <si>
    <t>ERF3</t>
  </si>
  <si>
    <t>ERF4</t>
  </si>
  <si>
    <t>ERF5</t>
  </si>
  <si>
    <t>ERF6</t>
  </si>
  <si>
    <t>ERF7</t>
  </si>
  <si>
    <t>ERF8</t>
  </si>
  <si>
    <t>ERF9</t>
  </si>
  <si>
    <t>ERF10</t>
  </si>
  <si>
    <t>LRF1</t>
  </si>
  <si>
    <t>LRF2</t>
  </si>
  <si>
    <t>LRF3</t>
  </si>
  <si>
    <t>LRF4</t>
  </si>
  <si>
    <t>LRF5</t>
  </si>
  <si>
    <t>LRF6</t>
  </si>
  <si>
    <t>LRF7</t>
  </si>
  <si>
    <t>LRF8</t>
  </si>
  <si>
    <t>LRF9</t>
  </si>
  <si>
    <t>LRF10</t>
  </si>
  <si>
    <t>Early Retirement Factors</t>
  </si>
  <si>
    <t>Late Retirement Factors</t>
  </si>
  <si>
    <t>From what date are late retirement factos applied from? </t>
  </si>
  <si>
    <t>CF1</t>
  </si>
  <si>
    <t>CF2</t>
  </si>
  <si>
    <t>CF3</t>
  </si>
  <si>
    <t>CF4</t>
  </si>
  <si>
    <t>CF5</t>
  </si>
  <si>
    <t>CF6</t>
  </si>
  <si>
    <t>CF7</t>
  </si>
  <si>
    <t>CF8</t>
  </si>
  <si>
    <t>CF9</t>
  </si>
  <si>
    <t>CF10</t>
  </si>
  <si>
    <t>SRF1</t>
  </si>
  <si>
    <t>SRF2</t>
  </si>
  <si>
    <t>SRF3</t>
  </si>
  <si>
    <t>SRF4</t>
  </si>
  <si>
    <t>SRF5</t>
  </si>
  <si>
    <t>SRF6</t>
  </si>
  <si>
    <t>SRF7</t>
  </si>
  <si>
    <t>SRF8</t>
  </si>
  <si>
    <t>SRF9</t>
  </si>
  <si>
    <t>SRF10</t>
  </si>
  <si>
    <t>TCF1</t>
  </si>
  <si>
    <t>TCF2</t>
  </si>
  <si>
    <t>TCF3</t>
  </si>
  <si>
    <t>TCF4</t>
  </si>
  <si>
    <t>TCF5</t>
  </si>
  <si>
    <t>TCF6</t>
  </si>
  <si>
    <t>TCF7</t>
  </si>
  <si>
    <t>TCF8</t>
  </si>
  <si>
    <t>TCF9</t>
  </si>
  <si>
    <t>TCF10</t>
  </si>
  <si>
    <t>Sign-Off</t>
  </si>
  <si>
    <t>SMPI</t>
  </si>
  <si>
    <t>Parameters</t>
  </si>
  <si>
    <t xml:space="preserve">The information entered in this section should be in relation to the results provided for testing. </t>
  </si>
  <si>
    <t>Member Filter</t>
  </si>
  <si>
    <t>Statement Date</t>
  </si>
  <si>
    <t>As at Date</t>
  </si>
  <si>
    <t>Year</t>
  </si>
  <si>
    <t>Month</t>
  </si>
  <si>
    <t>Start Contribution Period</t>
  </si>
  <si>
    <t>End Contribution Period</t>
  </si>
  <si>
    <t>Investment Start Date</t>
  </si>
  <si>
    <t>Investment End Date</t>
  </si>
  <si>
    <t>Start Unit Price Date</t>
  </si>
  <si>
    <t>End Unit Price Date</t>
  </si>
  <si>
    <t>Contribution Salary Type</t>
  </si>
  <si>
    <t>Death Benefit Salary Type</t>
  </si>
  <si>
    <t>Next Salary Renewal Date</t>
  </si>
  <si>
    <t>Next COE Renewal Date</t>
  </si>
  <si>
    <t>Next LEL Renewal Date</t>
  </si>
  <si>
    <t>SMPI Assumptions</t>
  </si>
  <si>
    <t>SMPI Assumptions Category</t>
  </si>
  <si>
    <t>Salary Offset Practice</t>
  </si>
  <si>
    <t>Are contribution scales used?</t>
  </si>
  <si>
    <t>Employee Contribution Rates Scale Type</t>
  </si>
  <si>
    <t>Employee Contribution Rates Scale</t>
  </si>
  <si>
    <t>Employer Contribution Rates Scale Type</t>
  </si>
  <si>
    <t>Service Related Scale Option</t>
  </si>
  <si>
    <t>Contracting Out Details</t>
  </si>
  <si>
    <t>Are members currently contracted-out?</t>
  </si>
  <si>
    <t>Current Employee Rebate %</t>
  </si>
  <si>
    <t>Current Employer Rebate %</t>
  </si>
  <si>
    <t>Employee Rebate Practice</t>
  </si>
  <si>
    <t>Employer Rebate Practice</t>
  </si>
  <si>
    <t>Age Related Rebate Practice</t>
  </si>
  <si>
    <t>Fund Assumptions</t>
  </si>
  <si>
    <t>Fund</t>
  </si>
  <si>
    <t>Asset Class</t>
  </si>
  <si>
    <t>Expected Future Return %</t>
  </si>
  <si>
    <t>Manager Fee %</t>
  </si>
  <si>
    <t>Retirement Profile</t>
  </si>
  <si>
    <t>Equity</t>
  </si>
  <si>
    <t>Bond</t>
  </si>
  <si>
    <t>Cash</t>
  </si>
  <si>
    <t xml:space="preserve">Data </t>
  </si>
  <si>
    <t>If the data migration has already been completed please check the following on PenScope. If the specification is being completed prior to the data being migration please ensure all the information required is available for migration.</t>
  </si>
  <si>
    <t>Is data on PenScope?</t>
  </si>
  <si>
    <t>Is renewal data available?</t>
  </si>
  <si>
    <t>Have unit prices for SMPIs been entered and checked?</t>
  </si>
  <si>
    <t>Have all funds to be included in the extract been marked as Unitised and Active on the Funds page?</t>
  </si>
  <si>
    <t>Has the "Salary Cap applies" box on the "Categories" page been set for all categories?</t>
  </si>
  <si>
    <t>Has the "Normal Retirement Age" on the "Categories" page been set up for all categories?</t>
  </si>
  <si>
    <t>Have any significant manual data modifications been made in order to calculate the SMPI results provided?</t>
  </si>
  <si>
    <t>Have sample benefit statement letters been provided?</t>
  </si>
  <si>
    <t xml:space="preserve">The following fields are the standard results produced for SMPI's:  </t>
  </si>
  <si>
    <t>Please add any additional fields required, making sure calculation requirements are included below.</t>
  </si>
  <si>
    <t>Member Info</t>
  </si>
  <si>
    <t>Member number</t>
  </si>
  <si>
    <t>Member category</t>
  </si>
  <si>
    <t xml:space="preserve">Title </t>
  </si>
  <si>
    <t>First name</t>
  </si>
  <si>
    <t>Status</t>
  </si>
  <si>
    <t>Sub status</t>
  </si>
  <si>
    <t>Date of birth</t>
  </si>
  <si>
    <t>Postcode</t>
  </si>
  <si>
    <t>Location</t>
  </si>
  <si>
    <t>Date joined company</t>
  </si>
  <si>
    <t>Date joined scheme</t>
  </si>
  <si>
    <t>Retirement Age (The earlier of DOB + ERD or DOB + NRD)</t>
  </si>
  <si>
    <t>Date of leaving</t>
  </si>
  <si>
    <t>Country</t>
  </si>
  <si>
    <t>Retirement date (DOB + Retirement Age)</t>
  </si>
  <si>
    <t>Normal retirement date</t>
  </si>
  <si>
    <t>Salary Info</t>
  </si>
  <si>
    <t xml:space="preserve">Death benefit earnings at statement date  </t>
  </si>
  <si>
    <t>Contribution earnings at statement date</t>
  </si>
  <si>
    <t>Contribution Rates</t>
  </si>
  <si>
    <t>Employer contribution</t>
  </si>
  <si>
    <t>Employee contribution</t>
  </si>
  <si>
    <t>Statement Period</t>
  </si>
  <si>
    <t>Start date (Last Years Statement Date)</t>
  </si>
  <si>
    <t>End date (This years Statement Date)</t>
  </si>
  <si>
    <t>Contributions (in Statement Period)</t>
  </si>
  <si>
    <t>Transfers In</t>
  </si>
  <si>
    <t>Employer Contributions</t>
  </si>
  <si>
    <t>Employee Contributions</t>
  </si>
  <si>
    <t>Fund Values</t>
  </si>
  <si>
    <t>Non-AVC Fund at start date</t>
  </si>
  <si>
    <t>Non-AVC Change in market value over statement period</t>
  </si>
  <si>
    <t>AVC Fund at start date</t>
  </si>
  <si>
    <t>AVC Change in market value over statement period</t>
  </si>
  <si>
    <t>Total of member's fund at start date</t>
  </si>
  <si>
    <t>Total change of member's fund in market value over statement period</t>
  </si>
  <si>
    <t>Total of member's fund at end date</t>
  </si>
  <si>
    <t>Units (data shown for each fund)</t>
  </si>
  <si>
    <t>Fund Name</t>
  </si>
  <si>
    <t>Units held at start date</t>
  </si>
  <si>
    <t>Fund Value at start date</t>
  </si>
  <si>
    <t>Units held at end date</t>
  </si>
  <si>
    <t>Fund Value at end date</t>
  </si>
  <si>
    <t>Estimated Pension</t>
  </si>
  <si>
    <t>Estimated pension per annum assuming no further contributions</t>
  </si>
  <si>
    <t>Estimated pension per annum assuming further contributions</t>
  </si>
  <si>
    <t>Lifestyle</t>
  </si>
  <si>
    <t>General Scheme Lifestyle Information</t>
  </si>
  <si>
    <t>What are the Lifestyling models available for this scheme?</t>
  </si>
  <si>
    <t>Is Lifestyling the default investment choice for new members?</t>
  </si>
  <si>
    <t>Are any contribution source excluded from Lifestyling?</t>
  </si>
  <si>
    <t>Excluded:</t>
  </si>
  <si>
    <t>Fund Choices</t>
  </si>
  <si>
    <t>Lifestyle frequency</t>
  </si>
  <si>
    <t>Anchor Date</t>
  </si>
  <si>
    <t>Contribution Period Start Date</t>
  </si>
  <si>
    <t>Contribution Period End Date</t>
  </si>
  <si>
    <t xml:space="preserve">Term to Retirement Date </t>
  </si>
  <si>
    <t>Fund A %</t>
  </si>
  <si>
    <t>Fund B %</t>
  </si>
  <si>
    <t>Fund C %</t>
  </si>
  <si>
    <t>TOTAL</t>
  </si>
  <si>
    <t>Fund A</t>
  </si>
  <si>
    <t>Fund B</t>
  </si>
  <si>
    <t>Fund C</t>
  </si>
  <si>
    <t>Accrued Funds</t>
  </si>
  <si>
    <t>Use last know unit prices for switching</t>
  </si>
  <si>
    <t>Flow Restriction</t>
  </si>
  <si>
    <t>Additional Information</t>
  </si>
  <si>
    <t xml:space="preserve">Pensionable Salary </t>
  </si>
  <si>
    <t>Historic Benefits</t>
  </si>
  <si>
    <t xml:space="preserve">Final Pensionable Salary </t>
  </si>
  <si>
    <t>The information on this tab is in relation to the Scheme as a whole rather than the individual routines and only those definitions that are needed to calculate the benefits being automated should be completed.  e.g. if part time members are not being included in any of the routines this section does not need to be completed. 
 Please see each individaul routine tab to see which sections should to be completed from the following:</t>
  </si>
  <si>
    <t>Please list all categories that are to be included in the automation.  If more that 30 categories are required please contact ITM.</t>
  </si>
  <si>
    <t>If Benefit Statements are required please complete the following applicable tables on this tab:</t>
  </si>
  <si>
    <t>and the applicable sections on the Scheme Definitions tab:</t>
  </si>
  <si>
    <t>Calculation output</t>
  </si>
  <si>
    <t>If Active to Deferred calculations are required please complete the following applicable tables on this tab:</t>
  </si>
  <si>
    <t>Post 88 GMP @ SPA</t>
  </si>
  <si>
    <t>Pre 88 GMP @ SPA</t>
  </si>
  <si>
    <t>If Death calculations are required please complete the following applicable tables on this tab:</t>
  </si>
  <si>
    <t>If Deferred to Retirement calculations are required please complete the following applicable tables on this tab:</t>
  </si>
  <si>
    <t>If Active to Retirement calculations are required please complete the following applicable tables on this tab:</t>
  </si>
  <si>
    <t>Groups</t>
  </si>
  <si>
    <t>If Pension Increase calculations are required please complete the following applicable tables on this tab:</t>
  </si>
  <si>
    <t>If SMPI calculations are required please complete the following applicable tables on this tab:</t>
  </si>
  <si>
    <t>If Lifestyle calculations are required please complete the following applicable tables on this tab:</t>
  </si>
  <si>
    <t xml:space="preserve">The core code calculates PCLS as follows: Total pension at DOR x 20 x commutation factor / (20 + 3 x commutation factor)  where Total pension at NRA is the unrounded pension.
If the member has AVC/DC funds the following formula is used:  If Pen &gt; (15% x Fund), then (Pen + Fund/c) x 20c / (3c + 20) Or, if Pen &lt; (15% x Fund), then  0.25 x (20 x Pen + Fund), where c = commutation factor &amp; Fund = the sum of any AV and DC funds.
If you require anything different from illustrated above please detail this in the Any Further Comments section.
Please add the commutation factors to the factors tab.
</t>
  </si>
  <si>
    <t>EFR</t>
  </si>
  <si>
    <t>Any factors required to calculate the benefits should be recorded in thees sections. These should be monthly factors.</t>
  </si>
  <si>
    <t>Is the total projected pension required?</t>
  </si>
  <si>
    <t>The Total pension produced by the core code is the sum of the traches defined below rounded to 2 decimal places.  GMP elements are rounded to the nearest 52 pense up no other rounding is applied.  If anything different is required please detail this below.</t>
  </si>
  <si>
    <t>The Total pension produced by the core code is the sum of the traches defined below rounded to 2 decimal places.  If anything different is required please detail this below.</t>
  </si>
  <si>
    <t>The Total pension produced by the core code is the sum of the traches defined below rounded up to be divisable by 12.  GMP elements are rounded to the nearest 52 pense and excess elements to the nearest penny.  
It is assumed that pensions are paid monthly.  
If anything different is required please detail this below.</t>
  </si>
  <si>
    <t xml:space="preserve">Validation, Error or Warning </t>
  </si>
  <si>
    <t>Scheme Specific Validations, Errors &amp; Warnings</t>
  </si>
  <si>
    <t>Required 
(Y/N)</t>
  </si>
  <si>
    <t>Standard Validations, Errors &amp; Warnings</t>
  </si>
  <si>
    <t>Closed DB</t>
  </si>
  <si>
    <t>What Basis is used for Closed DB calcuations?</t>
  </si>
  <si>
    <t>For closed DB calcuations the benefits need to be recorded under Historic Benefits.  The date the scheme closed and defeered amounts will be taken from this page.</t>
  </si>
  <si>
    <t>Each service tranche should have an unique name which represents what it is for.  e.g. If a service tranche has the same start and end date but a different NRA applies for men and women two tranches should be set up e.g. Pre Barber (NPA65), Pre Barber (NPA60).  These tranches will apply to all active calculations so please make sure all required tranches are included. Please also consider the following:
The code will automatically only include service between DCPS and DOL so this does not need to be specified.
If GMP deferred elements are split for barber purposes, then a tranche split at 6 April 1988 should be added. 
If the member retires prior to GMP payment date benefits will automatically be written back to the corresponding excess element. You therefore only need to enter the pension elements that would apply if the member retired post GMP payment age.
If only deferred to retirement calculations are required this section still needs to be completed in order to pick up the relevant NPA and pension elements.  However the service tranche names can be entered as the deferred element names and the corresponding active information (e.g. Start Date, End Date, Accrual &amp; FPS) can be ignored.</t>
  </si>
  <si>
    <t>Switching period for SMPI</t>
  </si>
  <si>
    <t>Unit Price at start date</t>
  </si>
  <si>
    <t>Unit Price at end date</t>
  </si>
  <si>
    <t>Rounded Main Fund Pension</t>
  </si>
  <si>
    <t>Rounded AVC Fund Pension</t>
  </si>
  <si>
    <t>Rounded Total Fund Pension</t>
  </si>
  <si>
    <t>Fund D %</t>
  </si>
  <si>
    <t>Fund E %</t>
  </si>
  <si>
    <t>Fund F %</t>
  </si>
  <si>
    <t>Fund D</t>
  </si>
  <si>
    <t>Fund E</t>
  </si>
  <si>
    <t>Fund F</t>
  </si>
  <si>
    <t>What Lifestyling category combinations are available for the scheme?</t>
  </si>
  <si>
    <t>Annually</t>
  </si>
  <si>
    <t>Please repeat the following for each lifestyling model available for scheme members. The matrix given should match the frequency of the Lifestyling e.g. a monthly lifestyle should be accompanied by a matrix that is in months. If more than 6 funds are available additional information should be provided at the end of the specification.</t>
  </si>
  <si>
    <t>Decreasing</t>
  </si>
  <si>
    <t>If the standard HMRC  salary cap does not apply has the relevant "SMPI Salary Cap" been entered on the "Categories" page?</t>
  </si>
  <si>
    <t xml:space="preserve">What is Lump Sum multiple payable on death in service? </t>
  </si>
  <si>
    <t>What Salary is used to calcuate the lump sum on death in service?</t>
  </si>
  <si>
    <t>What service is used to calculate Civil Partners benefits?</t>
  </si>
  <si>
    <t>Are cost neutral calcuations required? If yes please select the required apprach.</t>
  </si>
  <si>
    <t>Template Change History</t>
  </si>
  <si>
    <t>Anna Clark</t>
  </si>
  <si>
    <t>V8</t>
  </si>
  <si>
    <t>Initial Document</t>
  </si>
  <si>
    <t>Standard Element/Salary Lookup:</t>
  </si>
  <si>
    <t>S:\ITM\Project Office\Archive\Project File Library\Legacy &amp; Calculation Automation Docs\Calculations Template files\Calculation Specifications\PSL New Specs\PSL Standard Elements &amp; Salaries V1.xlsx</t>
  </si>
  <si>
    <t>State Pension Date</t>
  </si>
  <si>
    <t>Final Pensionable Salary Wording (If scheme has been set up to hold this information)</t>
  </si>
  <si>
    <t>Service Years</t>
  </si>
  <si>
    <t>Service Months</t>
  </si>
  <si>
    <t>Service Wording (If scheme has been set up to hold this information)</t>
  </si>
  <si>
    <t>Total Service</t>
  </si>
  <si>
    <t>Transfer In Amount</t>
  </si>
  <si>
    <t>Total Pension at NRD (If the scheme data has been set to calculate this)</t>
  </si>
  <si>
    <t>Spouses Pension DID</t>
  </si>
  <si>
    <t>Spouses Pension DAR</t>
  </si>
  <si>
    <t>Normal Retirement Age</t>
  </si>
  <si>
    <t>Age at DOC (Years)</t>
  </si>
  <si>
    <t>Age at DOC (Months)</t>
  </si>
  <si>
    <t>Is GMP</t>
  </si>
  <si>
    <t>Yes/No</t>
  </si>
  <si>
    <t>Monthly Post Comm Pension</t>
  </si>
  <si>
    <t>Monthly Pre Comm Pension</t>
  </si>
  <si>
    <t>AVC Paid</t>
  </si>
  <si>
    <t>Is Ill health Calc</t>
  </si>
  <si>
    <t>Is Early Ret from Deferred Calc</t>
  </si>
  <si>
    <t>Is Normal Ret from Deferred Calc</t>
  </si>
  <si>
    <t>Is Late Ret from Deferred Calc</t>
  </si>
  <si>
    <t>Is Early Ret  Calc</t>
  </si>
  <si>
    <t>Is Normal Ret  Calc</t>
  </si>
  <si>
    <t>Is Late Ret Calc</t>
  </si>
  <si>
    <t>LTA Tax Year</t>
  </si>
  <si>
    <t>Retirement Type</t>
  </si>
  <si>
    <t>Date of first Pension Payment</t>
  </si>
  <si>
    <t>State Pension Adjustment</t>
  </si>
  <si>
    <t>State Pension Start Date</t>
  </si>
  <si>
    <t>State Pension End Date</t>
  </si>
  <si>
    <t>Is GMP before GPA</t>
  </si>
  <si>
    <t>Is GMP after GPA</t>
  </si>
  <si>
    <t>Total GMP at GPA</t>
  </si>
  <si>
    <t>2012/2013</t>
  </si>
  <si>
    <t>Early/Normal/Late</t>
  </si>
  <si>
    <t>Lump Sum from AVCs</t>
  </si>
  <si>
    <t>Back Dated Payment</t>
  </si>
  <si>
    <t>V9</t>
  </si>
  <si>
    <t>Amendments to Letters sections in Active to Deferred, Active to Retirement and Deferred to Retirement</t>
  </si>
  <si>
    <t>Does the scheme offer partial lifestyling?</t>
  </si>
  <si>
    <t>Is anniversary switching required?</t>
  </si>
  <si>
    <t>V10</t>
  </si>
  <si>
    <t>Michael Day</t>
  </si>
  <si>
    <t>Amendments to Lifestyling section incorporating recent PenScope changes.</t>
  </si>
  <si>
    <t>Limit Template to Actuarial Extract Requirements Only</t>
  </si>
  <si>
    <t>Death Calcs</t>
  </si>
  <si>
    <t>Pension Payment Day</t>
  </si>
  <si>
    <t>NRD Definition</t>
  </si>
  <si>
    <t>V11</t>
  </si>
  <si>
    <t>Actuarial Extract template, pension payment date, category routines &amp; NRD Definition</t>
  </si>
  <si>
    <t>Adjustment to Benefits</t>
  </si>
  <si>
    <t>What measure is used to find the applicable factor?</t>
  </si>
  <si>
    <t>Is this measure rounded up, down or nearest?</t>
  </si>
  <si>
    <t>What other variables are used to determine the factor?</t>
  </si>
  <si>
    <t>How often are these factors updated?</t>
  </si>
  <si>
    <t>Do we need to use a different formula if a member has AVCs?</t>
  </si>
  <si>
    <t>If applicable what is the order of commutation</t>
  </si>
  <si>
    <t>What measure is used to find the applicable commutation factor?</t>
  </si>
  <si>
    <t>Service basis for early retirement</t>
  </si>
  <si>
    <t>How is this measure rounded</t>
  </si>
  <si>
    <t>Revaluation basis for early retirement</t>
  </si>
  <si>
    <t>V12</t>
  </si>
  <si>
    <t>Peter Dimsdale</t>
  </si>
  <si>
    <t>major overhaul of worksheets</t>
  </si>
  <si>
    <t>Is Rate</t>
  </si>
  <si>
    <t>Date Restricted</t>
  </si>
  <si>
    <t>Date Restricted Age</t>
  </si>
  <si>
    <t>Date Restricted Date</t>
  </si>
  <si>
    <t>What is the numerator in the FPP Calculation</t>
  </si>
  <si>
    <t>What period type should be used for FPP Calculation</t>
  </si>
  <si>
    <t>What Salary is used for FPP?</t>
  </si>
  <si>
    <t>What calculation should be applied to information above</t>
  </si>
  <si>
    <t>What starting point should the numererator be based</t>
  </si>
  <si>
    <t>Prorated Period if starting period if DOL / DOR</t>
  </si>
  <si>
    <t>What rounding should be used if prorating?</t>
  </si>
  <si>
    <t>If multiple salaries are used should any indexation be applied to them</t>
  </si>
  <si>
    <t>Should the FPP be applied Cash or Pension</t>
  </si>
  <si>
    <t>What is the denomenator in the FPP Calculation</t>
  </si>
  <si>
    <t>What date did CARE benefits begin accruing?</t>
  </si>
  <si>
    <t>What is the date that the Scheme year will run from: Day</t>
  </si>
  <si>
    <t>What is the date that the Scheme year will run from: Month</t>
  </si>
  <si>
    <t>Which salary should be used to calculate each years accrued benefits</t>
  </si>
  <si>
    <t>What period should a part year be calculated on?</t>
  </si>
  <si>
    <t>Will any rounding apply to this period</t>
  </si>
  <si>
    <t>What Index should be used to revalue CARE on a yearly basis.</t>
  </si>
  <si>
    <t>Is there a maximum percentage that CARE revaluation is capped at?</t>
  </si>
  <si>
    <t>What month is used for the index.</t>
  </si>
  <si>
    <r>
      <t>Are Trivial Commutation calculations required for this routine?</t>
    </r>
    <r>
      <rPr>
        <b/>
        <sz val="10"/>
        <color indexed="8"/>
        <rFont val="Calibri"/>
        <family val="2"/>
      </rPr>
      <t xml:space="preserve"> </t>
    </r>
  </si>
  <si>
    <t>Is the scheme Contacted Out?</t>
  </si>
  <si>
    <t>How has the scheme Contracted Out?</t>
  </si>
  <si>
    <t>Is this salary a Full Time Equivalent (FTE) Salary?</t>
  </si>
  <si>
    <t>Is this salary to be used in relation to a CARE aspect of the scheme?</t>
  </si>
  <si>
    <t>What is the ruling applied to how bonus' can be used in the FPP calculation?</t>
  </si>
  <si>
    <t>Should any deduction be applied before the salary cap is applied?</t>
  </si>
  <si>
    <t>What deduction should be applied to the salary?</t>
  </si>
  <si>
    <t>What percentage of the deduction should be applied?</t>
  </si>
  <si>
    <t>What tax year should the deduction be taken from?</t>
  </si>
  <si>
    <t>What is the Service Tranche Name (this will be created from the dption below).</t>
  </si>
  <si>
    <t>What is the Start Date for the tranche?</t>
  </si>
  <si>
    <t>What is the End Date for the tranche?</t>
  </si>
  <si>
    <t>What is the NPA of a male for this tranche?</t>
  </si>
  <si>
    <t>What is the NPA of a female for this tranche?</t>
  </si>
  <si>
    <t>To what date should the benefits be revalued to?</t>
  </si>
  <si>
    <t>What revaluation rate should be applied, this may change dependant on tranche?</t>
  </si>
  <si>
    <t>What period is used to calculate the revaluation period?</t>
  </si>
  <si>
    <t>What month is used to calculate the difference between RPI/CPI Index?</t>
  </si>
  <si>
    <t>If future revaluation is to be applied, at what rate should this be done?</t>
  </si>
  <si>
    <t>What Date did this Contracting Out method commence?</t>
  </si>
  <si>
    <t>What Date did this Contracting Out method cease?</t>
  </si>
  <si>
    <t>If a scheme contacts out via protected Rights, how are these to be  treated upon retirement?</t>
  </si>
  <si>
    <t>Insert NRA for relevant sex</t>
  </si>
  <si>
    <t>What is the date that the scheme has been equalised at?</t>
  </si>
  <si>
    <t>At what date was an Equalised NRD used for new joiners?</t>
  </si>
  <si>
    <t>Choose which salary you wish to define from the drop down menu</t>
  </si>
  <si>
    <t>What is the Usual Start Day, this is usually the same as Scheme Anniversary Date?</t>
  </si>
  <si>
    <t>What is the Usual Start Month, this is usually the same as Scheme Anniversary Date?</t>
  </si>
  <si>
    <t>Is this salary used for any salary link purposes?</t>
  </si>
  <si>
    <t>Has the Salary Cap been applied</t>
  </si>
  <si>
    <t>Insert any addition which needs to be made to the salary.</t>
  </si>
  <si>
    <t xml:space="preserve">If yes to the above, what rounding period is used? </t>
  </si>
  <si>
    <t>To the Higher</t>
  </si>
  <si>
    <t>Bonus Salary Type</t>
  </si>
  <si>
    <t>Salary</t>
  </si>
  <si>
    <t>What Tranche should the each FPP be applied to?</t>
  </si>
  <si>
    <t>What salary is to be used?</t>
  </si>
  <si>
    <t>What is this definition of FPP to be used for?</t>
  </si>
  <si>
    <r>
      <t>Final Pensionable Salary</t>
    </r>
    <r>
      <rPr>
        <b/>
        <sz val="14"/>
        <color theme="1"/>
        <rFont val="Calibri"/>
        <family val="2"/>
      </rPr>
      <t xml:space="preserve"> / Pay</t>
    </r>
  </si>
  <si>
    <t>Is the scheme Service based on Years and a proportional amount?</t>
  </si>
  <si>
    <t>What is the proportional service based on?</t>
  </si>
  <si>
    <t>How are leap years treated within the scheme?</t>
  </si>
  <si>
    <t>How should the scheme service be rounded?</t>
  </si>
  <si>
    <t xml:space="preserve">How should Scheme Service Split be </t>
  </si>
  <si>
    <t>What periods should be used to split the scheme service (scheme service rule will apply the units and rounding applied to the whole service)?</t>
  </si>
  <si>
    <t>What periods should be used to split full time equivalent service (scheme service rule will apply the units and rounding applied to the whole service)?</t>
  </si>
  <si>
    <t>What periods should be used to split the Barber aspect of scheme service (scheme service rule will apply the units and rounding applied to the whole service)?</t>
  </si>
  <si>
    <t>What rounding method should be used for the above, if different to the whole schem method</t>
  </si>
  <si>
    <t>What is the meaximum service that a member can accrue?</t>
  </si>
  <si>
    <t>What type of benefit is this tranche?</t>
  </si>
  <si>
    <t>What Accrual is used for this tranche?</t>
  </si>
  <si>
    <t>What FPS should be used for each tranche, if there are different definitions?</t>
  </si>
  <si>
    <t>Is a slary link applied to any of the tranches?</t>
  </si>
  <si>
    <t>Is Barber period compared for a cost neutral basis?</t>
  </si>
  <si>
    <t>On Early Retirement should benefits be revalued to NRD before an ERF applied?</t>
  </si>
  <si>
    <t>If so what future revaluation should be used?</t>
  </si>
  <si>
    <t>What is the type of Tvin or historic benefit?</t>
  </si>
  <si>
    <t>How should this benefit be applied to the benefits accrued?</t>
  </si>
  <si>
    <t>Where should this benefit be applied?</t>
  </si>
  <si>
    <t>What percentage of Spouse beenfits are applied to these benefits?</t>
  </si>
  <si>
    <t>Is there any GMP included within the benefit?</t>
  </si>
  <si>
    <t>How should the Tvin GMP be revalued?</t>
  </si>
  <si>
    <t>What date should the period of Tvin be revalued to?</t>
  </si>
  <si>
    <t>Historic Benefits - Tvin / Credits</t>
  </si>
  <si>
    <t>GMP Revaluation</t>
  </si>
  <si>
    <t>GMP Revalue TaxYrs Throughtout</t>
  </si>
  <si>
    <t>Contracting out Check Required</t>
  </si>
  <si>
    <t>GMP Future Increase Order if S148</t>
  </si>
  <si>
    <t>What rate of increase for XS</t>
  </si>
  <si>
    <t>Combining two future increases they should be applied</t>
  </si>
  <si>
    <t>Excess Element to amend to correct pension</t>
  </si>
</sst>
</file>

<file path=xl/styles.xml><?xml version="1.0" encoding="utf-8"?>
<styleSheet xmlns="http://schemas.openxmlformats.org/spreadsheetml/2006/main">
  <numFmts count="4">
    <numFmt numFmtId="8" formatCode="&quot;£&quot;#,##0.00;[Red]\-&quot;£&quot;#,##0.00"/>
    <numFmt numFmtId="44" formatCode="_-&quot;£&quot;* #,##0.00_-;\-&quot;£&quot;* #,##0.00_-;_-&quot;£&quot;* &quot;-&quot;??_-;_-@_-"/>
    <numFmt numFmtId="164" formatCode="&quot;£&quot;#,##0.00"/>
    <numFmt numFmtId="165" formatCode="[$-F800]dddd\,\ mmmm\ dd\,\ yyyy"/>
  </numFmts>
  <fonts count="74">
    <font>
      <sz val="11"/>
      <color theme="1"/>
      <name val="Calibri"/>
      <family val="2"/>
      <scheme val="minor"/>
    </font>
    <font>
      <b/>
      <sz val="12"/>
      <color indexed="8"/>
      <name val="Calibri"/>
      <family val="2"/>
    </font>
    <font>
      <b/>
      <sz val="10"/>
      <color indexed="8"/>
      <name val="Calibri"/>
      <family val="2"/>
    </font>
    <font>
      <i/>
      <sz val="10"/>
      <color indexed="8"/>
      <name val="Calibri"/>
      <family val="2"/>
    </font>
    <font>
      <sz val="8"/>
      <color indexed="81"/>
      <name val="Tahoma"/>
      <family val="2"/>
    </font>
    <font>
      <b/>
      <sz val="8"/>
      <color indexed="81"/>
      <name val="Tahoma"/>
      <family val="2"/>
    </font>
    <font>
      <sz val="10"/>
      <color indexed="8"/>
      <name val="Calibri"/>
      <family val="2"/>
    </font>
    <font>
      <b/>
      <i/>
      <sz val="10"/>
      <color indexed="8"/>
      <name val="Calibri"/>
      <family val="2"/>
    </font>
    <font>
      <b/>
      <sz val="14"/>
      <color indexed="8"/>
      <name val="Calibri"/>
      <family val="2"/>
    </font>
    <font>
      <sz val="10"/>
      <name val="Calibri"/>
      <family val="2"/>
    </font>
    <font>
      <sz val="10"/>
      <name val="Arial"/>
      <family val="2"/>
    </font>
    <font>
      <b/>
      <sz val="9"/>
      <color indexed="81"/>
      <name val="Tahoma"/>
      <family val="2"/>
    </font>
    <font>
      <sz val="9"/>
      <color indexed="81"/>
      <name val="Tahoma"/>
      <family val="2"/>
    </font>
    <font>
      <b/>
      <sz val="11"/>
      <color indexed="8"/>
      <name val="Calibri"/>
      <family val="2"/>
    </font>
    <font>
      <sz val="10"/>
      <color indexed="18"/>
      <name val="Calibri"/>
      <family val="2"/>
    </font>
    <font>
      <b/>
      <sz val="10"/>
      <name val="Calibri"/>
      <family val="2"/>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indexed="12"/>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sz val="11"/>
      <color indexed="10"/>
      <name val="Calibri"/>
      <family val="2"/>
    </font>
    <font>
      <sz val="11"/>
      <color theme="1"/>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0"/>
      <color theme="1"/>
      <name val="Calibri"/>
      <family val="2"/>
      <scheme val="minor"/>
    </font>
    <font>
      <b/>
      <sz val="10"/>
      <color theme="1"/>
      <name val="Calibri"/>
      <family val="2"/>
      <scheme val="minor"/>
    </font>
    <font>
      <i/>
      <sz val="10"/>
      <color theme="1"/>
      <name val="Calibri"/>
      <family val="2"/>
      <scheme val="minor"/>
    </font>
    <font>
      <sz val="10"/>
      <color rgb="FF000000"/>
      <name val="Calibri"/>
      <family val="2"/>
      <scheme val="minor"/>
    </font>
    <font>
      <sz val="10"/>
      <color theme="1"/>
      <name val="Arial"/>
      <family val="2"/>
    </font>
    <font>
      <b/>
      <sz val="10"/>
      <color theme="1"/>
      <name val="Arial"/>
      <family val="2"/>
    </font>
    <font>
      <b/>
      <sz val="14"/>
      <color theme="1"/>
      <name val="Calibri"/>
      <family val="2"/>
      <scheme val="minor"/>
    </font>
    <font>
      <b/>
      <sz val="11"/>
      <color theme="1"/>
      <name val="Calibri"/>
      <family val="2"/>
    </font>
    <font>
      <sz val="10"/>
      <color theme="0"/>
      <name val="Calibri"/>
      <family val="2"/>
      <scheme val="minor"/>
    </font>
    <font>
      <b/>
      <sz val="10"/>
      <color theme="0"/>
      <name val="Calibri"/>
      <family val="2"/>
      <scheme val="minor"/>
    </font>
    <font>
      <sz val="11"/>
      <color theme="1"/>
      <name val="Arial"/>
      <family val="2"/>
    </font>
    <font>
      <b/>
      <sz val="10"/>
      <name val="Calibri"/>
      <family val="2"/>
      <scheme val="minor"/>
    </font>
    <font>
      <b/>
      <sz val="10"/>
      <color rgb="FF000000"/>
      <name val="Calibri"/>
      <family val="2"/>
      <scheme val="minor"/>
    </font>
    <font>
      <sz val="10"/>
      <name val="Calibri"/>
      <family val="2"/>
      <scheme val="minor"/>
    </font>
    <font>
      <sz val="11"/>
      <name val="Calibri"/>
      <family val="2"/>
      <scheme val="minor"/>
    </font>
    <font>
      <sz val="10"/>
      <color rgb="FFFF0000"/>
      <name val="Calibri"/>
      <family val="2"/>
      <scheme val="minor"/>
    </font>
    <font>
      <sz val="10"/>
      <color rgb="FF000000"/>
      <name val="Calibri"/>
      <family val="2"/>
    </font>
    <font>
      <b/>
      <sz val="14"/>
      <name val="Calibri"/>
      <family val="2"/>
      <scheme val="minor"/>
    </font>
    <font>
      <sz val="10"/>
      <color rgb="FF7030A0"/>
      <name val="Calibri"/>
      <family val="2"/>
      <scheme val="minor"/>
    </font>
    <font>
      <sz val="10"/>
      <color rgb="FFC00000"/>
      <name val="Calibri"/>
      <family val="2"/>
      <scheme val="minor"/>
    </font>
    <font>
      <sz val="14"/>
      <color theme="1"/>
      <name val="Calibri"/>
      <family val="2"/>
      <scheme val="minor"/>
    </font>
    <font>
      <b/>
      <sz val="11"/>
      <name val="Calibri"/>
      <family val="2"/>
      <scheme val="minor"/>
    </font>
    <font>
      <sz val="10"/>
      <color theme="9" tint="0.39997558519241921"/>
      <name val="Calibri"/>
      <family val="2"/>
      <scheme val="minor"/>
    </font>
    <font>
      <sz val="10"/>
      <color indexed="10"/>
      <name val="Calibri"/>
      <family val="2"/>
      <scheme val="minor"/>
    </font>
    <font>
      <sz val="10"/>
      <color indexed="8"/>
      <name val="Calibri"/>
      <family val="2"/>
      <scheme val="minor"/>
    </font>
    <font>
      <u/>
      <sz val="8.8000000000000007"/>
      <color theme="10"/>
      <name val="Calibri"/>
      <family val="2"/>
    </font>
    <font>
      <u/>
      <sz val="10"/>
      <color theme="10"/>
      <name val="Calibri"/>
      <family val="2"/>
    </font>
    <font>
      <sz val="8"/>
      <color indexed="81"/>
      <name val="Calibri"/>
      <family val="2"/>
      <scheme val="minor"/>
    </font>
    <font>
      <sz val="11"/>
      <color rgb="FF000000"/>
      <name val="Calibri"/>
      <family val="2"/>
      <scheme val="minor"/>
    </font>
    <font>
      <sz val="14"/>
      <color theme="0"/>
      <name val="Calibri"/>
      <family val="2"/>
      <scheme val="minor"/>
    </font>
    <font>
      <b/>
      <sz val="14"/>
      <color theme="0"/>
      <name val="Calibri"/>
      <family val="2"/>
      <scheme val="minor"/>
    </font>
    <font>
      <b/>
      <sz val="16"/>
      <color indexed="8"/>
      <name val="Calibri"/>
      <family val="2"/>
    </font>
    <font>
      <b/>
      <sz val="16"/>
      <color theme="1"/>
      <name val="Calibri"/>
      <family val="2"/>
      <scheme val="minor"/>
    </font>
    <font>
      <sz val="16"/>
      <color theme="1"/>
      <name val="Calibri"/>
      <family val="2"/>
      <scheme val="minor"/>
    </font>
    <font>
      <sz val="16"/>
      <color theme="0"/>
      <name val="Calibri"/>
      <family val="2"/>
      <scheme val="minor"/>
    </font>
    <font>
      <b/>
      <sz val="14"/>
      <color theme="1"/>
      <name val="Calibri"/>
      <family val="2"/>
    </font>
  </fonts>
  <fills count="3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6" tint="0.59999389629810485"/>
        <bgColor indexed="64"/>
      </patternFill>
    </fill>
    <fill>
      <patternFill patternType="solid">
        <fgColor rgb="FFD7E4BC"/>
        <bgColor indexed="64"/>
      </patternFill>
    </fill>
    <fill>
      <patternFill patternType="solid">
        <fgColor theme="8" tint="0.59999389629810485"/>
        <bgColor indexed="64"/>
      </patternFill>
    </fill>
    <fill>
      <patternFill patternType="solid">
        <fgColor rgb="FFFBC5F3"/>
        <bgColor indexed="64"/>
      </patternFill>
    </fill>
    <fill>
      <patternFill patternType="solid">
        <fgColor rgb="FF00B050"/>
        <bgColor indexed="64"/>
      </patternFill>
    </fill>
    <fill>
      <patternFill patternType="solid">
        <fgColor rgb="FF00B0F0"/>
        <bgColor indexed="64"/>
      </patternFill>
    </fill>
    <fill>
      <patternFill patternType="solid">
        <fgColor rgb="FF0070C0"/>
        <bgColor indexed="64"/>
      </patternFill>
    </fill>
    <fill>
      <patternFill patternType="solid">
        <fgColor rgb="FFF88C2A"/>
        <bgColor indexed="64"/>
      </patternFill>
    </fill>
  </fills>
  <borders count="8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style="medium">
        <color indexed="64"/>
      </bottom>
      <diagonal/>
    </border>
    <border>
      <left style="thin">
        <color indexed="64"/>
      </left>
      <right/>
      <top style="thin">
        <color indexed="64"/>
      </top>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diagonal/>
    </border>
    <border>
      <left style="thin">
        <color indexed="64"/>
      </left>
      <right style="medium">
        <color indexed="64"/>
      </right>
      <top style="thin">
        <color indexed="64"/>
      </top>
      <bottom style="thin">
        <color indexed="64"/>
      </bottom>
      <diagonal/>
    </border>
    <border>
      <left style="thin">
        <color indexed="64"/>
      </left>
      <right/>
      <top style="medium">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top/>
      <bottom style="thin">
        <color indexed="64"/>
      </bottom>
      <diagonal/>
    </border>
    <border>
      <left style="medium">
        <color indexed="64"/>
      </left>
      <right/>
      <top/>
      <bottom style="thin">
        <color indexed="64"/>
      </bottom>
      <diagonal/>
    </border>
    <border>
      <left style="medium">
        <color indexed="64"/>
      </left>
      <right/>
      <top/>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top style="thin">
        <color indexed="64"/>
      </top>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right style="medium">
        <color indexed="64"/>
      </right>
      <top style="thin">
        <color indexed="64"/>
      </top>
      <bottom/>
      <diagonal/>
    </border>
    <border>
      <left/>
      <right style="medium">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bottom style="medium">
        <color indexed="64"/>
      </bottom>
      <diagonal/>
    </border>
    <border>
      <left style="medium">
        <color indexed="64"/>
      </left>
      <right style="thin">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hair">
        <color theme="4" tint="-0.24994659260841701"/>
      </left>
      <right/>
      <top style="hair">
        <color theme="4" tint="-0.24994659260841701"/>
      </top>
      <bottom style="hair">
        <color theme="4" tint="-0.24994659260841701"/>
      </bottom>
      <diagonal/>
    </border>
  </borders>
  <cellStyleXfs count="93">
    <xf numFmtId="0" fontId="0" fillId="0" borderId="0"/>
    <xf numFmtId="0" fontId="17" fillId="2" borderId="0" applyNumberFormat="0" applyBorder="0" applyAlignment="0" applyProtection="0"/>
    <xf numFmtId="0" fontId="17" fillId="2"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8" fillId="12" borderId="0" applyNumberFormat="0" applyBorder="0" applyAlignment="0" applyProtection="0"/>
    <xf numFmtId="0" fontId="18" fillId="12"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5" borderId="0" applyNumberFormat="0" applyBorder="0" applyAlignment="0" applyProtection="0"/>
    <xf numFmtId="0" fontId="18" fillId="15" borderId="0" applyNumberFormat="0" applyBorder="0" applyAlignment="0" applyProtection="0"/>
    <xf numFmtId="0" fontId="18" fillId="16"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9" borderId="0" applyNumberFormat="0" applyBorder="0" applyAlignment="0" applyProtection="0"/>
    <xf numFmtId="0" fontId="18" fillId="19" borderId="0" applyNumberFormat="0" applyBorder="0" applyAlignment="0" applyProtection="0"/>
    <xf numFmtId="0" fontId="19" fillId="3" borderId="0" applyNumberFormat="0" applyBorder="0" applyAlignment="0" applyProtection="0"/>
    <xf numFmtId="0" fontId="19" fillId="3" borderId="0" applyNumberFormat="0" applyBorder="0" applyAlignment="0" applyProtection="0"/>
    <xf numFmtId="0" fontId="20" fillId="20" borderId="1" applyNumberFormat="0" applyAlignment="0" applyProtection="0"/>
    <xf numFmtId="0" fontId="20" fillId="20" borderId="1" applyNumberFormat="0" applyAlignment="0" applyProtection="0"/>
    <xf numFmtId="0" fontId="21" fillId="21" borderId="2" applyNumberFormat="0" applyAlignment="0" applyProtection="0"/>
    <xf numFmtId="0" fontId="21" fillId="21" borderId="2" applyNumberFormat="0" applyAlignment="0" applyProtection="0"/>
    <xf numFmtId="44" fontId="34"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3" fillId="4" borderId="0" applyNumberFormat="0" applyBorder="0" applyAlignment="0" applyProtection="0"/>
    <xf numFmtId="0" fontId="23" fillId="4" borderId="0" applyNumberFormat="0" applyBorder="0" applyAlignment="0" applyProtection="0"/>
    <xf numFmtId="0" fontId="24" fillId="0" borderId="3" applyNumberFormat="0" applyFill="0" applyAlignment="0" applyProtection="0"/>
    <xf numFmtId="0" fontId="24" fillId="0" borderId="3" applyNumberFormat="0" applyFill="0" applyAlignment="0" applyProtection="0"/>
    <xf numFmtId="0" fontId="25" fillId="0" borderId="4" applyNumberFormat="0" applyFill="0" applyAlignment="0" applyProtection="0"/>
    <xf numFmtId="0" fontId="25" fillId="0" borderId="4" applyNumberFormat="0" applyFill="0" applyAlignment="0" applyProtection="0"/>
    <xf numFmtId="0" fontId="26" fillId="0" borderId="5" applyNumberFormat="0" applyFill="0" applyAlignment="0" applyProtection="0"/>
    <xf numFmtId="0" fontId="26" fillId="0" borderId="5" applyNumberFormat="0" applyFill="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alignment vertical="top"/>
      <protection locked="0"/>
    </xf>
    <xf numFmtId="0" fontId="28" fillId="7" borderId="1" applyNumberFormat="0" applyAlignment="0" applyProtection="0"/>
    <xf numFmtId="0" fontId="28" fillId="7" borderId="1" applyNumberFormat="0" applyAlignment="0" applyProtection="0"/>
    <xf numFmtId="0" fontId="29" fillId="0" borderId="6" applyNumberFormat="0" applyFill="0" applyAlignment="0" applyProtection="0"/>
    <xf numFmtId="0" fontId="29" fillId="0" borderId="6" applyNumberFormat="0" applyFill="0" applyAlignment="0" applyProtection="0"/>
    <xf numFmtId="0" fontId="30" fillId="22" borderId="0" applyNumberFormat="0" applyBorder="0" applyAlignment="0" applyProtection="0"/>
    <xf numFmtId="0" fontId="30" fillId="22" borderId="0" applyNumberFormat="0" applyBorder="0" applyAlignment="0" applyProtection="0"/>
    <xf numFmtId="0" fontId="10" fillId="0" borderId="0"/>
    <xf numFmtId="0" fontId="10" fillId="0" borderId="0"/>
    <xf numFmtId="0" fontId="10" fillId="0" borderId="0"/>
    <xf numFmtId="0" fontId="17" fillId="23" borderId="7" applyNumberFormat="0" applyFont="0" applyAlignment="0" applyProtection="0"/>
    <xf numFmtId="0" fontId="17" fillId="23" borderId="7" applyNumberFormat="0" applyFont="0" applyAlignment="0" applyProtection="0"/>
    <xf numFmtId="0" fontId="31" fillId="20" borderId="8" applyNumberFormat="0" applyAlignment="0" applyProtection="0"/>
    <xf numFmtId="0" fontId="31" fillId="20" borderId="8" applyNumberFormat="0" applyAlignment="0" applyProtection="0"/>
    <xf numFmtId="9" fontId="34" fillId="0" borderId="0" applyFon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13" fillId="0" borderId="9" applyNumberFormat="0" applyFill="0" applyAlignment="0" applyProtection="0"/>
    <xf numFmtId="0" fontId="13" fillId="0" borderId="9" applyNumberFormat="0" applyFill="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63" fillId="0" borderId="0" applyNumberFormat="0" applyFill="0" applyBorder="0" applyAlignment="0" applyProtection="0">
      <alignment vertical="top"/>
      <protection locked="0"/>
    </xf>
  </cellStyleXfs>
  <cellXfs count="2060">
    <xf numFmtId="0" fontId="0" fillId="0" borderId="0" xfId="0"/>
    <xf numFmtId="0" fontId="38" fillId="0" borderId="0" xfId="0" applyFont="1"/>
    <xf numFmtId="0" fontId="38" fillId="0" borderId="0" xfId="0" applyFont="1" applyAlignment="1"/>
    <xf numFmtId="0" fontId="39" fillId="0" borderId="0" xfId="0" applyFont="1" applyAlignment="1"/>
    <xf numFmtId="0" fontId="38" fillId="0" borderId="0" xfId="0" applyFont="1" applyAlignment="1">
      <alignment horizontal="left" vertical="center"/>
    </xf>
    <xf numFmtId="0" fontId="38" fillId="0" borderId="0" xfId="0" applyFont="1" applyBorder="1"/>
    <xf numFmtId="0" fontId="0" fillId="0" borderId="0" xfId="0"/>
    <xf numFmtId="0" fontId="38" fillId="0" borderId="0" xfId="0" applyFont="1" applyAlignment="1">
      <alignment wrapText="1"/>
    </xf>
    <xf numFmtId="0" fontId="39" fillId="0" borderId="0" xfId="0" applyFont="1"/>
    <xf numFmtId="0" fontId="38" fillId="0" borderId="0" xfId="0" applyFont="1" applyBorder="1" applyAlignment="1"/>
    <xf numFmtId="0" fontId="39" fillId="0" borderId="0" xfId="0" applyFont="1" applyBorder="1" applyAlignment="1"/>
    <xf numFmtId="0" fontId="36" fillId="0" borderId="0" xfId="0" applyFont="1" applyAlignment="1"/>
    <xf numFmtId="0" fontId="38" fillId="0" borderId="0" xfId="0" applyFont="1" applyFill="1" applyBorder="1" applyAlignment="1">
      <alignment horizontal="left" vertical="top"/>
    </xf>
    <xf numFmtId="0" fontId="36" fillId="0" borderId="0" xfId="0" applyFont="1"/>
    <xf numFmtId="0" fontId="38" fillId="0" borderId="0" xfId="0" applyFont="1" applyAlignment="1">
      <alignment horizontal="right"/>
    </xf>
    <xf numFmtId="0" fontId="39" fillId="0" borderId="0" xfId="0" applyFont="1" applyAlignment="1">
      <alignment horizontal="left" vertical="top"/>
    </xf>
    <xf numFmtId="0" fontId="0" fillId="0" borderId="0" xfId="0" applyAlignment="1">
      <alignment horizontal="left" vertical="center"/>
    </xf>
    <xf numFmtId="0" fontId="0" fillId="0" borderId="0" xfId="0" applyAlignment="1">
      <alignment wrapText="1"/>
    </xf>
    <xf numFmtId="0" fontId="0" fillId="0" borderId="0" xfId="0" applyProtection="1"/>
    <xf numFmtId="0" fontId="0" fillId="0" borderId="0" xfId="0" applyAlignment="1" applyProtection="1">
      <alignment wrapText="1"/>
    </xf>
    <xf numFmtId="0" fontId="38" fillId="0" borderId="0" xfId="0" applyFont="1" applyAlignment="1">
      <alignment vertical="center"/>
    </xf>
    <xf numFmtId="0" fontId="38" fillId="0" borderId="0" xfId="0" applyFont="1" applyBorder="1" applyAlignment="1">
      <alignment horizontal="left" vertical="center"/>
    </xf>
    <xf numFmtId="0" fontId="0" fillId="0" borderId="0" xfId="0" applyAlignment="1">
      <alignment vertical="center"/>
    </xf>
    <xf numFmtId="0" fontId="38" fillId="0" borderId="0" xfId="0" applyFont="1" applyAlignment="1">
      <alignment horizontal="left" vertical="top"/>
    </xf>
    <xf numFmtId="0" fontId="38" fillId="0" borderId="0" xfId="0" applyFont="1" applyAlignment="1">
      <alignment horizontal="left" indent="1"/>
    </xf>
    <xf numFmtId="0" fontId="0" fillId="0" borderId="0" xfId="0" applyAlignment="1">
      <alignment horizontal="right"/>
    </xf>
    <xf numFmtId="0" fontId="38" fillId="0" borderId="0" xfId="0" applyFont="1" applyFill="1" applyAlignment="1">
      <alignment horizontal="left" vertical="top" wrapText="1"/>
    </xf>
    <xf numFmtId="0" fontId="38" fillId="0" borderId="22" xfId="0" applyFont="1" applyBorder="1"/>
    <xf numFmtId="0" fontId="0" fillId="0" borderId="0" xfId="0" applyAlignment="1">
      <alignment horizontal="left" indent="1"/>
    </xf>
    <xf numFmtId="0" fontId="0" fillId="0" borderId="0" xfId="0" applyBorder="1"/>
    <xf numFmtId="0" fontId="44" fillId="0" borderId="0" xfId="0" applyFont="1"/>
    <xf numFmtId="0" fontId="0" fillId="0" borderId="0" xfId="0" applyAlignment="1">
      <alignment horizontal="right" indent="1"/>
    </xf>
    <xf numFmtId="0" fontId="36" fillId="0" borderId="0" xfId="0" applyFont="1" applyAlignment="1">
      <alignment horizontal="right" indent="1"/>
    </xf>
    <xf numFmtId="0" fontId="39" fillId="0" borderId="0" xfId="0" applyFont="1" applyAlignment="1">
      <alignment horizontal="left" indent="1"/>
    </xf>
    <xf numFmtId="0" fontId="38" fillId="0" borderId="13" xfId="0" applyFont="1" applyBorder="1" applyAlignment="1">
      <alignment horizontal="left" indent="1"/>
    </xf>
    <xf numFmtId="0" fontId="38" fillId="0" borderId="13" xfId="0" applyFont="1" applyBorder="1"/>
    <xf numFmtId="0" fontId="38" fillId="0" borderId="40" xfId="0" applyFont="1" applyBorder="1" applyAlignment="1"/>
    <xf numFmtId="0" fontId="38" fillId="0" borderId="41" xfId="0" applyFont="1" applyBorder="1" applyAlignment="1"/>
    <xf numFmtId="0" fontId="38" fillId="0" borderId="27" xfId="0" applyFont="1" applyBorder="1" applyAlignment="1">
      <alignment horizontal="left" indent="1"/>
    </xf>
    <xf numFmtId="0" fontId="38" fillId="0" borderId="27" xfId="0" applyFont="1" applyBorder="1"/>
    <xf numFmtId="0" fontId="38" fillId="0" borderId="34" xfId="0" applyFont="1" applyBorder="1" applyAlignment="1"/>
    <xf numFmtId="0" fontId="38" fillId="0" borderId="42" xfId="0" applyFont="1" applyBorder="1" applyAlignment="1"/>
    <xf numFmtId="0" fontId="38" fillId="0" borderId="22" xfId="0" applyFont="1" applyBorder="1" applyAlignment="1">
      <alignment horizontal="left" indent="1"/>
    </xf>
    <xf numFmtId="0" fontId="38" fillId="0" borderId="37" xfId="0" applyFont="1" applyBorder="1" applyAlignment="1"/>
    <xf numFmtId="0" fontId="38" fillId="0" borderId="43" xfId="0" applyFont="1" applyBorder="1" applyAlignment="1"/>
    <xf numFmtId="0" fontId="38" fillId="0" borderId="24" xfId="0" applyFont="1" applyBorder="1" applyAlignment="1">
      <alignment horizontal="left" indent="1"/>
    </xf>
    <xf numFmtId="0" fontId="38" fillId="0" borderId="24" xfId="0" applyFont="1" applyBorder="1"/>
    <xf numFmtId="0" fontId="38" fillId="0" borderId="10" xfId="0" applyFont="1" applyBorder="1" applyAlignment="1">
      <alignment vertical="center"/>
    </xf>
    <xf numFmtId="0" fontId="38" fillId="0" borderId="17" xfId="0" applyFont="1" applyFill="1" applyBorder="1" applyAlignment="1">
      <alignment horizontal="left" vertical="center" wrapText="1"/>
    </xf>
    <xf numFmtId="0" fontId="38" fillId="0" borderId="35" xfId="0" applyFont="1" applyBorder="1"/>
    <xf numFmtId="0" fontId="38" fillId="0" borderId="36" xfId="0" applyFont="1" applyBorder="1"/>
    <xf numFmtId="0" fontId="38" fillId="0" borderId="33" xfId="0" applyFont="1" applyBorder="1"/>
    <xf numFmtId="0" fontId="38" fillId="0" borderId="29" xfId="0" applyFont="1" applyBorder="1"/>
    <xf numFmtId="0" fontId="38" fillId="0" borderId="15" xfId="0" applyFont="1" applyBorder="1"/>
    <xf numFmtId="0" fontId="38" fillId="0" borderId="26" xfId="0" applyFont="1" applyBorder="1"/>
    <xf numFmtId="0" fontId="38" fillId="0" borderId="44" xfId="0" applyFont="1" applyBorder="1" applyAlignment="1"/>
    <xf numFmtId="0" fontId="38" fillId="0" borderId="45" xfId="0" applyFont="1" applyBorder="1" applyAlignment="1"/>
    <xf numFmtId="0" fontId="38" fillId="0" borderId="46" xfId="0" applyFont="1" applyBorder="1" applyAlignment="1"/>
    <xf numFmtId="0" fontId="38" fillId="0" borderId="10" xfId="0" applyFont="1" applyBorder="1"/>
    <xf numFmtId="0" fontId="38" fillId="0" borderId="47" xfId="0" applyFont="1" applyBorder="1"/>
    <xf numFmtId="0" fontId="38" fillId="0" borderId="0" xfId="0" applyFont="1" applyBorder="1" applyAlignment="1">
      <alignment horizontal="center"/>
    </xf>
    <xf numFmtId="0" fontId="38" fillId="0" borderId="48" xfId="0" applyFont="1" applyBorder="1" applyAlignment="1"/>
    <xf numFmtId="0" fontId="38" fillId="0" borderId="49" xfId="0" applyFont="1" applyBorder="1" applyAlignment="1"/>
    <xf numFmtId="0" fontId="38" fillId="0" borderId="10" xfId="0" applyFont="1" applyBorder="1" applyAlignment="1">
      <alignment vertical="center" wrapText="1"/>
    </xf>
    <xf numFmtId="0" fontId="38" fillId="0" borderId="13" xfId="0" applyFont="1" applyBorder="1" applyAlignment="1">
      <alignment vertical="center" wrapText="1"/>
    </xf>
    <xf numFmtId="0" fontId="38" fillId="0" borderId="0" xfId="0" applyFont="1" applyBorder="1" applyAlignment="1">
      <alignment horizontal="left" vertical="center" wrapText="1"/>
    </xf>
    <xf numFmtId="0" fontId="38" fillId="0" borderId="13" xfId="0" applyFont="1" applyBorder="1" applyAlignment="1">
      <alignment wrapText="1"/>
    </xf>
    <xf numFmtId="0" fontId="38" fillId="0" borderId="31" xfId="0" applyFont="1" applyBorder="1" applyAlignment="1"/>
    <xf numFmtId="0" fontId="38" fillId="0" borderId="32" xfId="0" applyFont="1" applyBorder="1" applyAlignment="1"/>
    <xf numFmtId="0" fontId="38" fillId="0" borderId="30" xfId="0" applyFont="1" applyBorder="1" applyAlignment="1">
      <alignment wrapText="1"/>
    </xf>
    <xf numFmtId="0" fontId="38" fillId="0" borderId="50" xfId="0" applyFont="1" applyBorder="1" applyAlignment="1">
      <alignment wrapText="1"/>
    </xf>
    <xf numFmtId="0" fontId="38" fillId="0" borderId="40" xfId="0" applyFont="1" applyBorder="1" applyAlignment="1">
      <alignment wrapText="1"/>
    </xf>
    <xf numFmtId="0" fontId="38" fillId="0" borderId="41" xfId="0" applyFont="1" applyBorder="1" applyAlignment="1">
      <alignment wrapText="1"/>
    </xf>
    <xf numFmtId="0" fontId="38" fillId="0" borderId="34" xfId="0" applyFont="1" applyBorder="1" applyAlignment="1">
      <alignment wrapText="1"/>
    </xf>
    <xf numFmtId="0" fontId="38" fillId="0" borderId="42" xfId="0" applyFont="1" applyBorder="1" applyAlignment="1">
      <alignment wrapText="1"/>
    </xf>
    <xf numFmtId="0" fontId="38" fillId="0" borderId="37" xfId="0" applyFont="1" applyBorder="1" applyAlignment="1">
      <alignment wrapText="1"/>
    </xf>
    <xf numFmtId="0" fontId="38" fillId="0" borderId="43" xfId="0" applyFont="1" applyBorder="1" applyAlignment="1">
      <alignment wrapText="1"/>
    </xf>
    <xf numFmtId="0" fontId="38" fillId="0" borderId="51" xfId="0" applyFont="1" applyBorder="1" applyAlignment="1"/>
    <xf numFmtId="0" fontId="38" fillId="0" borderId="52" xfId="0" applyFont="1" applyBorder="1" applyAlignment="1"/>
    <xf numFmtId="0" fontId="38" fillId="0" borderId="53" xfId="0" applyFont="1" applyBorder="1" applyAlignment="1"/>
    <xf numFmtId="0" fontId="38" fillId="0" borderId="54" xfId="0" applyFont="1" applyBorder="1" applyAlignment="1"/>
    <xf numFmtId="0" fontId="0" fillId="0" borderId="0" xfId="0" applyAlignment="1"/>
    <xf numFmtId="0" fontId="38" fillId="0" borderId="55" xfId="0" applyFont="1" applyBorder="1" applyAlignment="1"/>
    <xf numFmtId="0" fontId="38" fillId="0" borderId="30" xfId="0" applyFont="1" applyBorder="1" applyAlignment="1">
      <alignment vertical="center" wrapText="1"/>
    </xf>
    <xf numFmtId="0" fontId="38" fillId="0" borderId="22" xfId="0" applyFont="1" applyBorder="1" applyAlignment="1">
      <alignment wrapText="1"/>
    </xf>
    <xf numFmtId="0" fontId="38" fillId="0" borderId="24" xfId="0" applyFont="1" applyBorder="1" applyAlignment="1">
      <alignment wrapText="1"/>
    </xf>
    <xf numFmtId="0" fontId="38" fillId="0" borderId="27" xfId="0" applyFont="1" applyBorder="1" applyAlignment="1">
      <alignment wrapText="1"/>
    </xf>
    <xf numFmtId="0" fontId="38" fillId="0" borderId="44" xfId="0" applyFont="1" applyBorder="1" applyAlignment="1">
      <alignment horizontal="left"/>
    </xf>
    <xf numFmtId="0" fontId="38" fillId="0" borderId="52" xfId="0" applyFont="1" applyBorder="1" applyAlignment="1">
      <alignment horizontal="left"/>
    </xf>
    <xf numFmtId="0" fontId="38" fillId="0" borderId="56" xfId="0" applyFont="1" applyBorder="1" applyAlignment="1"/>
    <xf numFmtId="0" fontId="38" fillId="0" borderId="16" xfId="0" applyFont="1" applyBorder="1" applyAlignment="1"/>
    <xf numFmtId="0" fontId="38" fillId="0" borderId="16" xfId="0" applyFont="1" applyBorder="1" applyAlignment="1">
      <alignment vertical="center"/>
    </xf>
    <xf numFmtId="0" fontId="0" fillId="0" borderId="16" xfId="0" applyBorder="1"/>
    <xf numFmtId="0" fontId="0" fillId="0" borderId="50" xfId="0" applyBorder="1"/>
    <xf numFmtId="0" fontId="0" fillId="0" borderId="51" xfId="0" applyBorder="1"/>
    <xf numFmtId="0" fontId="38" fillId="0" borderId="16" xfId="0" applyFont="1" applyBorder="1"/>
    <xf numFmtId="0" fontId="38" fillId="0" borderId="50" xfId="0" applyFont="1" applyBorder="1"/>
    <xf numFmtId="0" fontId="38" fillId="0" borderId="51" xfId="0" applyFont="1" applyBorder="1"/>
    <xf numFmtId="0" fontId="38" fillId="0" borderId="57" xfId="0" applyFont="1" applyBorder="1" applyAlignment="1"/>
    <xf numFmtId="0" fontId="39" fillId="0" borderId="0" xfId="0" applyFont="1" applyBorder="1"/>
    <xf numFmtId="0" fontId="51" fillId="0" borderId="33" xfId="0" applyFont="1" applyFill="1" applyBorder="1" applyAlignment="1">
      <alignment horizontal="left" vertical="top" wrapText="1"/>
    </xf>
    <xf numFmtId="0" fontId="0" fillId="0" borderId="0" xfId="0" applyBorder="1" applyProtection="1"/>
    <xf numFmtId="0" fontId="38" fillId="0" borderId="0" xfId="0" applyFont="1" applyAlignment="1">
      <alignment horizontal="left" wrapText="1"/>
    </xf>
    <xf numFmtId="0" fontId="38" fillId="0" borderId="10" xfId="0" applyFont="1" applyBorder="1" applyAlignment="1">
      <alignment horizontal="left" vertical="center"/>
    </xf>
    <xf numFmtId="0" fontId="38" fillId="0" borderId="13" xfId="0" applyFont="1" applyBorder="1" applyAlignment="1">
      <alignment horizontal="left" vertical="center"/>
    </xf>
    <xf numFmtId="0" fontId="38" fillId="0" borderId="34" xfId="0" applyFont="1" applyBorder="1" applyAlignment="1">
      <alignment horizontal="left"/>
    </xf>
    <xf numFmtId="0" fontId="38" fillId="0" borderId="37" xfId="0" applyFont="1" applyBorder="1" applyAlignment="1">
      <alignment horizontal="left"/>
    </xf>
    <xf numFmtId="0" fontId="38" fillId="0" borderId="40" xfId="0" applyFont="1" applyBorder="1" applyAlignment="1">
      <alignment horizontal="left"/>
    </xf>
    <xf numFmtId="0" fontId="38" fillId="0" borderId="22" xfId="0" applyFont="1" applyBorder="1" applyAlignment="1"/>
    <xf numFmtId="0" fontId="38" fillId="0" borderId="24" xfId="0" applyFont="1" applyBorder="1" applyAlignment="1"/>
    <xf numFmtId="0" fontId="38" fillId="0" borderId="13" xfId="0" applyFont="1" applyBorder="1" applyAlignment="1"/>
    <xf numFmtId="0" fontId="38" fillId="0" borderId="27" xfId="0" applyFont="1" applyBorder="1" applyAlignment="1"/>
    <xf numFmtId="0" fontId="38" fillId="0" borderId="45" xfId="0" applyFont="1" applyBorder="1" applyAlignment="1">
      <alignment horizontal="left"/>
    </xf>
    <xf numFmtId="0" fontId="38" fillId="0" borderId="53" xfId="0" applyFont="1" applyBorder="1" applyAlignment="1">
      <alignment horizontal="left"/>
    </xf>
    <xf numFmtId="0" fontId="38" fillId="0" borderId="42" xfId="0" applyFont="1" applyBorder="1" applyAlignment="1">
      <alignment horizontal="left"/>
    </xf>
    <xf numFmtId="0" fontId="38" fillId="0" borderId="43" xfId="0" applyFont="1" applyBorder="1" applyAlignment="1">
      <alignment horizontal="left"/>
    </xf>
    <xf numFmtId="0" fontId="38" fillId="0" borderId="41" xfId="0" applyFont="1" applyBorder="1" applyAlignment="1">
      <alignment horizontal="left"/>
    </xf>
    <xf numFmtId="0" fontId="38" fillId="0" borderId="16" xfId="0" applyFont="1" applyBorder="1" applyAlignment="1">
      <alignment horizontal="left"/>
    </xf>
    <xf numFmtId="0" fontId="38" fillId="0" borderId="51" xfId="0" applyFont="1" applyBorder="1" applyAlignment="1">
      <alignment horizontal="left"/>
    </xf>
    <xf numFmtId="0" fontId="38" fillId="0" borderId="59" xfId="0" applyFont="1" applyBorder="1" applyAlignment="1">
      <alignment horizontal="left"/>
    </xf>
    <xf numFmtId="0" fontId="38" fillId="0" borderId="28" xfId="0" applyFont="1" applyBorder="1" applyAlignment="1">
      <alignment horizontal="left"/>
    </xf>
    <xf numFmtId="0" fontId="38" fillId="0" borderId="60" xfId="0" applyFont="1" applyBorder="1" applyAlignment="1">
      <alignment horizontal="left"/>
    </xf>
    <xf numFmtId="0" fontId="38" fillId="0" borderId="57" xfId="0" applyFont="1" applyBorder="1" applyAlignment="1">
      <alignment horizontal="left"/>
    </xf>
    <xf numFmtId="0" fontId="38" fillId="0" borderId="0" xfId="0" applyFont="1" applyBorder="1" applyAlignment="1">
      <alignment horizontal="left"/>
    </xf>
    <xf numFmtId="0" fontId="38" fillId="0" borderId="61" xfId="0" applyFont="1" applyBorder="1" applyAlignment="1">
      <alignment horizontal="left"/>
    </xf>
    <xf numFmtId="0" fontId="38" fillId="0" borderId="62" xfId="0" applyFont="1" applyBorder="1" applyAlignment="1">
      <alignment horizontal="left"/>
    </xf>
    <xf numFmtId="0" fontId="38" fillId="0" borderId="63" xfId="0" applyFont="1" applyBorder="1" applyAlignment="1">
      <alignment horizontal="left"/>
    </xf>
    <xf numFmtId="0" fontId="38" fillId="0" borderId="64" xfId="0" applyFont="1" applyBorder="1" applyAlignment="1">
      <alignment horizontal="left"/>
    </xf>
    <xf numFmtId="0" fontId="38" fillId="0" borderId="13" xfId="0" applyFont="1" applyBorder="1" applyAlignment="1">
      <alignment horizontal="left" vertical="center" wrapText="1"/>
    </xf>
    <xf numFmtId="0" fontId="38" fillId="0" borderId="41" xfId="0" applyFont="1" applyBorder="1" applyAlignment="1">
      <alignment horizontal="center"/>
    </xf>
    <xf numFmtId="0" fontId="38" fillId="0" borderId="43" xfId="0" applyFont="1" applyBorder="1" applyAlignment="1">
      <alignment horizontal="center"/>
    </xf>
    <xf numFmtId="0" fontId="38" fillId="0" borderId="42" xfId="0" applyFont="1" applyBorder="1" applyAlignment="1">
      <alignment horizontal="center"/>
    </xf>
    <xf numFmtId="0" fontId="38" fillId="0" borderId="10" xfId="0" applyFont="1" applyBorder="1" applyAlignment="1">
      <alignment horizontal="left" vertical="center" wrapText="1"/>
    </xf>
    <xf numFmtId="0" fontId="38" fillId="0" borderId="50" xfId="0" applyFont="1" applyBorder="1" applyAlignment="1">
      <alignment vertical="center"/>
    </xf>
    <xf numFmtId="0" fontId="38" fillId="0" borderId="30" xfId="0" applyFont="1" applyBorder="1" applyAlignment="1"/>
    <xf numFmtId="0" fontId="38" fillId="0" borderId="50" xfId="0" applyFont="1" applyBorder="1" applyAlignment="1"/>
    <xf numFmtId="0" fontId="38" fillId="0" borderId="47" xfId="0" applyFont="1" applyBorder="1" applyAlignment="1"/>
    <xf numFmtId="0" fontId="55" fillId="0" borderId="0" xfId="0" applyFont="1" applyAlignment="1">
      <alignment horizontal="right" indent="1"/>
    </xf>
    <xf numFmtId="14" fontId="38" fillId="0" borderId="0" xfId="0" applyNumberFormat="1" applyFont="1" applyFill="1" applyBorder="1" applyAlignment="1" applyProtection="1">
      <alignment horizontal="left" vertical="center" wrapText="1" indent="1"/>
    </xf>
    <xf numFmtId="0" fontId="0" fillId="0" borderId="0" xfId="0"/>
    <xf numFmtId="0" fontId="39" fillId="0" borderId="0" xfId="0" applyFont="1" applyFill="1" applyBorder="1" applyAlignment="1">
      <alignment horizontal="left" vertical="top" wrapText="1"/>
    </xf>
    <xf numFmtId="0" fontId="51" fillId="0" borderId="0" xfId="0" applyFont="1" applyFill="1" applyBorder="1" applyAlignment="1" applyProtection="1">
      <alignment horizontal="center" vertical="center" wrapText="1"/>
    </xf>
    <xf numFmtId="0" fontId="0" fillId="0" borderId="0" xfId="0" applyBorder="1" applyAlignment="1">
      <alignment wrapText="1"/>
    </xf>
    <xf numFmtId="0" fontId="38" fillId="0" borderId="0" xfId="0" applyFont="1" applyAlignment="1">
      <alignment horizontal="left" vertical="top" wrapText="1"/>
    </xf>
    <xf numFmtId="0" fontId="38" fillId="0" borderId="0" xfId="0" applyFont="1" applyFill="1" applyBorder="1" applyAlignment="1">
      <alignment horizontal="left" vertical="top" wrapText="1"/>
    </xf>
    <xf numFmtId="14" fontId="51" fillId="0" borderId="0" xfId="0" applyNumberFormat="1" applyFont="1" applyFill="1" applyBorder="1" applyAlignment="1" applyProtection="1">
      <alignment horizontal="left" vertical="center" wrapText="1" indent="1"/>
    </xf>
    <xf numFmtId="0" fontId="38" fillId="0" borderId="0" xfId="0" applyFont="1" applyFill="1" applyBorder="1" applyAlignment="1" applyProtection="1">
      <alignment horizontal="center" vertical="top" wrapText="1"/>
    </xf>
    <xf numFmtId="0" fontId="51" fillId="25" borderId="34" xfId="0" applyFont="1" applyFill="1" applyBorder="1" applyAlignment="1" applyProtection="1">
      <alignment horizontal="center" vertical="center" wrapText="1"/>
      <protection locked="0"/>
    </xf>
    <xf numFmtId="0" fontId="39" fillId="25" borderId="15" xfId="0" applyFont="1" applyFill="1" applyBorder="1" applyAlignment="1" applyProtection="1">
      <alignment horizontal="left" vertical="top" wrapText="1" indent="1"/>
      <protection locked="0"/>
    </xf>
    <xf numFmtId="0" fontId="51" fillId="25" borderId="40" xfId="0" applyFont="1" applyFill="1" applyBorder="1" applyAlignment="1" applyProtection="1">
      <alignment horizontal="center" vertical="center" wrapText="1"/>
      <protection locked="0"/>
    </xf>
    <xf numFmtId="0" fontId="51" fillId="25" borderId="34" xfId="0" applyFont="1" applyFill="1" applyBorder="1" applyAlignment="1" applyProtection="1">
      <alignment horizontal="center" vertical="center"/>
      <protection locked="0"/>
    </xf>
    <xf numFmtId="0" fontId="51" fillId="25" borderId="37" xfId="0" applyFont="1" applyFill="1" applyBorder="1" applyAlignment="1" applyProtection="1">
      <alignment horizontal="center" vertical="center"/>
      <protection locked="0"/>
    </xf>
    <xf numFmtId="0" fontId="49" fillId="0" borderId="10" xfId="0" applyFont="1" applyFill="1" applyBorder="1" applyAlignment="1">
      <alignment horizontal="left" vertical="top" wrapText="1"/>
    </xf>
    <xf numFmtId="0" fontId="49" fillId="0" borderId="17" xfId="0" applyFont="1" applyFill="1" applyBorder="1" applyAlignment="1">
      <alignment horizontal="left" vertical="top" wrapText="1"/>
    </xf>
    <xf numFmtId="0" fontId="49" fillId="0" borderId="71" xfId="0" applyFont="1" applyFill="1" applyBorder="1" applyAlignment="1">
      <alignment horizontal="left" vertical="top" wrapText="1"/>
    </xf>
    <xf numFmtId="0" fontId="49" fillId="0" borderId="23" xfId="0" applyFont="1" applyFill="1" applyBorder="1" applyAlignment="1">
      <alignment horizontal="left" vertical="top" wrapText="1"/>
    </xf>
    <xf numFmtId="0" fontId="38" fillId="0" borderId="18" xfId="0" applyFont="1" applyFill="1" applyBorder="1" applyAlignment="1">
      <alignment horizontal="left" vertical="top" wrapText="1"/>
    </xf>
    <xf numFmtId="0" fontId="38" fillId="0" borderId="58" xfId="0" applyFont="1" applyFill="1" applyBorder="1" applyAlignment="1">
      <alignment horizontal="left" vertical="top" wrapText="1"/>
    </xf>
    <xf numFmtId="0" fontId="38" fillId="0" borderId="0" xfId="0" applyFont="1" applyFill="1" applyAlignment="1">
      <alignment horizontal="left" vertical="top"/>
    </xf>
    <xf numFmtId="0" fontId="38" fillId="0" borderId="33" xfId="0" applyFont="1" applyFill="1" applyBorder="1" applyAlignment="1">
      <alignment horizontal="left" vertical="top" wrapText="1"/>
    </xf>
    <xf numFmtId="0" fontId="38" fillId="0" borderId="29" xfId="0" applyFont="1" applyFill="1" applyBorder="1" applyAlignment="1">
      <alignment horizontal="left" vertical="top" wrapText="1"/>
    </xf>
    <xf numFmtId="0" fontId="38" fillId="0" borderId="15" xfId="0" applyFont="1" applyFill="1" applyBorder="1" applyAlignment="1">
      <alignment horizontal="left" vertical="top" wrapText="1"/>
    </xf>
    <xf numFmtId="0" fontId="38" fillId="0" borderId="26" xfId="0" applyFont="1" applyFill="1" applyBorder="1" applyAlignment="1">
      <alignment horizontal="left" vertical="top" wrapText="1"/>
    </xf>
    <xf numFmtId="0" fontId="38" fillId="0" borderId="35" xfId="0" applyFont="1" applyFill="1" applyBorder="1" applyAlignment="1">
      <alignment horizontal="left" vertical="top" wrapText="1"/>
    </xf>
    <xf numFmtId="0" fontId="38" fillId="0" borderId="36" xfId="0" applyFont="1" applyFill="1" applyBorder="1" applyAlignment="1">
      <alignment horizontal="left" vertical="top" wrapText="1"/>
    </xf>
    <xf numFmtId="0" fontId="62" fillId="0" borderId="33" xfId="0" applyFont="1" applyFill="1" applyBorder="1" applyAlignment="1">
      <alignment horizontal="left" vertical="top" wrapText="1"/>
    </xf>
    <xf numFmtId="0" fontId="62" fillId="0" borderId="29" xfId="0" applyFont="1" applyFill="1" applyBorder="1" applyAlignment="1">
      <alignment horizontal="left" vertical="top" wrapText="1"/>
    </xf>
    <xf numFmtId="0" fontId="44" fillId="0" borderId="0" xfId="0" applyFont="1" applyAlignment="1">
      <alignment horizontal="left" vertical="top"/>
    </xf>
    <xf numFmtId="0" fontId="36" fillId="0" borderId="0" xfId="0" applyFont="1" applyAlignment="1">
      <alignment horizontal="left" vertical="top"/>
    </xf>
    <xf numFmtId="0" fontId="9" fillId="0" borderId="33" xfId="0" applyFont="1" applyFill="1" applyBorder="1" applyAlignment="1">
      <alignment horizontal="left" vertical="top" wrapText="1"/>
    </xf>
    <xf numFmtId="0" fontId="54" fillId="0" borderId="33" xfId="0" applyFont="1" applyFill="1" applyBorder="1" applyAlignment="1">
      <alignment horizontal="left" vertical="top"/>
    </xf>
    <xf numFmtId="0" fontId="9" fillId="0" borderId="15" xfId="0" applyFont="1" applyFill="1" applyBorder="1" applyAlignment="1">
      <alignment horizontal="left" vertical="top" wrapText="1"/>
    </xf>
    <xf numFmtId="0" fontId="49" fillId="0" borderId="0" xfId="0" applyFont="1" applyFill="1" applyAlignment="1">
      <alignment horizontal="left" vertical="top"/>
    </xf>
    <xf numFmtId="0" fontId="51" fillId="0" borderId="0" xfId="0" applyFont="1" applyFill="1" applyAlignment="1">
      <alignment horizontal="left" vertical="top"/>
    </xf>
    <xf numFmtId="0" fontId="49" fillId="0" borderId="0" xfId="0" applyFont="1" applyFill="1" applyAlignment="1">
      <alignment horizontal="left" vertical="top" wrapText="1"/>
    </xf>
    <xf numFmtId="0" fontId="56" fillId="0" borderId="0" xfId="0" applyFont="1" applyFill="1" applyAlignment="1">
      <alignment horizontal="left" vertical="top" wrapText="1"/>
    </xf>
    <xf numFmtId="0" fontId="56" fillId="0" borderId="0" xfId="0" applyNumberFormat="1" applyFont="1" applyFill="1" applyAlignment="1">
      <alignment horizontal="left" vertical="top" wrapText="1"/>
    </xf>
    <xf numFmtId="0" fontId="53" fillId="0" borderId="0" xfId="0" applyFont="1" applyFill="1" applyAlignment="1">
      <alignment horizontal="left" vertical="top" wrapText="1"/>
    </xf>
    <xf numFmtId="0" fontId="38" fillId="0" borderId="0" xfId="0" applyNumberFormat="1" applyFont="1" applyFill="1" applyAlignment="1">
      <alignment horizontal="left" vertical="top" wrapText="1"/>
    </xf>
    <xf numFmtId="0" fontId="56" fillId="0" borderId="0" xfId="0" applyFont="1" applyFill="1" applyAlignment="1">
      <alignment horizontal="left" vertical="top"/>
    </xf>
    <xf numFmtId="0" fontId="53" fillId="0" borderId="0" xfId="0" applyFont="1" applyFill="1" applyAlignment="1">
      <alignment horizontal="left" vertical="top"/>
    </xf>
    <xf numFmtId="0" fontId="57" fillId="0" borderId="0" xfId="0" applyFont="1" applyFill="1" applyAlignment="1">
      <alignment horizontal="left" vertical="top"/>
    </xf>
    <xf numFmtId="0" fontId="38" fillId="25" borderId="56" xfId="0" applyFont="1" applyFill="1" applyBorder="1" applyAlignment="1" applyProtection="1">
      <alignment horizontal="left" vertical="top" wrapText="1" indent="1"/>
      <protection locked="0"/>
    </xf>
    <xf numFmtId="0" fontId="38" fillId="25" borderId="68" xfId="0" applyFont="1" applyFill="1" applyBorder="1" applyAlignment="1" applyProtection="1">
      <alignment horizontal="left" vertical="top" wrapText="1" indent="1"/>
      <protection locked="0"/>
    </xf>
    <xf numFmtId="0" fontId="38" fillId="0" borderId="0" xfId="0" applyFont="1" applyFill="1" applyBorder="1" applyAlignment="1" applyProtection="1">
      <alignment horizontal="center" vertical="center" wrapText="1"/>
    </xf>
    <xf numFmtId="49" fontId="38" fillId="25" borderId="22" xfId="0" applyNumberFormat="1" applyFont="1" applyFill="1" applyBorder="1" applyAlignment="1" applyProtection="1">
      <alignment vertical="center" wrapText="1"/>
      <protection locked="0"/>
    </xf>
    <xf numFmtId="0" fontId="51" fillId="25" borderId="22" xfId="0" applyFont="1" applyFill="1" applyBorder="1" applyAlignment="1" applyProtection="1">
      <alignment horizontal="left" vertical="center" wrapText="1"/>
      <protection locked="0"/>
    </xf>
    <xf numFmtId="0" fontId="38" fillId="25" borderId="45" xfId="0" applyFont="1" applyFill="1" applyBorder="1" applyAlignment="1" applyProtection="1">
      <alignment horizontal="left" vertical="top" wrapText="1" indent="1"/>
      <protection locked="0"/>
    </xf>
    <xf numFmtId="0" fontId="38" fillId="25" borderId="46" xfId="0" applyFont="1" applyFill="1" applyBorder="1" applyAlignment="1" applyProtection="1">
      <alignment horizontal="left" vertical="top" wrapText="1" indent="1"/>
      <protection locked="0"/>
    </xf>
    <xf numFmtId="0" fontId="51" fillId="25" borderId="24" xfId="0" applyFont="1" applyFill="1" applyBorder="1" applyAlignment="1" applyProtection="1">
      <alignment horizontal="left" vertical="center" wrapText="1"/>
      <protection locked="0"/>
    </xf>
    <xf numFmtId="0" fontId="38" fillId="0" borderId="0" xfId="0" applyFont="1" applyFill="1" applyBorder="1" applyAlignment="1" applyProtection="1">
      <alignment horizontal="center" vertical="center" wrapText="1"/>
    </xf>
    <xf numFmtId="0" fontId="38" fillId="24" borderId="15" xfId="0" applyFont="1" applyFill="1" applyBorder="1" applyAlignment="1" applyProtection="1">
      <alignment horizontal="center" vertical="top" wrapText="1"/>
      <protection locked="0"/>
    </xf>
    <xf numFmtId="14" fontId="51" fillId="0" borderId="0" xfId="0" applyNumberFormat="1" applyFont="1" applyFill="1" applyBorder="1" applyAlignment="1" applyProtection="1">
      <alignment horizontal="left" vertical="center" wrapText="1" indent="1"/>
    </xf>
    <xf numFmtId="14" fontId="38" fillId="25" borderId="22" xfId="0" applyNumberFormat="1" applyFont="1" applyFill="1" applyBorder="1" applyAlignment="1" applyProtection="1">
      <alignment horizontal="left" vertical="center" wrapText="1" indent="1"/>
      <protection locked="0"/>
    </xf>
    <xf numFmtId="14" fontId="38" fillId="25" borderId="65" xfId="0" applyNumberFormat="1" applyFont="1" applyFill="1" applyBorder="1" applyAlignment="1" applyProtection="1">
      <alignment horizontal="left" vertical="center" wrapText="1" indent="1"/>
      <protection locked="0"/>
    </xf>
    <xf numFmtId="14" fontId="38" fillId="25" borderId="24" xfId="0" applyNumberFormat="1" applyFont="1" applyFill="1" applyBorder="1" applyAlignment="1" applyProtection="1">
      <alignment horizontal="left" vertical="center" wrapText="1" indent="1"/>
      <protection locked="0"/>
    </xf>
    <xf numFmtId="0" fontId="38" fillId="24" borderId="33" xfId="0" applyFont="1" applyFill="1" applyBorder="1" applyAlignment="1" applyProtection="1">
      <alignment horizontal="left" vertical="top" wrapText="1" indent="1"/>
      <protection locked="0"/>
    </xf>
    <xf numFmtId="0" fontId="38" fillId="24" borderId="35" xfId="0" applyFont="1" applyFill="1" applyBorder="1" applyAlignment="1" applyProtection="1">
      <alignment horizontal="left" vertical="top" wrapText="1" indent="1"/>
      <protection locked="0"/>
    </xf>
    <xf numFmtId="0" fontId="51" fillId="0" borderId="0" xfId="0" applyFont="1" applyFill="1" applyBorder="1" applyAlignment="1" applyProtection="1">
      <alignment horizontal="left" vertical="center" wrapText="1" indent="1"/>
    </xf>
    <xf numFmtId="49" fontId="38" fillId="25" borderId="65" xfId="0" applyNumberFormat="1" applyFont="1" applyFill="1" applyBorder="1" applyAlignment="1" applyProtection="1">
      <alignment vertical="center" wrapText="1"/>
      <protection locked="0"/>
    </xf>
    <xf numFmtId="0" fontId="51" fillId="25" borderId="11" xfId="0" applyFont="1" applyFill="1" applyBorder="1" applyAlignment="1" applyProtection="1">
      <alignment horizontal="center" vertical="center" wrapText="1"/>
      <protection locked="0"/>
    </xf>
    <xf numFmtId="0" fontId="51" fillId="25" borderId="37" xfId="0" applyFont="1" applyFill="1" applyBorder="1" applyAlignment="1" applyProtection="1">
      <alignment horizontal="center" vertical="center" wrapText="1"/>
      <protection locked="0"/>
    </xf>
    <xf numFmtId="0" fontId="38" fillId="0" borderId="0" xfId="0" applyFont="1" applyAlignment="1" applyProtection="1">
      <alignment vertical="center"/>
    </xf>
    <xf numFmtId="0" fontId="8" fillId="0" borderId="0" xfId="0" applyFont="1" applyAlignment="1" applyProtection="1">
      <alignment horizontal="right"/>
    </xf>
    <xf numFmtId="0" fontId="44" fillId="0" borderId="0" xfId="0" applyFont="1" applyAlignment="1" applyProtection="1"/>
    <xf numFmtId="0" fontId="38" fillId="0" borderId="0" xfId="0" applyFont="1" applyProtection="1"/>
    <xf numFmtId="0" fontId="46" fillId="0" borderId="0" xfId="0" applyFont="1" applyBorder="1" applyProtection="1"/>
    <xf numFmtId="0" fontId="1" fillId="0" borderId="0" xfId="0" applyFont="1" applyAlignment="1" applyProtection="1"/>
    <xf numFmtId="0" fontId="38" fillId="0" borderId="0" xfId="0" applyFont="1" applyAlignment="1" applyProtection="1"/>
    <xf numFmtId="0" fontId="39" fillId="0" borderId="0" xfId="0" applyFont="1" applyAlignment="1" applyProtection="1"/>
    <xf numFmtId="0" fontId="36" fillId="0" borderId="0" xfId="0" applyFont="1" applyAlignment="1" applyProtection="1">
      <alignment horizontal="right"/>
    </xf>
    <xf numFmtId="0" fontId="36" fillId="0" borderId="0" xfId="0" applyFont="1" applyAlignment="1" applyProtection="1"/>
    <xf numFmtId="0" fontId="39" fillId="0" borderId="19" xfId="0" applyFont="1" applyBorder="1" applyAlignment="1" applyProtection="1">
      <alignment horizontal="center" vertical="center" wrapText="1"/>
    </xf>
    <xf numFmtId="0" fontId="39" fillId="0" borderId="0" xfId="0" applyFont="1" applyAlignment="1" applyProtection="1">
      <alignment vertical="center"/>
    </xf>
    <xf numFmtId="0" fontId="46" fillId="0" borderId="0" xfId="0" applyFont="1" applyBorder="1" applyAlignment="1" applyProtection="1">
      <alignment vertical="center"/>
    </xf>
    <xf numFmtId="0" fontId="0" fillId="0" borderId="0" xfId="0" applyFont="1" applyProtection="1"/>
    <xf numFmtId="0" fontId="35" fillId="0" borderId="0" xfId="0" applyFont="1" applyBorder="1" applyProtection="1"/>
    <xf numFmtId="0" fontId="39" fillId="0" borderId="0" xfId="0" applyFont="1" applyAlignment="1" applyProtection="1">
      <alignment horizontal="right"/>
    </xf>
    <xf numFmtId="0" fontId="49" fillId="0" borderId="0" xfId="0" applyFont="1" applyFill="1" applyBorder="1" applyAlignment="1" applyProtection="1">
      <alignment vertical="center" wrapText="1"/>
    </xf>
    <xf numFmtId="0" fontId="39" fillId="0" borderId="0" xfId="0" applyFont="1" applyAlignment="1" applyProtection="1">
      <alignment horizontal="right" vertical="center"/>
    </xf>
    <xf numFmtId="0" fontId="38" fillId="0" borderId="0" xfId="0" applyFont="1" applyFill="1" applyBorder="1" applyAlignment="1" applyProtection="1">
      <alignment vertical="center"/>
    </xf>
    <xf numFmtId="0" fontId="38" fillId="0" borderId="0" xfId="0" applyFont="1" applyFill="1" applyBorder="1" applyAlignment="1" applyProtection="1"/>
    <xf numFmtId="0" fontId="38" fillId="0" borderId="0" xfId="0" applyFont="1" applyBorder="1" applyAlignment="1" applyProtection="1">
      <alignment horizontal="left"/>
    </xf>
    <xf numFmtId="0" fontId="38" fillId="0" borderId="0" xfId="0" applyFont="1" applyFill="1" applyBorder="1" applyAlignment="1" applyProtection="1">
      <alignment horizontal="center"/>
    </xf>
    <xf numFmtId="14" fontId="38" fillId="0" borderId="0" xfId="0" applyNumberFormat="1" applyFont="1" applyFill="1" applyBorder="1" applyAlignment="1" applyProtection="1">
      <alignment horizontal="center"/>
    </xf>
    <xf numFmtId="0" fontId="38" fillId="0" borderId="0" xfId="0" applyFont="1" applyBorder="1" applyAlignment="1" applyProtection="1"/>
    <xf numFmtId="0" fontId="38" fillId="0" borderId="0" xfId="0" applyFont="1" applyFill="1" applyProtection="1"/>
    <xf numFmtId="0" fontId="38" fillId="0" borderId="0" xfId="0" applyFont="1" applyBorder="1" applyAlignment="1" applyProtection="1">
      <alignment horizontal="left" vertical="top" wrapText="1"/>
    </xf>
    <xf numFmtId="0" fontId="38" fillId="0" borderId="0" xfId="0" applyFont="1" applyFill="1" applyBorder="1" applyProtection="1"/>
    <xf numFmtId="0" fontId="46" fillId="0" borderId="0" xfId="0" applyFont="1" applyProtection="1"/>
    <xf numFmtId="0" fontId="39" fillId="0" borderId="0" xfId="0" applyFont="1" applyAlignment="1" applyProtection="1">
      <alignment horizontal="right" wrapText="1"/>
    </xf>
    <xf numFmtId="0" fontId="38" fillId="0" borderId="0" xfId="0" applyFont="1" applyAlignment="1" applyProtection="1">
      <alignment wrapText="1"/>
    </xf>
    <xf numFmtId="0" fontId="46" fillId="0" borderId="0" xfId="0" applyFont="1" applyAlignment="1" applyProtection="1">
      <alignment wrapText="1"/>
    </xf>
    <xf numFmtId="0" fontId="46" fillId="0" borderId="0" xfId="0" applyFont="1" applyBorder="1" applyAlignment="1" applyProtection="1">
      <alignment wrapText="1"/>
    </xf>
    <xf numFmtId="0" fontId="39" fillId="0" borderId="0" xfId="0" applyFont="1" applyAlignment="1" applyProtection="1">
      <alignment horizontal="right" vertical="center" wrapText="1"/>
    </xf>
    <xf numFmtId="0" fontId="39" fillId="0" borderId="0" xfId="0" applyFont="1" applyFill="1" applyAlignment="1" applyProtection="1">
      <alignment horizontal="right"/>
    </xf>
    <xf numFmtId="0" fontId="38" fillId="0" borderId="0" xfId="0" applyFont="1" applyFill="1" applyBorder="1" applyAlignment="1" applyProtection="1">
      <alignment horizontal="left"/>
    </xf>
    <xf numFmtId="0" fontId="38" fillId="0" borderId="0" xfId="0" applyNumberFormat="1" applyFont="1" applyFill="1" applyBorder="1" applyAlignment="1" applyProtection="1">
      <alignment horizontal="center" vertical="center"/>
    </xf>
    <xf numFmtId="0" fontId="38" fillId="0" borderId="0" xfId="0" applyNumberFormat="1" applyFont="1" applyFill="1" applyBorder="1" applyProtection="1"/>
    <xf numFmtId="0" fontId="46" fillId="0" borderId="0" xfId="0" applyFont="1" applyFill="1" applyBorder="1" applyProtection="1"/>
    <xf numFmtId="0" fontId="47" fillId="0" borderId="0" xfId="0" applyFont="1" applyBorder="1" applyProtection="1"/>
    <xf numFmtId="0" fontId="38" fillId="0" borderId="0" xfId="0" applyFont="1" applyAlignment="1" applyProtection="1">
      <alignment vertical="top"/>
    </xf>
    <xf numFmtId="0" fontId="39" fillId="0" borderId="23" xfId="0" applyFont="1" applyBorder="1" applyAlignment="1" applyProtection="1">
      <alignment horizontal="center" vertical="center" wrapText="1"/>
    </xf>
    <xf numFmtId="0" fontId="38" fillId="0" borderId="0" xfId="0" applyFont="1" applyBorder="1" applyAlignment="1" applyProtection="1">
      <alignment vertical="top" wrapText="1"/>
    </xf>
    <xf numFmtId="0" fontId="38" fillId="0" borderId="0" xfId="0" applyFont="1" applyFill="1" applyBorder="1" applyAlignment="1" applyProtection="1">
      <alignment horizontal="center" wrapText="1"/>
    </xf>
    <xf numFmtId="0" fontId="38" fillId="0" borderId="0" xfId="0" applyFont="1" applyFill="1" applyBorder="1" applyAlignment="1" applyProtection="1">
      <alignment horizontal="left" vertical="top"/>
    </xf>
    <xf numFmtId="0" fontId="36" fillId="0" borderId="0" xfId="0" applyFont="1" applyFill="1" applyAlignment="1" applyProtection="1">
      <alignment horizontal="right"/>
    </xf>
    <xf numFmtId="0" fontId="36" fillId="0" borderId="0" xfId="0" applyFont="1" applyAlignment="1" applyProtection="1">
      <alignment horizontal="left" vertical="center"/>
    </xf>
    <xf numFmtId="0" fontId="0" fillId="0" borderId="0" xfId="0" applyFont="1" applyFill="1" applyProtection="1"/>
    <xf numFmtId="0" fontId="0" fillId="0" borderId="0" xfId="0" applyFont="1" applyFill="1" applyBorder="1" applyAlignment="1" applyProtection="1">
      <alignment horizontal="left" vertical="top"/>
    </xf>
    <xf numFmtId="0" fontId="35" fillId="0" borderId="0" xfId="0" applyFont="1" applyFill="1" applyBorder="1" applyProtection="1"/>
    <xf numFmtId="0" fontId="39" fillId="0" borderId="0" xfId="0" applyFont="1" applyFill="1" applyBorder="1" applyAlignment="1" applyProtection="1">
      <alignment horizontal="right"/>
    </xf>
    <xf numFmtId="0" fontId="39" fillId="0" borderId="0" xfId="0" applyFont="1" applyFill="1" applyAlignment="1" applyProtection="1">
      <alignment horizontal="right" vertical="center"/>
    </xf>
    <xf numFmtId="0" fontId="38" fillId="0" borderId="0" xfId="0" applyFont="1" applyFill="1" applyAlignment="1" applyProtection="1">
      <alignment vertical="center"/>
    </xf>
    <xf numFmtId="0" fontId="36" fillId="0" borderId="0" xfId="0" applyFont="1" applyFill="1" applyBorder="1" applyAlignment="1" applyProtection="1">
      <alignment horizontal="right"/>
    </xf>
    <xf numFmtId="0" fontId="39" fillId="0" borderId="0" xfId="0" applyFont="1" applyFill="1" applyBorder="1" applyAlignment="1" applyProtection="1">
      <alignment horizontal="center" vertical="top" wrapText="1"/>
    </xf>
    <xf numFmtId="0" fontId="38" fillId="0" borderId="0" xfId="0" applyFont="1" applyFill="1" applyBorder="1" applyAlignment="1" applyProtection="1">
      <alignment horizontal="center" vertical="center"/>
    </xf>
    <xf numFmtId="0" fontId="46" fillId="0" borderId="0" xfId="0" applyFont="1" applyAlignment="1" applyProtection="1">
      <alignment horizontal="left"/>
    </xf>
    <xf numFmtId="0" fontId="46" fillId="0" borderId="0" xfId="0" applyFont="1" applyFill="1" applyBorder="1" applyAlignment="1" applyProtection="1">
      <alignment vertical="center"/>
    </xf>
    <xf numFmtId="0" fontId="39" fillId="0" borderId="10" xfId="0" applyFont="1" applyBorder="1" applyAlignment="1" applyProtection="1">
      <alignment horizontal="center" vertical="top" wrapText="1"/>
    </xf>
    <xf numFmtId="0" fontId="46" fillId="0" borderId="0" xfId="0" applyFont="1" applyFill="1" applyBorder="1" applyAlignment="1" applyProtection="1">
      <alignment horizontal="left"/>
    </xf>
    <xf numFmtId="0" fontId="38" fillId="0" borderId="0" xfId="0" applyFont="1" applyFill="1" applyBorder="1" applyAlignment="1" applyProtection="1">
      <alignment vertical="top" wrapText="1"/>
    </xf>
    <xf numFmtId="0" fontId="38" fillId="0" borderId="0" xfId="0" applyFont="1" applyFill="1" applyBorder="1" applyAlignment="1" applyProtection="1">
      <alignment horizontal="left" vertical="top" wrapText="1" indent="1"/>
    </xf>
    <xf numFmtId="49" fontId="51" fillId="0" borderId="0" xfId="0" applyNumberFormat="1" applyFont="1" applyFill="1" applyBorder="1" applyAlignment="1" applyProtection="1">
      <alignment horizontal="center" vertical="center"/>
    </xf>
    <xf numFmtId="0" fontId="38" fillId="0" borderId="0" xfId="0" applyFont="1" applyFill="1" applyBorder="1" applyAlignment="1" applyProtection="1">
      <alignment vertical="center" wrapText="1"/>
    </xf>
    <xf numFmtId="14" fontId="38" fillId="0" borderId="0" xfId="0" applyNumberFormat="1" applyFont="1" applyFill="1" applyBorder="1" applyAlignment="1" applyProtection="1">
      <alignment horizontal="left" vertical="center" wrapText="1"/>
    </xf>
    <xf numFmtId="0" fontId="0" fillId="0" borderId="0" xfId="0" applyFill="1" applyBorder="1" applyProtection="1"/>
    <xf numFmtId="0" fontId="51" fillId="0" borderId="0" xfId="0" applyFont="1" applyFill="1" applyProtection="1"/>
    <xf numFmtId="0" fontId="38" fillId="0" borderId="0" xfId="0" applyFont="1" applyAlignment="1" applyProtection="1">
      <alignment horizontal="left"/>
    </xf>
    <xf numFmtId="0" fontId="36" fillId="0" borderId="0" xfId="0" applyFont="1" applyAlignment="1" applyProtection="1">
      <alignment horizontal="right" vertical="center"/>
    </xf>
    <xf numFmtId="0" fontId="38" fillId="0" borderId="0" xfId="0" applyFont="1" applyAlignment="1" applyProtection="1">
      <alignment horizontal="left" vertical="center"/>
    </xf>
    <xf numFmtId="0" fontId="46" fillId="0" borderId="0" xfId="0" applyFont="1" applyAlignment="1" applyProtection="1">
      <alignment vertical="center"/>
    </xf>
    <xf numFmtId="0" fontId="38" fillId="0" borderId="0" xfId="0" applyFont="1" applyAlignment="1" applyProtection="1">
      <alignment horizontal="center" vertical="center"/>
    </xf>
    <xf numFmtId="0" fontId="46" fillId="0" borderId="0" xfId="0" applyFont="1" applyBorder="1" applyAlignment="1" applyProtection="1">
      <alignment horizontal="center" vertical="center"/>
    </xf>
    <xf numFmtId="0" fontId="38" fillId="0" borderId="0" xfId="0" applyFont="1" applyFill="1" applyBorder="1" applyAlignment="1" applyProtection="1">
      <alignment horizontal="left" vertical="top" wrapText="1"/>
    </xf>
    <xf numFmtId="0" fontId="40" fillId="0" borderId="0" xfId="0" applyFont="1" applyFill="1" applyBorder="1" applyAlignment="1" applyProtection="1">
      <alignment horizontal="left" vertical="top" wrapText="1" indent="1"/>
    </xf>
    <xf numFmtId="0" fontId="0" fillId="0" borderId="0" xfId="0" applyFont="1" applyFill="1" applyBorder="1" applyProtection="1"/>
    <xf numFmtId="0" fontId="46" fillId="0" borderId="0" xfId="0" applyFont="1" applyFill="1" applyProtection="1"/>
    <xf numFmtId="0" fontId="38" fillId="0" borderId="0" xfId="0" applyFont="1" applyBorder="1" applyAlignment="1" applyProtection="1">
      <alignment vertical="top"/>
    </xf>
    <xf numFmtId="0" fontId="38" fillId="0" borderId="0" xfId="0" applyFont="1" applyFill="1" applyBorder="1" applyAlignment="1" applyProtection="1">
      <alignment horizontal="left" vertical="top" indent="1"/>
    </xf>
    <xf numFmtId="0" fontId="38" fillId="0" borderId="0" xfId="0" applyFont="1" applyBorder="1" applyAlignment="1" applyProtection="1">
      <alignment horizontal="left" vertical="top" wrapText="1"/>
    </xf>
    <xf numFmtId="0" fontId="39" fillId="0" borderId="0" xfId="0" applyFont="1" applyProtection="1"/>
    <xf numFmtId="0" fontId="39" fillId="0" borderId="0" xfId="0" applyFont="1" applyFill="1" applyBorder="1" applyAlignment="1" applyProtection="1">
      <alignment horizontal="left" vertical="top"/>
    </xf>
    <xf numFmtId="0" fontId="41" fillId="0" borderId="0" xfId="0" applyFont="1" applyBorder="1" applyAlignment="1" applyProtection="1">
      <alignment horizontal="left" vertical="top" wrapText="1"/>
    </xf>
    <xf numFmtId="0" fontId="41" fillId="0" borderId="0" xfId="0" applyFont="1" applyFill="1" applyBorder="1" applyAlignment="1" applyProtection="1">
      <alignment horizontal="left" vertical="top" wrapText="1"/>
    </xf>
    <xf numFmtId="0" fontId="41" fillId="0" borderId="0" xfId="0" applyFont="1" applyProtection="1"/>
    <xf numFmtId="0" fontId="38" fillId="0" borderId="0" xfId="0" applyFont="1" applyAlignment="1" applyProtection="1">
      <alignment horizontal="left" vertical="top" wrapText="1"/>
    </xf>
    <xf numFmtId="0" fontId="39" fillId="0" borderId="0" xfId="0" applyFont="1" applyBorder="1" applyAlignment="1" applyProtection="1">
      <alignment horizontal="center" vertical="center" wrapText="1"/>
    </xf>
    <xf numFmtId="0" fontId="38" fillId="0" borderId="35" xfId="0" applyFont="1" applyBorder="1" applyAlignment="1" applyProtection="1">
      <alignment horizontal="center"/>
    </xf>
    <xf numFmtId="0" fontId="38" fillId="0" borderId="27" xfId="0" applyFont="1" applyBorder="1" applyAlignment="1" applyProtection="1">
      <alignment horizontal="center"/>
    </xf>
    <xf numFmtId="0" fontId="38" fillId="0" borderId="27" xfId="0" applyFont="1" applyBorder="1" applyAlignment="1" applyProtection="1">
      <alignment horizontal="center" vertical="center"/>
    </xf>
    <xf numFmtId="0" fontId="38" fillId="0" borderId="33" xfId="0" applyFont="1" applyBorder="1" applyAlignment="1" applyProtection="1">
      <alignment horizontal="center"/>
    </xf>
    <xf numFmtId="0" fontId="38" fillId="0" borderId="22" xfId="0" applyFont="1" applyBorder="1" applyAlignment="1" applyProtection="1">
      <alignment horizontal="center"/>
    </xf>
    <xf numFmtId="0" fontId="38" fillId="0" borderId="22" xfId="0" applyFont="1" applyBorder="1" applyAlignment="1" applyProtection="1">
      <alignment horizontal="center" vertical="center"/>
    </xf>
    <xf numFmtId="0" fontId="38" fillId="0" borderId="15" xfId="0" applyFont="1" applyBorder="1" applyAlignment="1" applyProtection="1">
      <alignment horizontal="center"/>
    </xf>
    <xf numFmtId="0" fontId="38" fillId="0" borderId="24" xfId="0" applyFont="1" applyBorder="1" applyAlignment="1" applyProtection="1">
      <alignment horizontal="center"/>
    </xf>
    <xf numFmtId="0" fontId="38" fillId="0" borderId="24" xfId="0" applyFont="1" applyBorder="1" applyAlignment="1" applyProtection="1">
      <alignment horizontal="center" vertical="center"/>
    </xf>
    <xf numFmtId="0" fontId="38" fillId="0" borderId="0" xfId="0" applyFont="1" applyBorder="1" applyAlignment="1" applyProtection="1">
      <alignment horizontal="center"/>
    </xf>
    <xf numFmtId="0" fontId="38" fillId="0" borderId="0" xfId="0" applyFont="1" applyBorder="1" applyAlignment="1" applyProtection="1">
      <alignment horizontal="center" vertical="center"/>
    </xf>
    <xf numFmtId="0" fontId="38" fillId="0" borderId="0" xfId="0" applyFont="1" applyFill="1" applyBorder="1" applyAlignment="1" applyProtection="1">
      <alignment horizontal="left" vertical="center" wrapText="1" indent="2"/>
    </xf>
    <xf numFmtId="0" fontId="36" fillId="0" borderId="0" xfId="0" applyFont="1" applyFill="1" applyAlignment="1" applyProtection="1"/>
    <xf numFmtId="0" fontId="36" fillId="0" borderId="0" xfId="0" applyFont="1" applyAlignment="1" applyProtection="1">
      <alignment horizontal="left"/>
    </xf>
    <xf numFmtId="14" fontId="51" fillId="0" borderId="0" xfId="0" applyNumberFormat="1" applyFont="1" applyFill="1" applyBorder="1" applyAlignment="1" applyProtection="1">
      <alignment vertical="center" wrapText="1"/>
    </xf>
    <xf numFmtId="0" fontId="51" fillId="0" borderId="0" xfId="0" applyFont="1" applyFill="1" applyBorder="1" applyAlignment="1" applyProtection="1">
      <alignment vertical="center" wrapText="1"/>
    </xf>
    <xf numFmtId="0" fontId="39" fillId="0" borderId="0" xfId="0" applyFont="1" applyAlignment="1" applyProtection="1">
      <alignment horizontal="left" vertical="center"/>
    </xf>
    <xf numFmtId="0" fontId="39" fillId="0" borderId="72" xfId="0" applyFont="1" applyBorder="1" applyAlignment="1" applyProtection="1">
      <alignment horizontal="center" vertical="center" wrapText="1"/>
    </xf>
    <xf numFmtId="0" fontId="38" fillId="0" borderId="0" xfId="0" applyFont="1" applyFill="1" applyAlignment="1" applyProtection="1"/>
    <xf numFmtId="0" fontId="38" fillId="0" borderId="0" xfId="0" applyFont="1" applyFill="1" applyBorder="1" applyAlignment="1" applyProtection="1">
      <alignment horizontal="left" vertical="center" wrapText="1"/>
    </xf>
    <xf numFmtId="0" fontId="38" fillId="0" borderId="0" xfId="0" applyFont="1" applyFill="1" applyAlignment="1" applyProtection="1">
      <alignment horizontal="left" indent="1"/>
    </xf>
    <xf numFmtId="0" fontId="38" fillId="25" borderId="27" xfId="0" applyFont="1" applyFill="1" applyBorder="1" applyAlignment="1" applyProtection="1">
      <alignment vertical="top" wrapText="1"/>
      <protection locked="0"/>
    </xf>
    <xf numFmtId="0" fontId="38" fillId="25" borderId="36" xfId="0" applyFont="1" applyFill="1" applyBorder="1" applyAlignment="1" applyProtection="1">
      <alignment vertical="top" wrapText="1"/>
      <protection locked="0"/>
    </xf>
    <xf numFmtId="0" fontId="38" fillId="25" borderId="24" xfId="0" applyFont="1" applyFill="1" applyBorder="1" applyAlignment="1" applyProtection="1">
      <alignment vertical="top" wrapText="1"/>
      <protection locked="0"/>
    </xf>
    <xf numFmtId="0" fontId="38" fillId="25" borderId="26" xfId="0" applyFont="1" applyFill="1" applyBorder="1" applyAlignment="1" applyProtection="1">
      <alignment vertical="top" wrapText="1"/>
      <protection locked="0"/>
    </xf>
    <xf numFmtId="0" fontId="38" fillId="25" borderId="65" xfId="0" applyFont="1" applyFill="1" applyBorder="1" applyAlignment="1" applyProtection="1">
      <alignment vertical="top" wrapText="1"/>
      <protection locked="0"/>
    </xf>
    <xf numFmtId="0" fontId="38" fillId="25" borderId="58" xfId="0" applyFont="1" applyFill="1" applyBorder="1" applyAlignment="1" applyProtection="1">
      <alignment vertical="top" wrapText="1"/>
      <protection locked="0"/>
    </xf>
    <xf numFmtId="0" fontId="38" fillId="25" borderId="22" xfId="0" applyFont="1" applyFill="1" applyBorder="1" applyAlignment="1" applyProtection="1">
      <alignment vertical="top" wrapText="1"/>
      <protection locked="0"/>
    </xf>
    <xf numFmtId="0" fontId="38" fillId="25" borderId="29" xfId="0" applyFont="1" applyFill="1" applyBorder="1" applyAlignment="1" applyProtection="1">
      <alignment vertical="top" wrapText="1"/>
      <protection locked="0"/>
    </xf>
    <xf numFmtId="0" fontId="44" fillId="0" borderId="0" xfId="0" applyFont="1" applyAlignment="1" applyProtection="1">
      <alignment horizontal="right"/>
    </xf>
    <xf numFmtId="0" fontId="39" fillId="0" borderId="0" xfId="0" applyFont="1" applyAlignment="1" applyProtection="1">
      <alignment horizontal="left"/>
    </xf>
    <xf numFmtId="0" fontId="0" fillId="0" borderId="0" xfId="0" applyAlignment="1" applyProtection="1">
      <alignment horizontal="left" vertical="center"/>
    </xf>
    <xf numFmtId="0" fontId="38" fillId="0" borderId="0" xfId="0" applyFont="1" applyAlignment="1" applyProtection="1">
      <alignment horizontal="left" vertical="top"/>
    </xf>
    <xf numFmtId="0" fontId="38" fillId="0" borderId="0" xfId="0" applyFont="1" applyFill="1" applyAlignment="1" applyProtection="1">
      <alignment horizontal="left" vertical="top"/>
    </xf>
    <xf numFmtId="0" fontId="44" fillId="0" borderId="0" xfId="0" applyFont="1" applyAlignment="1" applyProtection="1">
      <alignment horizontal="right" wrapText="1"/>
    </xf>
    <xf numFmtId="0" fontId="44" fillId="0" borderId="0" xfId="0" applyFont="1" applyAlignment="1" applyProtection="1">
      <alignment vertical="top"/>
    </xf>
    <xf numFmtId="0" fontId="44" fillId="0" borderId="0" xfId="0" applyFont="1" applyAlignment="1" applyProtection="1">
      <alignment horizontal="left" vertical="top" wrapText="1"/>
    </xf>
    <xf numFmtId="0" fontId="44" fillId="0" borderId="0" xfId="0" applyFont="1" applyAlignment="1" applyProtection="1">
      <alignment vertical="top" wrapText="1"/>
    </xf>
    <xf numFmtId="0" fontId="37" fillId="0" borderId="0" xfId="0" applyFont="1" applyAlignment="1" applyProtection="1">
      <alignment horizontal="left"/>
    </xf>
    <xf numFmtId="0" fontId="37" fillId="0" borderId="0" xfId="0" applyFont="1" applyAlignment="1" applyProtection="1"/>
    <xf numFmtId="0" fontId="39" fillId="0" borderId="16" xfId="0" applyFont="1" applyBorder="1" applyAlignment="1" applyProtection="1">
      <alignment vertical="top" wrapText="1"/>
    </xf>
    <xf numFmtId="0" fontId="40" fillId="0" borderId="0" xfId="0" applyFont="1" applyFill="1" applyBorder="1" applyAlignment="1" applyProtection="1">
      <alignment vertical="top" wrapText="1"/>
    </xf>
    <xf numFmtId="0" fontId="39" fillId="0" borderId="0" xfId="0" applyFont="1" applyFill="1" applyBorder="1" applyAlignment="1" applyProtection="1">
      <alignment horizontal="left" vertical="top" wrapText="1"/>
    </xf>
    <xf numFmtId="0" fontId="39" fillId="0" borderId="10" xfId="0" applyFont="1" applyBorder="1" applyAlignment="1" applyProtection="1">
      <alignment vertical="top" wrapText="1"/>
    </xf>
    <xf numFmtId="0" fontId="39" fillId="0" borderId="0" xfId="0" applyFont="1" applyFill="1" applyBorder="1" applyAlignment="1" applyProtection="1">
      <alignment horizontal="left" vertical="top" wrapText="1" indent="1"/>
    </xf>
    <xf numFmtId="0" fontId="38" fillId="0" borderId="0" xfId="0" applyFont="1" applyAlignment="1" applyProtection="1">
      <alignment horizontal="left" indent="1"/>
    </xf>
    <xf numFmtId="0" fontId="39" fillId="0" borderId="0" xfId="0" applyFont="1" applyBorder="1" applyAlignment="1" applyProtection="1">
      <alignment vertical="top" wrapText="1"/>
    </xf>
    <xf numFmtId="0" fontId="0" fillId="0" borderId="0" xfId="0" applyFont="1" applyAlignment="1" applyProtection="1"/>
    <xf numFmtId="49" fontId="38" fillId="0" borderId="0" xfId="0" applyNumberFormat="1" applyFont="1" applyAlignment="1" applyProtection="1"/>
    <xf numFmtId="0" fontId="46" fillId="0" borderId="0" xfId="0" applyFont="1" applyAlignment="1" applyProtection="1"/>
    <xf numFmtId="0" fontId="40" fillId="0" borderId="0" xfId="0" applyFont="1" applyFill="1" applyBorder="1" applyAlignment="1" applyProtection="1">
      <alignment horizontal="left" vertical="top" wrapText="1"/>
    </xf>
    <xf numFmtId="0" fontId="45" fillId="0" borderId="0" xfId="0" applyFont="1" applyAlignment="1" applyProtection="1"/>
    <xf numFmtId="0" fontId="42" fillId="0" borderId="0" xfId="0" applyFont="1" applyProtection="1"/>
    <xf numFmtId="0" fontId="39" fillId="0" borderId="10" xfId="0" applyFont="1" applyBorder="1" applyAlignment="1" applyProtection="1">
      <alignment horizontal="left" vertical="top" wrapText="1" indent="1"/>
    </xf>
    <xf numFmtId="0" fontId="39" fillId="0" borderId="17" xfId="0" applyFont="1" applyBorder="1" applyAlignment="1" applyProtection="1">
      <alignment horizontal="left" vertical="top" wrapText="1" indent="1"/>
    </xf>
    <xf numFmtId="0" fontId="38" fillId="0" borderId="35" xfId="0" applyFont="1" applyBorder="1" applyAlignment="1" applyProtection="1">
      <alignment horizontal="left" indent="1"/>
    </xf>
    <xf numFmtId="0" fontId="38" fillId="0" borderId="36" xfId="0" applyFont="1" applyFill="1" applyBorder="1" applyAlignment="1" applyProtection="1">
      <alignment horizontal="left" vertical="top" wrapText="1" indent="1"/>
    </xf>
    <xf numFmtId="0" fontId="38" fillId="0" borderId="33" xfId="0" applyFont="1" applyBorder="1" applyAlignment="1" applyProtection="1">
      <alignment horizontal="left" indent="1"/>
    </xf>
    <xf numFmtId="0" fontId="38" fillId="0" borderId="29" xfId="0" applyFont="1" applyFill="1" applyBorder="1" applyAlignment="1" applyProtection="1">
      <alignment horizontal="left" vertical="top" wrapText="1" indent="1"/>
    </xf>
    <xf numFmtId="0" fontId="38" fillId="0" borderId="33" xfId="0" applyNumberFormat="1" applyFont="1" applyBorder="1" applyAlignment="1" applyProtection="1">
      <alignment horizontal="left" indent="1"/>
    </xf>
    <xf numFmtId="8" fontId="38" fillId="0" borderId="29" xfId="0" applyNumberFormat="1" applyFont="1" applyFill="1" applyBorder="1" applyAlignment="1" applyProtection="1">
      <alignment horizontal="left" vertical="top" wrapText="1" indent="1"/>
    </xf>
    <xf numFmtId="0" fontId="38" fillId="0" borderId="15" xfId="0" applyFont="1" applyBorder="1" applyAlignment="1" applyProtection="1">
      <alignment horizontal="left" indent="1"/>
    </xf>
    <xf numFmtId="0" fontId="38" fillId="0" borderId="26" xfId="0" applyFont="1" applyBorder="1" applyAlignment="1" applyProtection="1">
      <alignment horizontal="left" indent="1"/>
    </xf>
    <xf numFmtId="0" fontId="39" fillId="0" borderId="0" xfId="0" applyFont="1" applyFill="1" applyBorder="1" applyAlignment="1" applyProtection="1">
      <alignment horizontal="center" vertical="center" wrapText="1"/>
    </xf>
    <xf numFmtId="0" fontId="39" fillId="0" borderId="0" xfId="0" applyFont="1" applyFill="1" applyBorder="1" applyAlignment="1" applyProtection="1">
      <alignment horizontal="left" vertical="center" wrapText="1"/>
    </xf>
    <xf numFmtId="0" fontId="51" fillId="25" borderId="58" xfId="0" applyFont="1" applyFill="1" applyBorder="1" applyAlignment="1" applyProtection="1">
      <alignment vertical="center" wrapText="1"/>
      <protection locked="0"/>
    </xf>
    <xf numFmtId="0" fontId="51" fillId="25" borderId="29" xfId="0" applyFont="1" applyFill="1" applyBorder="1" applyAlignment="1" applyProtection="1">
      <alignment vertical="center" wrapText="1"/>
      <protection locked="0"/>
    </xf>
    <xf numFmtId="0" fontId="51" fillId="25" borderId="26" xfId="0" applyFont="1" applyFill="1" applyBorder="1" applyAlignment="1" applyProtection="1">
      <alignment vertical="center" wrapText="1"/>
      <protection locked="0"/>
    </xf>
    <xf numFmtId="0" fontId="0" fillId="0" borderId="0" xfId="0" applyAlignment="1" applyProtection="1">
      <alignment horizontal="left" indent="1"/>
    </xf>
    <xf numFmtId="0" fontId="52" fillId="0" borderId="0" xfId="0" applyFont="1" applyProtection="1"/>
    <xf numFmtId="49" fontId="0" fillId="0" borderId="0" xfId="0" applyNumberFormat="1" applyProtection="1"/>
    <xf numFmtId="0" fontId="35" fillId="0" borderId="0" xfId="0" applyFont="1" applyProtection="1"/>
    <xf numFmtId="0" fontId="0" fillId="0" borderId="0" xfId="0" applyAlignment="1" applyProtection="1">
      <alignment horizontal="right"/>
    </xf>
    <xf numFmtId="0" fontId="38" fillId="0" borderId="0" xfId="0" applyFont="1" applyBorder="1" applyAlignment="1" applyProtection="1">
      <alignment horizontal="left" indent="1"/>
    </xf>
    <xf numFmtId="0" fontId="0" fillId="0" borderId="0" xfId="0" applyFill="1" applyBorder="1" applyAlignment="1" applyProtection="1">
      <alignment horizontal="center"/>
    </xf>
    <xf numFmtId="0" fontId="52" fillId="0" borderId="0" xfId="0" applyFont="1" applyFill="1" applyBorder="1" applyAlignment="1" applyProtection="1">
      <alignment horizontal="center"/>
    </xf>
    <xf numFmtId="0" fontId="52" fillId="0" borderId="0" xfId="0" applyFont="1" applyFill="1" applyProtection="1"/>
    <xf numFmtId="0" fontId="51" fillId="0" borderId="0" xfId="0" applyFont="1" applyAlignment="1" applyProtection="1"/>
    <xf numFmtId="0" fontId="0" fillId="0" borderId="0" xfId="0" applyFill="1" applyBorder="1" applyAlignment="1" applyProtection="1">
      <alignment horizontal="right"/>
    </xf>
    <xf numFmtId="0" fontId="52" fillId="0" borderId="0" xfId="0" applyFont="1" applyFill="1" applyBorder="1" applyProtection="1"/>
    <xf numFmtId="49" fontId="0" fillId="0" borderId="0" xfId="0" applyNumberFormat="1" applyFill="1" applyBorder="1" applyProtection="1"/>
    <xf numFmtId="0" fontId="51" fillId="0" borderId="0" xfId="0" applyFont="1" applyFill="1" applyBorder="1" applyAlignment="1" applyProtection="1"/>
    <xf numFmtId="0" fontId="38" fillId="0" borderId="0" xfId="0" applyFont="1" applyFill="1" applyBorder="1" applyAlignment="1" applyProtection="1">
      <alignment horizontal="center" vertical="top"/>
    </xf>
    <xf numFmtId="0" fontId="51" fillId="0" borderId="0" xfId="0" applyFont="1" applyFill="1" applyAlignment="1" applyProtection="1"/>
    <xf numFmtId="0" fontId="38" fillId="0" borderId="0" xfId="0" applyFont="1" applyAlignment="1" applyProtection="1">
      <alignment horizontal="right"/>
    </xf>
    <xf numFmtId="0" fontId="51" fillId="0" borderId="0" xfId="0" applyFont="1" applyFill="1" applyBorder="1" applyAlignment="1" applyProtection="1">
      <alignment horizontal="left" vertical="top" wrapText="1"/>
    </xf>
    <xf numFmtId="0" fontId="43" fillId="0" borderId="0" xfId="0" applyFont="1" applyProtection="1"/>
    <xf numFmtId="0" fontId="39" fillId="0" borderId="0" xfId="0" applyFont="1" applyBorder="1" applyAlignment="1" applyProtection="1">
      <alignment horizontal="left" vertical="top" wrapText="1"/>
    </xf>
    <xf numFmtId="14" fontId="38" fillId="0" borderId="0" xfId="0" applyNumberFormat="1" applyFont="1" applyBorder="1" applyAlignment="1" applyProtection="1">
      <alignment horizontal="left" vertical="top" wrapText="1"/>
    </xf>
    <xf numFmtId="8" fontId="38" fillId="0" borderId="0" xfId="0" applyNumberFormat="1" applyFont="1" applyBorder="1" applyAlignment="1" applyProtection="1">
      <alignment horizontal="left" vertical="top" wrapText="1"/>
    </xf>
    <xf numFmtId="0" fontId="36" fillId="0" borderId="0" xfId="0" applyFont="1" applyAlignment="1" applyProtection="1">
      <alignment horizontal="justify"/>
    </xf>
    <xf numFmtId="0" fontId="38" fillId="0" borderId="0" xfId="0" applyFont="1" applyFill="1" applyBorder="1" applyAlignment="1" applyProtection="1">
      <alignment horizontal="left" indent="1"/>
    </xf>
    <xf numFmtId="0" fontId="0" fillId="0" borderId="0" xfId="0" applyFill="1" applyAlignment="1" applyProtection="1">
      <alignment horizontal="left" indent="1"/>
    </xf>
    <xf numFmtId="0" fontId="39" fillId="0" borderId="0" xfId="0" applyFont="1" applyBorder="1" applyAlignment="1" applyProtection="1">
      <alignment horizontal="left" vertical="top"/>
    </xf>
    <xf numFmtId="0" fontId="43" fillId="0" borderId="0" xfId="0" applyFont="1" applyBorder="1" applyAlignment="1" applyProtection="1">
      <alignment vertical="top" wrapText="1"/>
    </xf>
    <xf numFmtId="0" fontId="39" fillId="0" borderId="0" xfId="0" applyFont="1" applyAlignment="1" applyProtection="1">
      <alignment horizontal="center" vertical="center"/>
    </xf>
    <xf numFmtId="9" fontId="51" fillId="0" borderId="0" xfId="0" applyNumberFormat="1" applyFont="1" applyFill="1" applyBorder="1" applyAlignment="1" applyProtection="1">
      <alignment horizontal="center" vertical="center" wrapText="1"/>
    </xf>
    <xf numFmtId="49" fontId="39" fillId="0" borderId="0" xfId="0" applyNumberFormat="1" applyFont="1" applyFill="1" applyBorder="1" applyAlignment="1" applyProtection="1">
      <alignment vertical="center" wrapText="1"/>
    </xf>
    <xf numFmtId="49" fontId="38" fillId="0" borderId="0" xfId="0" applyNumberFormat="1" applyFont="1" applyFill="1" applyBorder="1" applyAlignment="1" applyProtection="1">
      <alignment vertical="center" wrapText="1"/>
    </xf>
    <xf numFmtId="0" fontId="39" fillId="0" borderId="0" xfId="0" applyFont="1" applyFill="1" applyBorder="1" applyAlignment="1" applyProtection="1"/>
    <xf numFmtId="0" fontId="39" fillId="0" borderId="0" xfId="0" applyFont="1" applyFill="1" applyAlignment="1" applyProtection="1"/>
    <xf numFmtId="0" fontId="52" fillId="0" borderId="0" xfId="0" applyFont="1" applyBorder="1" applyProtection="1"/>
    <xf numFmtId="0" fontId="43" fillId="0" borderId="0" xfId="0" applyFont="1" applyFill="1" applyBorder="1" applyAlignment="1" applyProtection="1">
      <alignment vertical="top" wrapText="1"/>
    </xf>
    <xf numFmtId="0" fontId="49" fillId="0" borderId="0" xfId="0" applyFont="1" applyFill="1" applyBorder="1" applyAlignment="1" applyProtection="1">
      <alignment vertical="top" wrapText="1"/>
    </xf>
    <xf numFmtId="0" fontId="49" fillId="0" borderId="0" xfId="0" applyFont="1" applyFill="1" applyProtection="1"/>
    <xf numFmtId="15" fontId="38" fillId="0" borderId="0" xfId="0" applyNumberFormat="1" applyFont="1" applyBorder="1" applyAlignment="1" applyProtection="1">
      <alignment horizontal="left" vertical="top" wrapText="1"/>
    </xf>
    <xf numFmtId="0" fontId="0" fillId="0" borderId="0" xfId="0" applyAlignment="1" applyProtection="1">
      <alignment vertical="top"/>
    </xf>
    <xf numFmtId="0" fontId="38" fillId="0" borderId="0" xfId="0" applyFont="1" applyAlignment="1" applyProtection="1">
      <alignment vertical="top" wrapText="1"/>
    </xf>
    <xf numFmtId="0" fontId="52" fillId="0" borderId="0" xfId="0" applyFont="1" applyAlignment="1" applyProtection="1">
      <alignment horizontal="left" vertical="center"/>
    </xf>
    <xf numFmtId="0" fontId="39" fillId="0" borderId="0" xfId="0" applyFont="1" applyAlignment="1" applyProtection="1">
      <alignment horizontal="justify"/>
    </xf>
    <xf numFmtId="0" fontId="49" fillId="0" borderId="21" xfId="0" applyFont="1" applyBorder="1" applyAlignment="1" applyProtection="1">
      <alignment horizontal="center" vertical="center" wrapText="1"/>
    </xf>
    <xf numFmtId="0" fontId="51" fillId="25" borderId="48" xfId="0" applyFont="1" applyFill="1" applyBorder="1" applyAlignment="1" applyProtection="1">
      <alignment horizontal="center" vertical="center" wrapText="1"/>
      <protection locked="0"/>
    </xf>
    <xf numFmtId="0" fontId="39" fillId="0" borderId="12" xfId="0" applyFont="1" applyBorder="1" applyAlignment="1" applyProtection="1">
      <alignment horizontal="center" vertical="center"/>
    </xf>
    <xf numFmtId="0" fontId="39" fillId="0" borderId="11" xfId="0" applyFont="1" applyBorder="1" applyAlignment="1" applyProtection="1">
      <alignment horizontal="center" vertical="center"/>
    </xf>
    <xf numFmtId="0" fontId="39" fillId="0" borderId="70" xfId="0" applyFont="1" applyBorder="1" applyAlignment="1" applyProtection="1">
      <alignment horizontal="center" vertical="center"/>
    </xf>
    <xf numFmtId="0" fontId="51" fillId="0" borderId="0" xfId="0" applyFont="1" applyFill="1" applyBorder="1" applyAlignment="1" applyProtection="1">
      <alignment horizontal="left" vertical="center" wrapText="1"/>
      <protection locked="0"/>
    </xf>
    <xf numFmtId="0" fontId="51" fillId="0" borderId="0" xfId="0" applyFont="1" applyFill="1" applyBorder="1" applyAlignment="1" applyProtection="1">
      <alignment horizontal="center" vertical="center" wrapText="1"/>
      <protection locked="0"/>
    </xf>
    <xf numFmtId="14" fontId="38" fillId="25" borderId="18" xfId="0" applyNumberFormat="1" applyFont="1" applyFill="1" applyBorder="1" applyAlignment="1" applyProtection="1">
      <alignment horizontal="left" vertical="center" wrapText="1" indent="1"/>
      <protection locked="0"/>
    </xf>
    <xf numFmtId="14" fontId="38" fillId="25" borderId="33" xfId="0" applyNumberFormat="1" applyFont="1" applyFill="1" applyBorder="1" applyAlignment="1" applyProtection="1">
      <alignment horizontal="left" vertical="center" wrapText="1" indent="1"/>
      <protection locked="0"/>
    </xf>
    <xf numFmtId="14" fontId="38" fillId="25" borderId="15" xfId="0" applyNumberFormat="1" applyFont="1" applyFill="1" applyBorder="1" applyAlignment="1" applyProtection="1">
      <alignment horizontal="left" vertical="center" wrapText="1" indent="1"/>
      <protection locked="0"/>
    </xf>
    <xf numFmtId="0" fontId="39" fillId="0" borderId="0" xfId="0" applyFont="1" applyAlignment="1" applyProtection="1">
      <alignment vertical="top"/>
    </xf>
    <xf numFmtId="0" fontId="51" fillId="0" borderId="0" xfId="0" applyFont="1" applyAlignment="1" applyProtection="1">
      <alignment vertical="top"/>
    </xf>
    <xf numFmtId="0" fontId="52" fillId="0" borderId="0" xfId="0" applyFont="1" applyAlignment="1" applyProtection="1">
      <alignment vertical="top"/>
    </xf>
    <xf numFmtId="0" fontId="36" fillId="0" borderId="0" xfId="0" applyFont="1" applyAlignment="1" applyProtection="1">
      <alignment horizontal="right" vertical="top"/>
    </xf>
    <xf numFmtId="0" fontId="36" fillId="0" borderId="0" xfId="0" applyFont="1" applyAlignment="1" applyProtection="1">
      <alignment vertical="top"/>
    </xf>
    <xf numFmtId="0" fontId="51" fillId="0" borderId="0" xfId="0" applyFont="1" applyAlignment="1" applyProtection="1">
      <alignment horizontal="left" vertical="top"/>
    </xf>
    <xf numFmtId="0" fontId="52" fillId="0" borderId="0" xfId="0" applyFont="1" applyFill="1" applyBorder="1" applyAlignment="1" applyProtection="1">
      <alignment vertical="top"/>
    </xf>
    <xf numFmtId="0" fontId="0" fillId="0" borderId="0" xfId="0" applyFill="1" applyAlignment="1" applyProtection="1">
      <alignment vertical="top"/>
    </xf>
    <xf numFmtId="0" fontId="52" fillId="0" borderId="0" xfId="0" applyFont="1" applyFill="1" applyAlignment="1" applyProtection="1">
      <alignment vertical="top"/>
    </xf>
    <xf numFmtId="0" fontId="40" fillId="0" borderId="0" xfId="0" applyFont="1" applyFill="1" applyBorder="1" applyAlignment="1" applyProtection="1">
      <alignment horizontal="center" vertical="top" wrapText="1"/>
    </xf>
    <xf numFmtId="0" fontId="0" fillId="0" borderId="0" xfId="0" applyFill="1" applyBorder="1" applyAlignment="1" applyProtection="1">
      <alignment vertical="top"/>
    </xf>
    <xf numFmtId="0" fontId="39" fillId="0" borderId="0" xfId="0" applyFont="1" applyFill="1" applyAlignment="1" applyProtection="1">
      <alignment vertical="top"/>
    </xf>
    <xf numFmtId="0" fontId="51" fillId="0" borderId="0" xfId="0" applyFont="1" applyAlignment="1" applyProtection="1">
      <alignment vertical="top" wrapText="1"/>
    </xf>
    <xf numFmtId="0" fontId="43" fillId="0" borderId="0" xfId="0" applyFont="1" applyAlignment="1" applyProtection="1">
      <alignment vertical="top"/>
    </xf>
    <xf numFmtId="0" fontId="51" fillId="0" borderId="0" xfId="0" applyFont="1" applyAlignment="1" applyProtection="1">
      <alignment horizontal="left" vertical="top" wrapText="1"/>
    </xf>
    <xf numFmtId="0" fontId="49" fillId="0" borderId="0" xfId="0" applyFont="1" applyBorder="1" applyAlignment="1" applyProtection="1">
      <alignment horizontal="left" vertical="top" wrapText="1"/>
    </xf>
    <xf numFmtId="0" fontId="59" fillId="0" borderId="0" xfId="0" applyFont="1" applyBorder="1" applyAlignment="1" applyProtection="1">
      <alignment vertical="top"/>
    </xf>
    <xf numFmtId="15" fontId="51" fillId="0" borderId="0" xfId="0" applyNumberFormat="1" applyFont="1" applyBorder="1" applyAlignment="1" applyProtection="1">
      <alignment horizontal="left" vertical="top" wrapText="1"/>
    </xf>
    <xf numFmtId="0" fontId="52" fillId="0" borderId="0" xfId="0" applyFont="1" applyBorder="1" applyAlignment="1" applyProtection="1">
      <alignment vertical="top"/>
    </xf>
    <xf numFmtId="0" fontId="51" fillId="0" borderId="0" xfId="0" applyFont="1" applyBorder="1" applyAlignment="1" applyProtection="1">
      <alignment horizontal="left" vertical="top" wrapText="1"/>
    </xf>
    <xf numFmtId="14" fontId="51" fillId="0" borderId="0" xfId="0" applyNumberFormat="1" applyFont="1" applyBorder="1" applyAlignment="1" applyProtection="1">
      <alignment horizontal="left" vertical="top" wrapText="1"/>
    </xf>
    <xf numFmtId="0" fontId="51" fillId="0" borderId="0" xfId="0" applyFont="1" applyBorder="1" applyAlignment="1" applyProtection="1">
      <alignment vertical="top" wrapText="1"/>
    </xf>
    <xf numFmtId="0" fontId="0" fillId="0" borderId="0" xfId="0" applyBorder="1" applyAlignment="1" applyProtection="1">
      <alignment vertical="top"/>
    </xf>
    <xf numFmtId="0" fontId="0" fillId="0" borderId="0" xfId="0" applyFont="1" applyAlignment="1" applyProtection="1">
      <alignment vertical="top"/>
    </xf>
    <xf numFmtId="0" fontId="36" fillId="0" borderId="0" xfId="0" applyFont="1" applyAlignment="1" applyProtection="1">
      <alignment horizontal="justify" vertical="top"/>
    </xf>
    <xf numFmtId="0" fontId="16" fillId="0" borderId="0" xfId="0" applyFont="1" applyBorder="1" applyAlignment="1" applyProtection="1">
      <alignment vertical="top" wrapText="1"/>
    </xf>
    <xf numFmtId="0" fontId="0" fillId="0" borderId="0" xfId="0" applyFill="1" applyProtection="1"/>
    <xf numFmtId="0" fontId="0" fillId="0" borderId="0" xfId="0" applyFill="1" applyBorder="1" applyAlignment="1" applyProtection="1">
      <alignment horizontal="right" indent="1"/>
    </xf>
    <xf numFmtId="0" fontId="48" fillId="0" borderId="0" xfId="0" applyFont="1" applyAlignment="1" applyProtection="1"/>
    <xf numFmtId="0" fontId="48" fillId="0" borderId="0" xfId="0" applyFont="1" applyAlignment="1" applyProtection="1">
      <alignment horizontal="left" indent="5"/>
    </xf>
    <xf numFmtId="0" fontId="36" fillId="0" borderId="0" xfId="0" applyFont="1" applyFill="1" applyBorder="1" applyAlignment="1" applyProtection="1">
      <alignment horizontal="left" vertical="top"/>
    </xf>
    <xf numFmtId="8" fontId="38" fillId="0" borderId="0" xfId="0" applyNumberFormat="1" applyFont="1" applyFill="1" applyBorder="1" applyAlignment="1" applyProtection="1">
      <alignment horizontal="left" vertical="top" wrapText="1" indent="1"/>
    </xf>
    <xf numFmtId="0" fontId="36" fillId="0" borderId="0" xfId="0" applyFont="1" applyFill="1" applyAlignment="1" applyProtection="1">
      <alignment horizontal="left" vertical="center"/>
    </xf>
    <xf numFmtId="0" fontId="0" fillId="0" borderId="0" xfId="0" applyFill="1" applyBorder="1" applyAlignment="1" applyProtection="1">
      <alignment horizontal="left" vertical="center"/>
    </xf>
    <xf numFmtId="0" fontId="3" fillId="0" borderId="0" xfId="0" applyFont="1" applyFill="1" applyBorder="1" applyAlignment="1" applyProtection="1">
      <alignment horizontal="left" vertical="top" wrapText="1"/>
    </xf>
    <xf numFmtId="0" fontId="6" fillId="0" borderId="0" xfId="0" applyFont="1" applyAlignment="1" applyProtection="1">
      <alignment horizontal="left" vertical="top"/>
    </xf>
    <xf numFmtId="0" fontId="6" fillId="0" borderId="0" xfId="0" applyFont="1" applyAlignment="1" applyProtection="1">
      <alignment vertical="top"/>
    </xf>
    <xf numFmtId="0" fontId="13" fillId="0" borderId="0" xfId="0" applyFont="1" applyAlignment="1" applyProtection="1">
      <alignment horizontal="right" vertical="top"/>
    </xf>
    <xf numFmtId="0" fontId="13" fillId="0" borderId="0" xfId="0" applyFont="1" applyAlignment="1" applyProtection="1">
      <alignment vertical="top"/>
    </xf>
    <xf numFmtId="0" fontId="6" fillId="0" borderId="0" xfId="0" applyFont="1" applyAlignment="1" applyProtection="1"/>
    <xf numFmtId="0" fontId="6" fillId="0" borderId="0" xfId="0" applyFont="1" applyBorder="1" applyAlignment="1" applyProtection="1">
      <alignment vertical="top"/>
    </xf>
    <xf numFmtId="0" fontId="6" fillId="0" borderId="0" xfId="0" applyFont="1" applyProtection="1"/>
    <xf numFmtId="0" fontId="2" fillId="0" borderId="0" xfId="0" applyFont="1" applyAlignment="1" applyProtection="1">
      <alignment horizontal="left"/>
    </xf>
    <xf numFmtId="0" fontId="6" fillId="0" borderId="0" xfId="0" applyFont="1" applyAlignment="1" applyProtection="1">
      <alignment horizontal="left" indent="4"/>
    </xf>
    <xf numFmtId="0" fontId="6" fillId="0" borderId="0" xfId="0" applyFont="1" applyFill="1" applyBorder="1" applyAlignment="1" applyProtection="1">
      <alignment vertical="top"/>
    </xf>
    <xf numFmtId="0" fontId="2" fillId="0" borderId="18" xfId="0" applyFont="1" applyBorder="1" applyAlignment="1" applyProtection="1">
      <alignment horizontal="left" vertical="top" wrapText="1" indent="1"/>
    </xf>
    <xf numFmtId="0" fontId="6" fillId="0" borderId="33" xfId="0" applyFont="1" applyBorder="1" applyAlignment="1" applyProtection="1">
      <alignment horizontal="left" vertical="top" wrapText="1" indent="1"/>
    </xf>
    <xf numFmtId="0" fontId="6" fillId="0" borderId="15" xfId="0" applyFont="1" applyBorder="1" applyAlignment="1" applyProtection="1">
      <alignment horizontal="left" vertical="top" wrapText="1" indent="1"/>
    </xf>
    <xf numFmtId="0" fontId="14" fillId="0" borderId="0" xfId="0" applyFont="1" applyAlignment="1" applyProtection="1">
      <alignment horizontal="left" indent="4"/>
    </xf>
    <xf numFmtId="0" fontId="13" fillId="0" borderId="0" xfId="0" applyFont="1" applyAlignment="1" applyProtection="1">
      <alignment horizontal="left"/>
    </xf>
    <xf numFmtId="0" fontId="13" fillId="0" borderId="0" xfId="0" applyFont="1" applyBorder="1" applyAlignment="1" applyProtection="1">
      <alignment vertical="top"/>
    </xf>
    <xf numFmtId="10" fontId="6" fillId="0" borderId="0" xfId="0" applyNumberFormat="1" applyFont="1" applyBorder="1" applyAlignment="1" applyProtection="1">
      <alignment vertical="top"/>
    </xf>
    <xf numFmtId="0" fontId="51" fillId="25" borderId="22" xfId="0" applyFont="1" applyFill="1" applyBorder="1" applyAlignment="1" applyProtection="1">
      <alignment horizontal="center" vertical="center" wrapText="1"/>
      <protection locked="0"/>
    </xf>
    <xf numFmtId="0" fontId="51" fillId="25" borderId="65" xfId="0" applyFont="1" applyFill="1" applyBorder="1" applyAlignment="1" applyProtection="1">
      <alignment horizontal="center" vertical="center" wrapText="1"/>
      <protection locked="0"/>
    </xf>
    <xf numFmtId="0" fontId="51" fillId="25" borderId="24" xfId="0" applyFont="1" applyFill="1" applyBorder="1" applyAlignment="1" applyProtection="1">
      <alignment horizontal="center" vertical="center" wrapText="1"/>
      <protection locked="0"/>
    </xf>
    <xf numFmtId="0" fontId="39" fillId="0" borderId="59" xfId="0" applyFont="1" applyBorder="1" applyAlignment="1" applyProtection="1">
      <alignment horizontal="center" vertical="center" wrapText="1"/>
    </xf>
    <xf numFmtId="0" fontId="39" fillId="0" borderId="72" xfId="0" applyFont="1" applyBorder="1" applyAlignment="1" applyProtection="1">
      <alignment horizontal="center" vertical="center" wrapText="1"/>
    </xf>
    <xf numFmtId="0" fontId="39" fillId="0" borderId="23" xfId="0" applyFont="1" applyBorder="1" applyAlignment="1" applyProtection="1">
      <alignment horizontal="center" vertical="center" wrapText="1"/>
    </xf>
    <xf numFmtId="0" fontId="0" fillId="0" borderId="0" xfId="0" applyAlignment="1">
      <alignment horizontal="left"/>
    </xf>
    <xf numFmtId="0" fontId="38" fillId="0" borderId="0" xfId="0" applyFont="1" applyFill="1" applyBorder="1" applyAlignment="1" applyProtection="1">
      <alignment horizontal="center"/>
      <protection locked="0"/>
    </xf>
    <xf numFmtId="0" fontId="38" fillId="25" borderId="22" xfId="0" applyFont="1" applyFill="1" applyBorder="1" applyAlignment="1" applyProtection="1">
      <alignment horizontal="center"/>
      <protection locked="0"/>
    </xf>
    <xf numFmtId="0" fontId="38" fillId="0" borderId="0" xfId="0" applyFont="1" applyAlignment="1" applyProtection="1">
      <alignment horizontal="left" wrapText="1"/>
    </xf>
    <xf numFmtId="0" fontId="38" fillId="25" borderId="24" xfId="0" applyFont="1" applyFill="1" applyBorder="1" applyAlignment="1" applyProtection="1">
      <alignment horizontal="center"/>
      <protection locked="0"/>
    </xf>
    <xf numFmtId="0" fontId="38" fillId="0" borderId="29" xfId="0" applyFont="1" applyFill="1" applyBorder="1" applyAlignment="1" applyProtection="1">
      <alignment horizontal="left" vertical="top" wrapText="1" indent="1"/>
    </xf>
    <xf numFmtId="0" fontId="38" fillId="0" borderId="0" xfId="0" applyFont="1" applyFill="1" applyBorder="1" applyAlignment="1" applyProtection="1">
      <alignment horizontal="left" vertical="top" wrapText="1" indent="1"/>
      <protection locked="0"/>
    </xf>
    <xf numFmtId="49" fontId="38" fillId="0" borderId="29" xfId="0" applyNumberFormat="1" applyFont="1" applyFill="1" applyBorder="1" applyAlignment="1" applyProtection="1">
      <alignment horizontal="left" vertical="top" wrapText="1" indent="1"/>
    </xf>
    <xf numFmtId="0" fontId="36" fillId="0" borderId="0" xfId="0" applyFont="1" applyFill="1" applyAlignment="1" applyProtection="1">
      <alignment horizontal="left" vertical="top"/>
    </xf>
    <xf numFmtId="0" fontId="39" fillId="0" borderId="0" xfId="0" applyFont="1" applyFill="1" applyAlignment="1" applyProtection="1">
      <alignment horizontal="left" vertical="top"/>
    </xf>
    <xf numFmtId="0" fontId="38" fillId="0" borderId="0" xfId="0" applyFont="1" applyFill="1" applyBorder="1" applyAlignment="1" applyProtection="1">
      <alignment horizontal="left" vertical="top"/>
      <protection locked="0"/>
    </xf>
    <xf numFmtId="0" fontId="0" fillId="0" borderId="0" xfId="0" applyFill="1" applyAlignment="1" applyProtection="1">
      <alignment horizontal="left" vertical="top"/>
    </xf>
    <xf numFmtId="0" fontId="38" fillId="25" borderId="40" xfId="0" applyFont="1" applyFill="1" applyBorder="1" applyAlignment="1" applyProtection="1">
      <alignment vertical="top" wrapText="1"/>
      <protection locked="0"/>
    </xf>
    <xf numFmtId="0" fontId="38" fillId="25" borderId="34" xfId="0" applyFont="1" applyFill="1" applyBorder="1" applyAlignment="1" applyProtection="1">
      <alignment vertical="top" wrapText="1"/>
      <protection locked="0"/>
    </xf>
    <xf numFmtId="0" fontId="38" fillId="25" borderId="37" xfId="0" applyFont="1" applyFill="1" applyBorder="1" applyAlignment="1" applyProtection="1">
      <alignment vertical="top" wrapText="1"/>
      <protection locked="0"/>
    </xf>
    <xf numFmtId="0" fontId="39" fillId="0" borderId="14" xfId="0" applyFont="1" applyBorder="1" applyAlignment="1" applyProtection="1">
      <alignment horizontal="center" vertical="center"/>
    </xf>
    <xf numFmtId="14" fontId="38" fillId="25" borderId="35" xfId="0" applyNumberFormat="1" applyFont="1" applyFill="1" applyBorder="1" applyAlignment="1" applyProtection="1">
      <alignment horizontal="left" vertical="center" wrapText="1" indent="1"/>
      <protection locked="0"/>
    </xf>
    <xf numFmtId="14" fontId="38" fillId="25" borderId="27" xfId="0" applyNumberFormat="1" applyFont="1" applyFill="1" applyBorder="1" applyAlignment="1" applyProtection="1">
      <alignment horizontal="left" vertical="center" wrapText="1" indent="1"/>
      <protection locked="0"/>
    </xf>
    <xf numFmtId="0" fontId="39" fillId="0" borderId="15" xfId="0" applyFont="1" applyBorder="1" applyAlignment="1" applyProtection="1">
      <alignment horizontal="center" vertical="center"/>
    </xf>
    <xf numFmtId="0" fontId="39" fillId="0" borderId="24" xfId="0" applyFont="1" applyBorder="1" applyAlignment="1" applyProtection="1">
      <alignment horizontal="center" vertical="center"/>
    </xf>
    <xf numFmtId="0" fontId="39" fillId="0" borderId="26" xfId="0" applyFont="1" applyBorder="1" applyAlignment="1" applyProtection="1">
      <alignment horizontal="center" vertical="center"/>
    </xf>
    <xf numFmtId="0" fontId="39" fillId="0" borderId="10" xfId="0" applyFont="1" applyBorder="1" applyAlignment="1">
      <alignment horizontal="center" vertical="center"/>
    </xf>
    <xf numFmtId="0" fontId="39" fillId="0" borderId="13" xfId="0" applyFont="1" applyBorder="1" applyAlignment="1">
      <alignment horizontal="center" vertical="center"/>
    </xf>
    <xf numFmtId="165" fontId="6" fillId="25" borderId="35" xfId="0" applyNumberFormat="1" applyFont="1" applyFill="1" applyBorder="1" applyAlignment="1" applyProtection="1">
      <alignment horizontal="center"/>
      <protection locked="0"/>
    </xf>
    <xf numFmtId="0" fontId="6" fillId="25" borderId="27" xfId="0" applyFont="1" applyFill="1" applyBorder="1" applyAlignment="1" applyProtection="1">
      <alignment horizontal="center"/>
      <protection locked="0"/>
    </xf>
    <xf numFmtId="165" fontId="38" fillId="25" borderId="33" xfId="0" applyNumberFormat="1" applyFont="1" applyFill="1" applyBorder="1" applyAlignment="1" applyProtection="1">
      <alignment horizontal="center"/>
      <protection locked="0"/>
    </xf>
    <xf numFmtId="165" fontId="38" fillId="25" borderId="15" xfId="0" applyNumberFormat="1" applyFont="1" applyFill="1" applyBorder="1" applyAlignment="1" applyProtection="1">
      <alignment horizontal="center"/>
      <protection locked="0"/>
    </xf>
    <xf numFmtId="165" fontId="38" fillId="0" borderId="0" xfId="0" applyNumberFormat="1" applyFont="1" applyFill="1" applyBorder="1" applyAlignment="1" applyProtection="1">
      <alignment horizontal="center"/>
      <protection locked="0"/>
    </xf>
    <xf numFmtId="0" fontId="6" fillId="0" borderId="0" xfId="0" applyFont="1" applyFill="1" applyBorder="1" applyAlignment="1" applyProtection="1">
      <alignment horizontal="center"/>
      <protection locked="0"/>
    </xf>
    <xf numFmtId="0" fontId="44" fillId="0" borderId="0" xfId="0" applyFont="1" applyFill="1" applyAlignment="1" applyProtection="1">
      <alignment horizontal="left" vertical="top"/>
    </xf>
    <xf numFmtId="0" fontId="58" fillId="0" borderId="0" xfId="0" applyFont="1" applyFill="1" applyAlignment="1" applyProtection="1">
      <alignment horizontal="left" vertical="top"/>
    </xf>
    <xf numFmtId="0" fontId="38" fillId="0" borderId="0" xfId="0" applyFont="1" applyFill="1" applyAlignment="1" applyProtection="1">
      <alignment vertical="top"/>
    </xf>
    <xf numFmtId="0" fontId="51" fillId="0" borderId="0" xfId="0" applyFont="1" applyFill="1" applyAlignment="1" applyProtection="1">
      <alignment vertical="top"/>
    </xf>
    <xf numFmtId="0" fontId="39" fillId="0" borderId="13" xfId="0" applyFont="1" applyBorder="1" applyAlignment="1">
      <alignment horizontal="center" vertical="center"/>
    </xf>
    <xf numFmtId="0" fontId="6" fillId="25" borderId="27" xfId="0" applyFont="1" applyFill="1" applyBorder="1" applyAlignment="1" applyProtection="1">
      <alignment horizontal="center"/>
      <protection locked="0"/>
    </xf>
    <xf numFmtId="0" fontId="38" fillId="25" borderId="22" xfId="0" applyFont="1" applyFill="1" applyBorder="1" applyAlignment="1" applyProtection="1">
      <alignment horizontal="center"/>
      <protection locked="0"/>
    </xf>
    <xf numFmtId="0" fontId="38" fillId="0" borderId="0" xfId="0" applyFont="1" applyAlignment="1" applyProtection="1">
      <alignment horizontal="left" wrapText="1"/>
    </xf>
    <xf numFmtId="0" fontId="38" fillId="0" borderId="0" xfId="0" applyFont="1" applyAlignment="1" applyProtection="1">
      <alignment horizontal="left" vertical="top" wrapText="1"/>
    </xf>
    <xf numFmtId="0" fontId="38" fillId="25" borderId="24" xfId="0" applyFont="1" applyFill="1" applyBorder="1" applyAlignment="1" applyProtection="1">
      <alignment horizontal="center"/>
      <protection locked="0"/>
    </xf>
    <xf numFmtId="0" fontId="38" fillId="0" borderId="0" xfId="0" applyFont="1" applyAlignment="1" applyProtection="1">
      <alignment horizontal="left" vertical="top" wrapText="1"/>
    </xf>
    <xf numFmtId="0" fontId="38" fillId="0" borderId="0" xfId="0" applyFont="1" applyAlignment="1" applyProtection="1">
      <alignment horizontal="left"/>
    </xf>
    <xf numFmtId="0" fontId="44" fillId="0" borderId="0" xfId="0" applyFont="1" applyAlignment="1">
      <alignment vertical="top"/>
    </xf>
    <xf numFmtId="0" fontId="39" fillId="0" borderId="0" xfId="0" applyFont="1" applyAlignment="1">
      <alignment vertical="top"/>
    </xf>
    <xf numFmtId="0" fontId="38" fillId="0" borderId="0" xfId="0" applyFont="1" applyAlignment="1">
      <alignment vertical="top"/>
    </xf>
    <xf numFmtId="0" fontId="36" fillId="0" borderId="0" xfId="0" applyFont="1" applyAlignment="1">
      <alignment horizontal="right"/>
    </xf>
    <xf numFmtId="0" fontId="38" fillId="0" borderId="0" xfId="0" applyFont="1" applyAlignment="1">
      <alignment horizontal="right" indent="1"/>
    </xf>
    <xf numFmtId="0" fontId="38" fillId="0" borderId="0" xfId="0" applyFont="1" applyFill="1" applyBorder="1" applyAlignment="1">
      <alignment horizontal="left"/>
    </xf>
    <xf numFmtId="0" fontId="39" fillId="0" borderId="13" xfId="0" applyFont="1" applyBorder="1" applyAlignment="1">
      <alignment horizontal="center"/>
    </xf>
    <xf numFmtId="0" fontId="45" fillId="0" borderId="0" xfId="0" applyFont="1" applyAlignment="1"/>
    <xf numFmtId="0" fontId="42" fillId="0" borderId="0" xfId="0" applyFont="1"/>
    <xf numFmtId="0" fontId="38" fillId="0" borderId="0" xfId="0" applyFont="1" applyFill="1" applyBorder="1" applyAlignment="1">
      <alignment vertical="top" wrapText="1"/>
    </xf>
    <xf numFmtId="0" fontId="38" fillId="0" borderId="0" xfId="0" applyFont="1" applyFill="1" applyBorder="1"/>
    <xf numFmtId="0" fontId="0" fillId="0" borderId="0" xfId="0" applyFill="1" applyBorder="1"/>
    <xf numFmtId="0" fontId="38" fillId="0" borderId="0" xfId="0" applyFont="1" applyFill="1" applyBorder="1" applyAlignment="1">
      <alignment horizontal="center" wrapText="1"/>
    </xf>
    <xf numFmtId="0" fontId="0" fillId="0" borderId="0" xfId="0" applyFill="1"/>
    <xf numFmtId="0" fontId="39" fillId="0" borderId="10" xfId="0" applyFont="1" applyBorder="1" applyAlignment="1">
      <alignment horizontal="center" vertical="center" wrapText="1"/>
    </xf>
    <xf numFmtId="0" fontId="39" fillId="0" borderId="13" xfId="0" applyFont="1" applyBorder="1" applyAlignment="1">
      <alignment horizontal="center" vertical="center" wrapText="1"/>
    </xf>
    <xf numFmtId="0" fontId="39" fillId="0" borderId="17" xfId="0" applyFont="1" applyBorder="1" applyAlignment="1">
      <alignment horizontal="center" vertical="center" wrapText="1"/>
    </xf>
    <xf numFmtId="0" fontId="38" fillId="0" borderId="0" xfId="0" applyFont="1" applyFill="1" applyBorder="1" applyAlignment="1">
      <alignment horizontal="center"/>
    </xf>
    <xf numFmtId="2" fontId="38" fillId="0" borderId="0" xfId="0" applyNumberFormat="1" applyFont="1" applyFill="1" applyBorder="1"/>
    <xf numFmtId="2" fontId="38" fillId="0" borderId="0" xfId="0" applyNumberFormat="1" applyFont="1" applyFill="1" applyBorder="1" applyAlignment="1">
      <alignment horizontal="right" vertical="top" wrapText="1"/>
    </xf>
    <xf numFmtId="2" fontId="38" fillId="0" borderId="0" xfId="0" applyNumberFormat="1" applyFont="1" applyFill="1" applyBorder="1" applyAlignment="1">
      <alignment vertical="top"/>
    </xf>
    <xf numFmtId="0" fontId="38" fillId="0" borderId="0" xfId="0" applyFont="1" applyBorder="1" applyAlignment="1">
      <alignment vertical="top" wrapText="1"/>
    </xf>
    <xf numFmtId="0" fontId="38" fillId="0" borderId="0" xfId="0" applyFont="1" applyFill="1" applyBorder="1" applyAlignment="1">
      <alignment horizontal="center" vertical="top" wrapText="1"/>
    </xf>
    <xf numFmtId="0" fontId="38" fillId="25" borderId="27" xfId="0" applyFont="1" applyFill="1" applyBorder="1" applyAlignment="1" applyProtection="1">
      <alignment horizontal="center"/>
      <protection locked="0"/>
    </xf>
    <xf numFmtId="0" fontId="0" fillId="25" borderId="24" xfId="0" applyFill="1" applyBorder="1" applyAlignment="1" applyProtection="1">
      <alignment horizontal="center"/>
      <protection locked="0"/>
    </xf>
    <xf numFmtId="0" fontId="38" fillId="25" borderId="30" xfId="0" applyFont="1" applyFill="1" applyBorder="1" applyAlignment="1" applyProtection="1">
      <alignment vertical="center"/>
      <protection locked="0"/>
    </xf>
    <xf numFmtId="0" fontId="39" fillId="25" borderId="33" xfId="0" applyFont="1" applyFill="1" applyBorder="1" applyAlignment="1" applyProtection="1">
      <alignment horizontal="center" vertical="top" wrapText="1"/>
      <protection locked="0"/>
    </xf>
    <xf numFmtId="0" fontId="39" fillId="25" borderId="22" xfId="0" applyFont="1" applyFill="1" applyBorder="1" applyAlignment="1" applyProtection="1">
      <alignment horizontal="center" vertical="top" wrapText="1"/>
      <protection locked="0"/>
    </xf>
    <xf numFmtId="0" fontId="39" fillId="25" borderId="29" xfId="0" applyFont="1" applyFill="1" applyBorder="1" applyAlignment="1" applyProtection="1">
      <alignment horizontal="center" vertical="top" wrapText="1"/>
      <protection locked="0"/>
    </xf>
    <xf numFmtId="0" fontId="38" fillId="25" borderId="33" xfId="0" applyFont="1" applyFill="1" applyBorder="1" applyAlignment="1" applyProtection="1">
      <alignment horizontal="center"/>
      <protection locked="0"/>
    </xf>
    <xf numFmtId="2" fontId="38" fillId="25" borderId="22" xfId="0" applyNumberFormat="1" applyFont="1" applyFill="1" applyBorder="1" applyProtection="1">
      <protection locked="0"/>
    </xf>
    <xf numFmtId="2" fontId="38" fillId="25" borderId="22" xfId="0" applyNumberFormat="1" applyFont="1" applyFill="1" applyBorder="1" applyAlignment="1" applyProtection="1">
      <alignment horizontal="right" vertical="top" wrapText="1"/>
      <protection locked="0"/>
    </xf>
    <xf numFmtId="0" fontId="38" fillId="25" borderId="15" xfId="0" applyFont="1" applyFill="1" applyBorder="1" applyAlignment="1" applyProtection="1">
      <alignment horizontal="center"/>
      <protection locked="0"/>
    </xf>
    <xf numFmtId="2" fontId="38" fillId="25" borderId="24" xfId="0" applyNumberFormat="1" applyFont="1" applyFill="1" applyBorder="1" applyProtection="1">
      <protection locked="0"/>
    </xf>
    <xf numFmtId="2" fontId="38" fillId="25" borderId="24" xfId="0" applyNumberFormat="1" applyFont="1" applyFill="1" applyBorder="1" applyAlignment="1" applyProtection="1">
      <alignment horizontal="right" vertical="top" wrapText="1"/>
      <protection locked="0"/>
    </xf>
    <xf numFmtId="0" fontId="39" fillId="25" borderId="18" xfId="0" applyFont="1" applyFill="1" applyBorder="1" applyAlignment="1" applyProtection="1">
      <alignment horizontal="center" vertical="top" wrapText="1"/>
      <protection locked="0"/>
    </xf>
    <xf numFmtId="0" fontId="39" fillId="25" borderId="65" xfId="0" applyFont="1" applyFill="1" applyBorder="1" applyAlignment="1" applyProtection="1">
      <alignment horizontal="center" vertical="top" wrapText="1"/>
      <protection locked="0"/>
    </xf>
    <xf numFmtId="0" fontId="39" fillId="25" borderId="58" xfId="0" applyFont="1" applyFill="1" applyBorder="1" applyAlignment="1" applyProtection="1">
      <alignment horizontal="center" vertical="top" wrapText="1"/>
      <protection locked="0"/>
    </xf>
    <xf numFmtId="0" fontId="8" fillId="0" borderId="0" xfId="0" applyFont="1" applyFill="1" applyAlignment="1" applyProtection="1">
      <alignment horizontal="right"/>
    </xf>
    <xf numFmtId="0" fontId="39" fillId="0" borderId="0" xfId="0" applyFont="1" applyFill="1" applyAlignment="1">
      <alignment horizontal="left" vertical="center"/>
    </xf>
    <xf numFmtId="0" fontId="6" fillId="0" borderId="0" xfId="0" applyFont="1" applyFill="1" applyBorder="1" applyAlignment="1" applyProtection="1">
      <alignment horizontal="center" vertical="center"/>
      <protection locked="0"/>
    </xf>
    <xf numFmtId="0" fontId="2" fillId="0" borderId="0" xfId="0" applyFont="1" applyFill="1" applyAlignment="1" applyProtection="1">
      <alignment horizontal="right"/>
    </xf>
    <xf numFmtId="0" fontId="64" fillId="0" borderId="0" xfId="92" applyFont="1" applyAlignment="1" applyProtection="1"/>
    <xf numFmtId="0" fontId="64" fillId="0" borderId="0" xfId="92" applyFont="1" applyBorder="1" applyAlignment="1" applyProtection="1"/>
    <xf numFmtId="0" fontId="64" fillId="0" borderId="0" xfId="92" applyFont="1" applyAlignment="1" applyProtection="1">
      <alignment horizontal="left"/>
    </xf>
    <xf numFmtId="0" fontId="64" fillId="0" borderId="0" xfId="92" applyFont="1" applyAlignment="1" applyProtection="1">
      <alignment horizontal="left" vertical="center"/>
    </xf>
    <xf numFmtId="0" fontId="64" fillId="0" borderId="0" xfId="92" applyFont="1" applyAlignment="1" applyProtection="1">
      <alignment vertical="center"/>
    </xf>
    <xf numFmtId="0" fontId="44" fillId="0" borderId="0" xfId="0" applyFont="1" applyFill="1" applyAlignment="1" applyProtection="1">
      <alignment horizontal="right"/>
    </xf>
    <xf numFmtId="49" fontId="0" fillId="0" borderId="0" xfId="0" applyNumberFormat="1" applyFill="1" applyProtection="1"/>
    <xf numFmtId="0" fontId="35" fillId="0" borderId="0" xfId="0" applyFont="1" applyFill="1" applyProtection="1"/>
    <xf numFmtId="0" fontId="39" fillId="0" borderId="0" xfId="0" applyFont="1" applyAlignment="1" applyProtection="1">
      <alignment vertical="top" wrapText="1"/>
    </xf>
    <xf numFmtId="0" fontId="39" fillId="0" borderId="0" xfId="0" applyFont="1" applyAlignment="1" applyProtection="1">
      <alignment horizontal="left" vertical="top" wrapText="1"/>
    </xf>
    <xf numFmtId="49" fontId="38" fillId="0" borderId="0" xfId="0" applyNumberFormat="1" applyFont="1" applyFill="1" applyProtection="1"/>
    <xf numFmtId="0" fontId="44" fillId="0" borderId="0" xfId="0" applyFont="1" applyFill="1" applyAlignment="1" applyProtection="1"/>
    <xf numFmtId="0" fontId="44" fillId="0" borderId="0" xfId="0" applyFont="1" applyFill="1" applyAlignment="1" applyProtection="1">
      <alignment vertical="top"/>
    </xf>
    <xf numFmtId="0" fontId="64" fillId="0" borderId="0" xfId="92" applyFont="1" applyAlignment="1" applyProtection="1">
      <alignment vertical="top"/>
    </xf>
    <xf numFmtId="0" fontId="51" fillId="0" borderId="34" xfId="0" quotePrefix="1" applyFont="1" applyFill="1" applyBorder="1" applyAlignment="1">
      <alignment horizontal="left" vertical="top" wrapText="1"/>
    </xf>
    <xf numFmtId="0" fontId="51" fillId="0" borderId="34" xfId="0" applyFont="1" applyFill="1" applyBorder="1" applyAlignment="1">
      <alignment horizontal="left" vertical="top" wrapText="1"/>
    </xf>
    <xf numFmtId="0" fontId="38" fillId="0" borderId="34" xfId="0" applyFont="1" applyBorder="1" applyAlignment="1">
      <alignment horizontal="left" vertical="top"/>
    </xf>
    <xf numFmtId="0" fontId="38" fillId="0" borderId="34" xfId="0" quotePrefix="1" applyFont="1" applyBorder="1" applyAlignment="1">
      <alignment horizontal="left" vertical="top"/>
    </xf>
    <xf numFmtId="0" fontId="38" fillId="0" borderId="34" xfId="0" quotePrefix="1" applyFont="1" applyFill="1" applyBorder="1" applyAlignment="1">
      <alignment horizontal="left" vertical="top"/>
    </xf>
    <xf numFmtId="0" fontId="38" fillId="0" borderId="37" xfId="0" applyFont="1" applyBorder="1" applyAlignment="1">
      <alignment horizontal="left" vertical="top"/>
    </xf>
    <xf numFmtId="0" fontId="49" fillId="0" borderId="30" xfId="0" applyFont="1" applyFill="1" applyBorder="1" applyAlignment="1">
      <alignment horizontal="left" vertical="top" wrapText="1"/>
    </xf>
    <xf numFmtId="0" fontId="39" fillId="0" borderId="17" xfId="0" applyFont="1" applyFill="1" applyBorder="1" applyAlignment="1">
      <alignment horizontal="center" vertical="top" wrapText="1"/>
    </xf>
    <xf numFmtId="0" fontId="51" fillId="0" borderId="18" xfId="0" applyFont="1" applyFill="1" applyBorder="1" applyAlignment="1">
      <alignment horizontal="left" vertical="top" wrapText="1"/>
    </xf>
    <xf numFmtId="0" fontId="51" fillId="0" borderId="40" xfId="0" quotePrefix="1" applyFont="1" applyFill="1" applyBorder="1" applyAlignment="1">
      <alignment horizontal="left" vertical="top" wrapText="1"/>
    </xf>
    <xf numFmtId="0" fontId="38" fillId="0" borderId="39" xfId="0" applyFont="1" applyFill="1" applyBorder="1" applyAlignment="1">
      <alignment horizontal="left" vertical="top" wrapText="1"/>
    </xf>
    <xf numFmtId="0" fontId="64" fillId="0" borderId="0" xfId="92" applyFont="1" applyFill="1" applyAlignment="1" applyProtection="1"/>
    <xf numFmtId="0" fontId="6" fillId="0" borderId="0" xfId="0" applyFont="1" applyFill="1" applyBorder="1" applyAlignment="1" applyProtection="1">
      <alignment horizontal="left" vertical="center"/>
      <protection locked="0"/>
    </xf>
    <xf numFmtId="0" fontId="38" fillId="0" borderId="0" xfId="0" applyFont="1" applyFill="1" applyAlignment="1" applyProtection="1">
      <alignment horizontal="left" vertical="center"/>
    </xf>
    <xf numFmtId="0" fontId="44" fillId="0" borderId="0" xfId="0" applyFont="1" applyAlignment="1" applyProtection="1">
      <alignment horizontal="left" vertical="center" wrapText="1"/>
    </xf>
    <xf numFmtId="0" fontId="52" fillId="0" borderId="0" xfId="0" applyFont="1" applyFill="1" applyAlignment="1" applyProtection="1">
      <alignment horizontal="left" vertical="center"/>
    </xf>
    <xf numFmtId="0" fontId="51" fillId="0" borderId="0" xfId="0" applyFont="1" applyFill="1" applyAlignment="1" applyProtection="1">
      <alignment horizontal="left" vertical="center"/>
    </xf>
    <xf numFmtId="2" fontId="38" fillId="25" borderId="22" xfId="0" applyNumberFormat="1" applyFont="1" applyFill="1" applyBorder="1" applyAlignment="1" applyProtection="1">
      <alignment vertical="top"/>
      <protection locked="0"/>
    </xf>
    <xf numFmtId="2" fontId="38" fillId="25" borderId="24" xfId="0" applyNumberFormat="1" applyFont="1" applyFill="1" applyBorder="1" applyAlignment="1" applyProtection="1">
      <alignment vertical="top"/>
      <protection locked="0"/>
    </xf>
    <xf numFmtId="0" fontId="39" fillId="0" borderId="18" xfId="0" applyFont="1" applyBorder="1" applyAlignment="1">
      <alignment horizontal="center"/>
    </xf>
    <xf numFmtId="0" fontId="39" fillId="0" borderId="33" xfId="0" applyFont="1" applyBorder="1" applyAlignment="1">
      <alignment horizontal="center"/>
    </xf>
    <xf numFmtId="0" fontId="39" fillId="0" borderId="15" xfId="0" applyFont="1" applyBorder="1" applyAlignment="1">
      <alignment horizontal="center"/>
    </xf>
    <xf numFmtId="0" fontId="38" fillId="0" borderId="0" xfId="0" applyFont="1" applyFill="1" applyBorder="1" applyAlignment="1"/>
    <xf numFmtId="0" fontId="39" fillId="24" borderId="33" xfId="0" applyFont="1" applyFill="1" applyBorder="1" applyAlignment="1">
      <alignment horizontal="center" vertical="top" wrapText="1"/>
    </xf>
    <xf numFmtId="0" fontId="39" fillId="24" borderId="22" xfId="0" applyFont="1" applyFill="1" applyBorder="1" applyAlignment="1">
      <alignment horizontal="center" vertical="top" wrapText="1"/>
    </xf>
    <xf numFmtId="0" fontId="38" fillId="24" borderId="33" xfId="0" applyFont="1" applyFill="1" applyBorder="1" applyAlignment="1">
      <alignment horizontal="center"/>
    </xf>
    <xf numFmtId="2" fontId="38" fillId="24" borderId="22" xfId="0" applyNumberFormat="1" applyFont="1" applyFill="1" applyBorder="1"/>
    <xf numFmtId="2" fontId="38" fillId="24" borderId="22" xfId="0" applyNumberFormat="1" applyFont="1" applyFill="1" applyBorder="1" applyAlignment="1">
      <alignment horizontal="right" vertical="top" wrapText="1"/>
    </xf>
    <xf numFmtId="0" fontId="38" fillId="24" borderId="15" xfId="0" applyFont="1" applyFill="1" applyBorder="1" applyAlignment="1">
      <alignment horizontal="center"/>
    </xf>
    <xf numFmtId="2" fontId="38" fillId="24" borderId="24" xfId="0" applyNumberFormat="1" applyFont="1" applyFill="1" applyBorder="1"/>
    <xf numFmtId="2" fontId="38" fillId="24" borderId="24" xfId="0" applyNumberFormat="1" applyFont="1" applyFill="1" applyBorder="1" applyAlignment="1">
      <alignment horizontal="right" vertical="top" wrapText="1"/>
    </xf>
    <xf numFmtId="2" fontId="38" fillId="24" borderId="22" xfId="0" applyNumberFormat="1" applyFont="1" applyFill="1" applyBorder="1" applyAlignment="1">
      <alignment vertical="top"/>
    </xf>
    <xf numFmtId="2" fontId="38" fillId="24" borderId="24" xfId="0" applyNumberFormat="1" applyFont="1" applyFill="1" applyBorder="1" applyAlignment="1">
      <alignment vertical="top"/>
    </xf>
    <xf numFmtId="9" fontId="51" fillId="26" borderId="58" xfId="0" applyNumberFormat="1" applyFont="1" applyFill="1" applyBorder="1" applyAlignment="1" applyProtection="1">
      <alignment horizontal="center" vertical="center" wrapText="1"/>
      <protection locked="0"/>
    </xf>
    <xf numFmtId="9" fontId="51" fillId="26" borderId="29" xfId="0" applyNumberFormat="1" applyFont="1" applyFill="1" applyBorder="1" applyAlignment="1" applyProtection="1">
      <alignment horizontal="center" vertical="center" wrapText="1"/>
      <protection locked="0"/>
    </xf>
    <xf numFmtId="0" fontId="51" fillId="26" borderId="29" xfId="0" applyFont="1" applyFill="1" applyBorder="1" applyAlignment="1" applyProtection="1">
      <alignment horizontal="center" vertical="center" wrapText="1"/>
      <protection locked="0"/>
    </xf>
    <xf numFmtId="0" fontId="51" fillId="26" borderId="26" xfId="0" applyFont="1" applyFill="1" applyBorder="1" applyAlignment="1" applyProtection="1">
      <alignment horizontal="center" vertical="center" wrapText="1"/>
      <protection locked="0"/>
    </xf>
    <xf numFmtId="0" fontId="51" fillId="26" borderId="40" xfId="0" applyFont="1" applyFill="1" applyBorder="1" applyAlignment="1" applyProtection="1">
      <alignment horizontal="center" vertical="center" wrapText="1"/>
      <protection locked="0"/>
    </xf>
    <xf numFmtId="0" fontId="51" fillId="26" borderId="48" xfId="0" applyFont="1" applyFill="1" applyBorder="1" applyAlignment="1" applyProtection="1">
      <alignment horizontal="center" vertical="center" wrapText="1"/>
      <protection locked="0"/>
    </xf>
    <xf numFmtId="0" fontId="51" fillId="26" borderId="34" xfId="0" applyFont="1" applyFill="1" applyBorder="1" applyAlignment="1" applyProtection="1">
      <alignment horizontal="center" vertical="center" wrapText="1"/>
      <protection locked="0"/>
    </xf>
    <xf numFmtId="0" fontId="51" fillId="26" borderId="37" xfId="0" applyFont="1" applyFill="1" applyBorder="1" applyAlignment="1" applyProtection="1">
      <alignment horizontal="center" vertical="center" wrapText="1"/>
      <protection locked="0"/>
    </xf>
    <xf numFmtId="0" fontId="51" fillId="26" borderId="34" xfId="0" applyFont="1" applyFill="1" applyBorder="1" applyAlignment="1" applyProtection="1">
      <alignment horizontal="center" vertical="center"/>
      <protection locked="0"/>
    </xf>
    <xf numFmtId="0" fontId="51" fillId="26" borderId="37" xfId="0" applyFont="1" applyFill="1" applyBorder="1" applyAlignment="1" applyProtection="1">
      <alignment horizontal="center" vertical="center"/>
      <protection locked="0"/>
    </xf>
    <xf numFmtId="0" fontId="38" fillId="0" borderId="0" xfId="0" applyFont="1" applyAlignment="1" applyProtection="1">
      <alignment horizontal="left" vertical="top" wrapText="1"/>
    </xf>
    <xf numFmtId="0" fontId="38" fillId="0" borderId="0" xfId="0" applyFont="1" applyBorder="1" applyAlignment="1" applyProtection="1">
      <alignment horizontal="left" vertical="top" wrapText="1"/>
    </xf>
    <xf numFmtId="0" fontId="38" fillId="0" borderId="45" xfId="0" applyFont="1" applyFill="1" applyBorder="1" applyAlignment="1" applyProtection="1">
      <alignment horizontal="left" vertical="top" wrapText="1" indent="1"/>
    </xf>
    <xf numFmtId="0" fontId="38" fillId="0" borderId="42" xfId="0" applyFont="1" applyFill="1" applyBorder="1" applyAlignment="1" applyProtection="1">
      <alignment horizontal="left" vertical="top" wrapText="1" indent="1"/>
    </xf>
    <xf numFmtId="0" fontId="38" fillId="0" borderId="31" xfId="0" applyFont="1" applyFill="1" applyBorder="1" applyAlignment="1" applyProtection="1">
      <alignment horizontal="left" vertical="top" wrapText="1" indent="1"/>
    </xf>
    <xf numFmtId="0" fontId="44" fillId="0" borderId="0" xfId="0" applyFont="1" applyAlignment="1" applyProtection="1">
      <protection hidden="1"/>
    </xf>
    <xf numFmtId="0" fontId="38" fillId="0" borderId="0" xfId="0" applyFont="1" applyAlignment="1" applyProtection="1">
      <protection hidden="1"/>
    </xf>
    <xf numFmtId="0" fontId="38" fillId="0" borderId="0" xfId="0" applyFont="1" applyAlignment="1" applyProtection="1">
      <alignment horizontal="left" wrapText="1"/>
      <protection hidden="1"/>
    </xf>
    <xf numFmtId="0" fontId="38" fillId="0" borderId="0" xfId="0" applyFont="1" applyProtection="1">
      <protection hidden="1"/>
    </xf>
    <xf numFmtId="0" fontId="39" fillId="0" borderId="10" xfId="0" applyFont="1" applyBorder="1" applyAlignment="1" applyProtection="1">
      <alignment horizontal="center" vertical="center"/>
      <protection hidden="1"/>
    </xf>
    <xf numFmtId="0" fontId="39" fillId="0" borderId="13" xfId="0" applyFont="1" applyBorder="1" applyAlignment="1" applyProtection="1">
      <alignment horizontal="center" vertical="center"/>
      <protection hidden="1"/>
    </xf>
    <xf numFmtId="14" fontId="6" fillId="25" borderId="35" xfId="0" applyNumberFormat="1" applyFont="1" applyFill="1" applyBorder="1" applyAlignment="1" applyProtection="1">
      <alignment horizontal="center" vertical="top"/>
      <protection hidden="1"/>
    </xf>
    <xf numFmtId="0" fontId="6" fillId="25" borderId="27" xfId="0" applyFont="1" applyFill="1" applyBorder="1" applyAlignment="1" applyProtection="1">
      <alignment horizontal="center" vertical="top"/>
      <protection hidden="1"/>
    </xf>
    <xf numFmtId="14" fontId="38" fillId="25" borderId="33" xfId="0" applyNumberFormat="1" applyFont="1" applyFill="1" applyBorder="1" applyAlignment="1" applyProtection="1">
      <alignment horizontal="center" vertical="top"/>
      <protection hidden="1"/>
    </xf>
    <xf numFmtId="0" fontId="38" fillId="25" borderId="22" xfId="0" applyFont="1" applyFill="1" applyBorder="1" applyAlignment="1" applyProtection="1">
      <alignment horizontal="center" vertical="top"/>
      <protection hidden="1"/>
    </xf>
    <xf numFmtId="14" fontId="38" fillId="25" borderId="33" xfId="0" applyNumberFormat="1" applyFont="1" applyFill="1" applyBorder="1" applyAlignment="1" applyProtection="1">
      <alignment horizontal="left" vertical="top"/>
      <protection hidden="1"/>
    </xf>
    <xf numFmtId="0" fontId="38" fillId="25" borderId="22" xfId="0" applyFont="1" applyFill="1" applyBorder="1" applyAlignment="1" applyProtection="1">
      <alignment horizontal="left" vertical="top"/>
      <protection hidden="1"/>
    </xf>
    <xf numFmtId="14" fontId="38" fillId="25" borderId="15" xfId="0" applyNumberFormat="1" applyFont="1" applyFill="1" applyBorder="1" applyAlignment="1" applyProtection="1">
      <alignment horizontal="left" vertical="top"/>
      <protection hidden="1"/>
    </xf>
    <xf numFmtId="0" fontId="38" fillId="25" borderId="24" xfId="0" applyFont="1" applyFill="1" applyBorder="1" applyAlignment="1" applyProtection="1">
      <alignment horizontal="left" vertical="top"/>
      <protection hidden="1"/>
    </xf>
    <xf numFmtId="0" fontId="39" fillId="0" borderId="25" xfId="0" applyFont="1" applyBorder="1" applyAlignment="1" applyProtection="1">
      <alignment horizontal="center" vertical="center" wrapText="1"/>
    </xf>
    <xf numFmtId="0" fontId="39" fillId="0" borderId="72" xfId="0" applyFont="1" applyBorder="1" applyAlignment="1" applyProtection="1">
      <alignment horizontal="center" vertical="center" wrapText="1"/>
    </xf>
    <xf numFmtId="0" fontId="51" fillId="25" borderId="22" xfId="0" applyFont="1" applyFill="1" applyBorder="1" applyAlignment="1" applyProtection="1">
      <alignment horizontal="center" vertical="center" wrapText="1"/>
      <protection locked="0"/>
    </xf>
    <xf numFmtId="0" fontId="39" fillId="0" borderId="16" xfId="0" applyFont="1" applyBorder="1" applyAlignment="1" applyProtection="1">
      <alignment horizontal="center" vertical="center" wrapText="1"/>
    </xf>
    <xf numFmtId="0" fontId="51" fillId="25" borderId="65" xfId="0" applyFont="1" applyFill="1" applyBorder="1" applyAlignment="1" applyProtection="1">
      <alignment horizontal="center" vertical="center" wrapText="1"/>
      <protection locked="0"/>
    </xf>
    <xf numFmtId="0" fontId="38" fillId="0" borderId="0" xfId="0" applyFont="1" applyAlignment="1" applyProtection="1">
      <alignment horizontal="left" vertical="top" wrapText="1"/>
    </xf>
    <xf numFmtId="0" fontId="39" fillId="0" borderId="10" xfId="0" applyFont="1" applyBorder="1" applyAlignment="1" applyProtection="1">
      <alignment horizontal="center" vertical="center" wrapText="1"/>
    </xf>
    <xf numFmtId="0" fontId="39" fillId="0" borderId="13" xfId="0" applyFont="1" applyBorder="1" applyAlignment="1" applyProtection="1">
      <alignment horizontal="center" vertical="center" wrapText="1"/>
    </xf>
    <xf numFmtId="0" fontId="38" fillId="0" borderId="0" xfId="0" applyFont="1" applyFill="1" applyBorder="1" applyAlignment="1" applyProtection="1">
      <alignment horizontal="center" vertical="center"/>
    </xf>
    <xf numFmtId="0" fontId="38" fillId="0" borderId="0" xfId="0" applyFont="1" applyBorder="1" applyAlignment="1" applyProtection="1">
      <alignment horizontal="left" vertical="top" wrapText="1"/>
    </xf>
    <xf numFmtId="0" fontId="38" fillId="0" borderId="0" xfId="0" applyFont="1" applyFill="1" applyBorder="1" applyAlignment="1" applyProtection="1">
      <alignment horizontal="left" vertical="top" wrapText="1"/>
    </xf>
    <xf numFmtId="0" fontId="51" fillId="25" borderId="24" xfId="0" applyFont="1" applyFill="1" applyBorder="1" applyAlignment="1" applyProtection="1">
      <alignment horizontal="center" vertical="center" wrapText="1"/>
      <protection locked="0"/>
    </xf>
    <xf numFmtId="0" fontId="38" fillId="25" borderId="33" xfId="0" applyFont="1" applyFill="1" applyBorder="1" applyAlignment="1" applyProtection="1">
      <alignment horizontal="left" vertical="top" wrapText="1" indent="1"/>
      <protection locked="0"/>
    </xf>
    <xf numFmtId="0" fontId="39" fillId="0" borderId="47" xfId="0" applyFont="1" applyBorder="1" applyAlignment="1" applyProtection="1">
      <alignment horizontal="center" vertical="top" wrapText="1"/>
    </xf>
    <xf numFmtId="0" fontId="38" fillId="24" borderId="27" xfId="0" applyFont="1" applyFill="1" applyBorder="1" applyAlignment="1" applyProtection="1">
      <alignment horizontal="left" vertical="top" wrapText="1" indent="1"/>
      <protection locked="0"/>
    </xf>
    <xf numFmtId="0" fontId="38" fillId="24" borderId="31" xfId="0" applyFont="1" applyFill="1" applyBorder="1" applyAlignment="1" applyProtection="1">
      <alignment horizontal="left" vertical="top" wrapText="1" indent="1"/>
      <protection locked="0"/>
    </xf>
    <xf numFmtId="0" fontId="38" fillId="24" borderId="22" xfId="0" applyFont="1" applyFill="1" applyBorder="1" applyAlignment="1" applyProtection="1">
      <alignment horizontal="left" vertical="top" wrapText="1" indent="1"/>
      <protection locked="0"/>
    </xf>
    <xf numFmtId="0" fontId="38" fillId="24" borderId="32" xfId="0" applyFont="1" applyFill="1" applyBorder="1" applyAlignment="1" applyProtection="1">
      <alignment horizontal="center" vertical="top" wrapText="1"/>
      <protection locked="0"/>
    </xf>
    <xf numFmtId="0" fontId="39" fillId="0" borderId="17" xfId="0" applyFont="1" applyBorder="1" applyAlignment="1" applyProtection="1">
      <alignment horizontal="center" vertical="center" wrapText="1"/>
    </xf>
    <xf numFmtId="14" fontId="51" fillId="0" borderId="0" xfId="0" applyNumberFormat="1" applyFont="1" applyFill="1" applyBorder="1" applyAlignment="1" applyProtection="1">
      <alignment horizontal="left" vertical="center" wrapText="1" indent="1"/>
    </xf>
    <xf numFmtId="0" fontId="38" fillId="24" borderId="66" xfId="0" applyFont="1" applyFill="1" applyBorder="1" applyAlignment="1" applyProtection="1">
      <alignment horizontal="left" vertical="top" wrapText="1" indent="1"/>
      <protection locked="0"/>
    </xf>
    <xf numFmtId="0" fontId="38" fillId="24" borderId="24" xfId="0" applyFont="1" applyFill="1" applyBorder="1" applyAlignment="1" applyProtection="1">
      <alignment horizontal="left" vertical="top" wrapText="1" indent="1"/>
      <protection locked="0"/>
    </xf>
    <xf numFmtId="0" fontId="39" fillId="0" borderId="13" xfId="0" applyFont="1" applyBorder="1" applyAlignment="1" applyProtection="1">
      <alignment horizontal="left" vertical="top" wrapText="1" indent="1"/>
    </xf>
    <xf numFmtId="0" fontId="38" fillId="25" borderId="35" xfId="0" applyFont="1" applyFill="1" applyBorder="1" applyAlignment="1" applyProtection="1">
      <alignment horizontal="left" vertical="top" wrapText="1" indent="1"/>
      <protection locked="0"/>
    </xf>
    <xf numFmtId="14" fontId="51" fillId="27" borderId="66" xfId="0" applyNumberFormat="1" applyFont="1" applyFill="1" applyBorder="1" applyAlignment="1" applyProtection="1">
      <alignment horizontal="left" vertical="center" wrapText="1" indent="1"/>
    </xf>
    <xf numFmtId="14" fontId="51" fillId="27" borderId="24" xfId="0" applyNumberFormat="1" applyFont="1" applyFill="1" applyBorder="1" applyAlignment="1" applyProtection="1">
      <alignment horizontal="left" vertical="center" wrapText="1" indent="1"/>
    </xf>
    <xf numFmtId="14" fontId="51" fillId="27" borderId="32" xfId="0" applyNumberFormat="1" applyFont="1" applyFill="1" applyBorder="1" applyAlignment="1" applyProtection="1">
      <alignment horizontal="left" vertical="center" wrapText="1" indent="1"/>
    </xf>
    <xf numFmtId="14" fontId="51" fillId="27" borderId="27" xfId="0" applyNumberFormat="1" applyFont="1" applyFill="1" applyBorder="1" applyAlignment="1" applyProtection="1">
      <alignment horizontal="left" vertical="center" wrapText="1" indent="1"/>
    </xf>
    <xf numFmtId="14" fontId="51" fillId="27" borderId="65" xfId="0" applyNumberFormat="1" applyFont="1" applyFill="1" applyBorder="1" applyAlignment="1" applyProtection="1">
      <alignment horizontal="left" vertical="center" wrapText="1" indent="1"/>
    </xf>
    <xf numFmtId="14" fontId="51" fillId="27" borderId="22" xfId="0" applyNumberFormat="1" applyFont="1" applyFill="1" applyBorder="1" applyAlignment="1" applyProtection="1">
      <alignment horizontal="left" vertical="center" wrapText="1" indent="1"/>
    </xf>
    <xf numFmtId="0" fontId="49" fillId="0" borderId="25" xfId="0" applyFont="1" applyBorder="1" applyAlignment="1" applyProtection="1">
      <alignment horizontal="center" vertical="center" wrapText="1"/>
    </xf>
    <xf numFmtId="49" fontId="38" fillId="25" borderId="49" xfId="0" applyNumberFormat="1" applyFont="1" applyFill="1" applyBorder="1" applyAlignment="1" applyProtection="1">
      <alignment vertical="center" wrapText="1"/>
      <protection locked="0"/>
    </xf>
    <xf numFmtId="49" fontId="38" fillId="25" borderId="31" xfId="0" applyNumberFormat="1" applyFont="1" applyFill="1" applyBorder="1" applyAlignment="1" applyProtection="1">
      <alignment vertical="center" wrapText="1"/>
      <protection locked="0"/>
    </xf>
    <xf numFmtId="0" fontId="51" fillId="25" borderId="31" xfId="0" applyFont="1" applyFill="1" applyBorder="1" applyAlignment="1" applyProtection="1">
      <alignment horizontal="left" vertical="center" wrapText="1"/>
      <protection locked="0"/>
    </xf>
    <xf numFmtId="0" fontId="51" fillId="25" borderId="32" xfId="0" applyFont="1" applyFill="1" applyBorder="1" applyAlignment="1" applyProtection="1">
      <alignment horizontal="left" vertical="center" wrapText="1"/>
      <protection locked="0"/>
    </xf>
    <xf numFmtId="14" fontId="51" fillId="27" borderId="58" xfId="0" applyNumberFormat="1" applyFont="1" applyFill="1" applyBorder="1" applyAlignment="1" applyProtection="1">
      <alignment horizontal="left" vertical="center" wrapText="1" indent="1"/>
    </xf>
    <xf numFmtId="14" fontId="51" fillId="27" borderId="29" xfId="0" applyNumberFormat="1" applyFont="1" applyFill="1" applyBorder="1" applyAlignment="1" applyProtection="1">
      <alignment horizontal="left" vertical="center" wrapText="1" indent="1"/>
    </xf>
    <xf numFmtId="14" fontId="51" fillId="27" borderId="26" xfId="0" applyNumberFormat="1" applyFont="1" applyFill="1" applyBorder="1" applyAlignment="1" applyProtection="1">
      <alignment horizontal="left" vertical="center" wrapText="1" indent="1"/>
    </xf>
    <xf numFmtId="0" fontId="49" fillId="0" borderId="0" xfId="0" applyFont="1" applyBorder="1" applyAlignment="1" applyProtection="1">
      <alignment horizontal="center" vertical="top" wrapText="1"/>
    </xf>
    <xf numFmtId="0" fontId="38" fillId="25" borderId="20" xfId="0" applyFont="1" applyFill="1" applyBorder="1" applyAlignment="1" applyProtection="1">
      <alignment vertical="top" wrapText="1"/>
      <protection locked="0"/>
    </xf>
    <xf numFmtId="0" fontId="38" fillId="25" borderId="79" xfId="0" applyFont="1" applyFill="1" applyBorder="1" applyAlignment="1" applyProtection="1">
      <alignment vertical="top" wrapText="1"/>
      <protection locked="0"/>
    </xf>
    <xf numFmtId="0" fontId="59" fillId="0" borderId="80" xfId="0" applyFont="1" applyFill="1" applyBorder="1" applyAlignment="1" applyProtection="1">
      <alignment vertical="top" wrapText="1"/>
    </xf>
    <xf numFmtId="0" fontId="36" fillId="0" borderId="19" xfId="0" applyFont="1" applyFill="1" applyBorder="1" applyAlignment="1" applyProtection="1">
      <alignment vertical="top" wrapText="1"/>
    </xf>
    <xf numFmtId="0" fontId="38" fillId="0" borderId="0" xfId="0" applyFont="1" applyAlignment="1" applyProtection="1">
      <alignment horizontal="left"/>
    </xf>
    <xf numFmtId="0" fontId="36" fillId="0" borderId="0" xfId="0" applyFont="1" applyAlignment="1" applyProtection="1"/>
    <xf numFmtId="0" fontId="46" fillId="0" borderId="0" xfId="0" applyFont="1" applyFill="1" applyBorder="1" applyAlignment="1" applyProtection="1">
      <alignment vertical="center"/>
    </xf>
    <xf numFmtId="0" fontId="38" fillId="0" borderId="0" xfId="0" applyFont="1" applyAlignment="1" applyProtection="1">
      <alignment horizontal="left" vertical="center" wrapText="1"/>
    </xf>
    <xf numFmtId="0" fontId="38" fillId="0" borderId="0" xfId="0" applyFont="1" applyAlignment="1" applyProtection="1">
      <alignment horizontal="left" wrapText="1"/>
    </xf>
    <xf numFmtId="0" fontId="38" fillId="0" borderId="0" xfId="0" applyFont="1" applyAlignment="1" applyProtection="1">
      <alignment horizontal="left" vertical="top" wrapText="1"/>
    </xf>
    <xf numFmtId="0" fontId="39" fillId="0" borderId="72" xfId="0" applyFont="1" applyBorder="1" applyAlignment="1" applyProtection="1">
      <alignment horizontal="center" vertical="center" wrapText="1"/>
    </xf>
    <xf numFmtId="0" fontId="38" fillId="0" borderId="0" xfId="0" applyFont="1" applyFill="1" applyBorder="1" applyAlignment="1" applyProtection="1">
      <alignment horizontal="left" vertical="top" wrapText="1"/>
    </xf>
    <xf numFmtId="0" fontId="38" fillId="0" borderId="0" xfId="0" applyFont="1" applyFill="1" applyBorder="1" applyAlignment="1" applyProtection="1">
      <alignment horizontal="left" vertical="top" wrapText="1"/>
      <protection locked="0"/>
    </xf>
    <xf numFmtId="0" fontId="38" fillId="0" borderId="0" xfId="0" applyFont="1" applyAlignment="1" applyProtection="1">
      <alignment vertical="center" wrapText="1"/>
    </xf>
    <xf numFmtId="0" fontId="38" fillId="0" borderId="0" xfId="0" applyFont="1" applyFill="1" applyBorder="1" applyAlignment="1" applyProtection="1">
      <alignment horizontal="left" vertical="top" wrapText="1" indent="1"/>
      <protection locked="0"/>
    </xf>
    <xf numFmtId="0" fontId="46" fillId="0" borderId="0" xfId="0" applyFont="1" applyFill="1" applyBorder="1" applyAlignment="1" applyProtection="1">
      <alignment vertical="center" wrapText="1"/>
    </xf>
    <xf numFmtId="0" fontId="36" fillId="0" borderId="0" xfId="0" applyFont="1" applyBorder="1" applyAlignment="1" applyProtection="1">
      <alignment horizontal="right"/>
    </xf>
    <xf numFmtId="0" fontId="36" fillId="28" borderId="16" xfId="0" applyFont="1" applyFill="1" applyBorder="1" applyAlignment="1" applyProtection="1">
      <alignment wrapText="1"/>
    </xf>
    <xf numFmtId="0" fontId="38" fillId="28" borderId="10" xfId="0" applyFont="1" applyFill="1" applyBorder="1" applyAlignment="1" applyProtection="1">
      <alignment horizontal="left" vertical="top" wrapText="1"/>
    </xf>
    <xf numFmtId="0" fontId="38" fillId="28" borderId="19" xfId="0" applyFont="1" applyFill="1" applyBorder="1" applyAlignment="1" applyProtection="1">
      <alignment horizontal="left" vertical="top" wrapText="1"/>
    </xf>
    <xf numFmtId="0" fontId="0" fillId="0" borderId="0" xfId="0" applyFont="1" applyAlignment="1" applyProtection="1">
      <alignment horizontal="right" wrapText="1"/>
    </xf>
    <xf numFmtId="0" fontId="0" fillId="28" borderId="16" xfId="0" applyFont="1" applyFill="1" applyBorder="1" applyAlignment="1" applyProtection="1">
      <alignment wrapText="1"/>
    </xf>
    <xf numFmtId="0" fontId="0" fillId="0" borderId="0" xfId="0" applyFont="1" applyAlignment="1" applyProtection="1">
      <alignment wrapText="1"/>
    </xf>
    <xf numFmtId="0" fontId="36" fillId="0" borderId="0" xfId="0" applyFont="1" applyAlignment="1" applyProtection="1">
      <alignment wrapText="1"/>
    </xf>
    <xf numFmtId="0" fontId="39" fillId="28" borderId="10" xfId="0" applyFont="1" applyFill="1" applyBorder="1" applyAlignment="1" applyProtection="1">
      <alignment horizontal="left" vertical="top" wrapText="1"/>
    </xf>
    <xf numFmtId="0" fontId="39" fillId="28" borderId="19" xfId="0" applyFont="1" applyFill="1" applyBorder="1" applyAlignment="1" applyProtection="1">
      <alignment horizontal="left" vertical="top" wrapText="1"/>
    </xf>
    <xf numFmtId="0" fontId="38" fillId="0" borderId="0" xfId="0" applyFont="1" applyAlignment="1" applyProtection="1">
      <alignment horizontal="left" vertical="center" wrapText="1"/>
    </xf>
    <xf numFmtId="0" fontId="38" fillId="0" borderId="0" xfId="0" applyFont="1" applyAlignment="1" applyProtection="1">
      <alignment horizontal="left"/>
    </xf>
    <xf numFmtId="0" fontId="38" fillId="0" borderId="0" xfId="0" applyFont="1" applyFill="1" applyBorder="1" applyAlignment="1" applyProtection="1">
      <alignment horizontal="left" vertical="top" wrapText="1"/>
    </xf>
    <xf numFmtId="0" fontId="38" fillId="0" borderId="0" xfId="0" applyFont="1" applyFill="1" applyBorder="1" applyAlignment="1" applyProtection="1">
      <alignment horizontal="left" vertical="top" wrapText="1" indent="1"/>
      <protection locked="0"/>
    </xf>
    <xf numFmtId="0" fontId="39" fillId="0" borderId="0" xfId="0" applyFont="1" applyAlignment="1" applyProtection="1">
      <alignment wrapText="1"/>
    </xf>
    <xf numFmtId="0" fontId="38" fillId="0" borderId="0" xfId="0" applyFont="1" applyFill="1" applyBorder="1" applyAlignment="1" applyProtection="1">
      <alignment horizontal="left" vertical="top" indent="1"/>
      <protection locked="0"/>
    </xf>
    <xf numFmtId="0" fontId="0" fillId="0" borderId="0" xfId="0" applyFont="1" applyAlignment="1" applyProtection="1">
      <alignment horizontal="right"/>
    </xf>
    <xf numFmtId="0" fontId="38" fillId="0" borderId="0" xfId="0" applyFont="1" applyBorder="1" applyAlignment="1" applyProtection="1">
      <alignment vertical="center" wrapText="1"/>
    </xf>
    <xf numFmtId="0" fontId="58" fillId="0" borderId="0" xfId="0" applyFont="1" applyFill="1" applyBorder="1" applyAlignment="1" applyProtection="1">
      <alignment horizontal="left" vertical="top" wrapText="1" indent="1"/>
      <protection locked="0"/>
    </xf>
    <xf numFmtId="0" fontId="58" fillId="0" borderId="0" xfId="0" applyFont="1" applyFill="1" applyProtection="1"/>
    <xf numFmtId="0" fontId="67" fillId="0" borderId="0" xfId="0" applyFont="1" applyFill="1" applyBorder="1" applyProtection="1"/>
    <xf numFmtId="0" fontId="58" fillId="0" borderId="0" xfId="0" applyFont="1" applyProtection="1"/>
    <xf numFmtId="0" fontId="58" fillId="0" borderId="0" xfId="0" applyFont="1" applyFill="1" applyBorder="1" applyAlignment="1" applyProtection="1">
      <alignment vertical="center" wrapText="1"/>
    </xf>
    <xf numFmtId="0" fontId="67" fillId="0" borderId="0" xfId="0" applyFont="1" applyBorder="1" applyProtection="1"/>
    <xf numFmtId="0" fontId="58" fillId="0" borderId="0" xfId="0" applyFont="1" applyFill="1" applyBorder="1" applyProtection="1"/>
    <xf numFmtId="0" fontId="44" fillId="0" borderId="0" xfId="0" applyFont="1" applyProtection="1"/>
    <xf numFmtId="0" fontId="44" fillId="0" borderId="0" xfId="0" applyFont="1" applyAlignment="1" applyProtection="1">
      <alignment horizontal="right" vertical="center"/>
    </xf>
    <xf numFmtId="0" fontId="44" fillId="0" borderId="0" xfId="0" applyFont="1" applyAlignment="1" applyProtection="1">
      <alignment vertical="center"/>
    </xf>
    <xf numFmtId="0" fontId="58" fillId="0" borderId="0" xfId="0" applyFont="1" applyAlignment="1" applyProtection="1">
      <alignment vertical="center"/>
    </xf>
    <xf numFmtId="0" fontId="67" fillId="0" borderId="0" xfId="0" applyFont="1" applyBorder="1" applyAlignment="1" applyProtection="1">
      <alignment vertical="center"/>
    </xf>
    <xf numFmtId="0" fontId="67" fillId="0" borderId="0" xfId="0" applyFont="1" applyAlignment="1" applyProtection="1">
      <alignment horizontal="left"/>
    </xf>
    <xf numFmtId="0" fontId="68" fillId="0" borderId="0" xfId="0" applyFont="1" applyBorder="1" applyProtection="1"/>
    <xf numFmtId="0" fontId="44" fillId="0" borderId="0" xfId="0" applyFont="1" applyAlignment="1" applyProtection="1">
      <alignment horizontal="left" vertical="center"/>
    </xf>
    <xf numFmtId="0" fontId="58" fillId="0" borderId="0" xfId="0" applyFont="1" applyFill="1" applyBorder="1" applyAlignment="1" applyProtection="1">
      <alignment horizontal="left" vertical="top"/>
    </xf>
    <xf numFmtId="0" fontId="44" fillId="0" borderId="0" xfId="0" applyFont="1" applyAlignment="1" applyProtection="1">
      <alignment horizontal="left"/>
    </xf>
    <xf numFmtId="0" fontId="44" fillId="0" borderId="0" xfId="0" applyFont="1" applyBorder="1" applyAlignment="1" applyProtection="1"/>
    <xf numFmtId="0" fontId="69" fillId="0" borderId="0" xfId="0" applyFont="1" applyAlignment="1" applyProtection="1">
      <alignment horizontal="right"/>
    </xf>
    <xf numFmtId="0" fontId="70" fillId="0" borderId="0" xfId="0" applyFont="1" applyAlignment="1" applyProtection="1"/>
    <xf numFmtId="0" fontId="71" fillId="0" borderId="0" xfId="0" applyFont="1" applyProtection="1"/>
    <xf numFmtId="0" fontId="72" fillId="0" borderId="0" xfId="0" applyFont="1" applyBorder="1" applyProtection="1"/>
    <xf numFmtId="0" fontId="39" fillId="0" borderId="0" xfId="0" applyFont="1" applyFill="1" applyBorder="1" applyProtection="1"/>
    <xf numFmtId="0" fontId="39" fillId="0" borderId="0" xfId="0" applyFont="1" applyFill="1" applyProtection="1"/>
    <xf numFmtId="0" fontId="0" fillId="0" borderId="0" xfId="0" applyBorder="1" applyAlignment="1">
      <alignment horizontal="left" vertical="top" wrapText="1" indent="1"/>
    </xf>
    <xf numFmtId="0" fontId="38" fillId="0" borderId="0" xfId="0" applyFont="1" applyFill="1" applyBorder="1" applyAlignment="1" applyProtection="1">
      <alignment horizontal="left" vertical="top" wrapText="1"/>
    </xf>
    <xf numFmtId="0" fontId="38" fillId="0" borderId="0" xfId="0" applyFont="1" applyAlignment="1" applyProtection="1">
      <alignment horizontal="left" wrapText="1"/>
    </xf>
    <xf numFmtId="0" fontId="38" fillId="0" borderId="0" xfId="0" applyFont="1" applyAlignment="1" applyProtection="1">
      <alignment horizontal="left" vertical="center" wrapText="1"/>
    </xf>
    <xf numFmtId="0" fontId="38" fillId="0" borderId="0" xfId="0" applyFont="1" applyAlignment="1" applyProtection="1">
      <alignment horizontal="left"/>
    </xf>
    <xf numFmtId="0" fontId="38" fillId="0" borderId="0" xfId="0" applyFont="1" applyFill="1" applyBorder="1" applyAlignment="1" applyProtection="1">
      <alignment horizontal="left" vertical="top" wrapText="1" indent="1"/>
    </xf>
    <xf numFmtId="0" fontId="38" fillId="0" borderId="0" xfId="0" applyFont="1" applyFill="1" applyBorder="1" applyAlignment="1" applyProtection="1">
      <alignment horizontal="left" vertical="top" wrapText="1" indent="1"/>
      <protection locked="0"/>
    </xf>
    <xf numFmtId="0" fontId="6" fillId="24" borderId="16" xfId="0" applyFont="1" applyFill="1" applyBorder="1" applyAlignment="1" applyProtection="1">
      <alignment horizontal="left" vertical="top"/>
      <protection locked="0"/>
    </xf>
    <xf numFmtId="0" fontId="6" fillId="24" borderId="50" xfId="0" applyFont="1" applyFill="1" applyBorder="1" applyAlignment="1" applyProtection="1">
      <alignment horizontal="left" vertical="top"/>
      <protection locked="0"/>
    </xf>
    <xf numFmtId="0" fontId="6" fillId="24" borderId="51" xfId="0" applyFont="1" applyFill="1" applyBorder="1" applyAlignment="1" applyProtection="1">
      <alignment horizontal="left" vertical="top"/>
      <protection locked="0"/>
    </xf>
    <xf numFmtId="0" fontId="13" fillId="0" borderId="0" xfId="0" applyFont="1" applyAlignment="1" applyProtection="1">
      <alignment horizontal="right" vertical="top" wrapText="1"/>
    </xf>
    <xf numFmtId="0" fontId="36" fillId="0" borderId="0" xfId="0" applyFont="1" applyAlignment="1" applyProtection="1">
      <alignment vertical="top" wrapText="1"/>
    </xf>
    <xf numFmtId="0" fontId="13" fillId="28" borderId="16" xfId="0" applyFont="1" applyFill="1" applyBorder="1" applyAlignment="1" applyProtection="1">
      <alignment vertical="top" wrapText="1"/>
    </xf>
    <xf numFmtId="0" fontId="2" fillId="28" borderId="16" xfId="0" applyFont="1" applyFill="1" applyBorder="1" applyAlignment="1" applyProtection="1">
      <alignment horizontal="left" vertical="top" wrapText="1"/>
    </xf>
    <xf numFmtId="0" fontId="2" fillId="28" borderId="19" xfId="0" applyFont="1" applyFill="1" applyBorder="1" applyAlignment="1" applyProtection="1">
      <alignment horizontal="left" vertical="top" wrapText="1"/>
    </xf>
    <xf numFmtId="0" fontId="6" fillId="0" borderId="59" xfId="0" applyFont="1" applyBorder="1" applyAlignment="1" applyProtection="1"/>
    <xf numFmtId="0" fontId="0" fillId="0" borderId="60" xfId="0" applyBorder="1" applyAlignment="1" applyProtection="1">
      <alignment vertical="top"/>
    </xf>
    <xf numFmtId="0" fontId="6" fillId="0" borderId="57" xfId="0" applyFont="1" applyBorder="1" applyAlignment="1" applyProtection="1"/>
    <xf numFmtId="0" fontId="0" fillId="0" borderId="61" xfId="0" applyBorder="1" applyAlignment="1" applyProtection="1">
      <alignment vertical="top"/>
    </xf>
    <xf numFmtId="0" fontId="6" fillId="0" borderId="62" xfId="0" applyFont="1" applyBorder="1" applyAlignment="1" applyProtection="1"/>
    <xf numFmtId="0" fontId="0" fillId="0" borderId="64" xfId="0" applyBorder="1" applyAlignment="1" applyProtection="1">
      <alignment vertical="top"/>
    </xf>
    <xf numFmtId="0" fontId="36" fillId="0" borderId="0" xfId="0" applyFont="1" applyProtection="1"/>
    <xf numFmtId="0" fontId="39" fillId="28" borderId="10" xfId="0" applyFont="1" applyFill="1" applyBorder="1" applyAlignment="1" applyProtection="1">
      <alignment horizontal="left" vertical="top" indent="1"/>
    </xf>
    <xf numFmtId="0" fontId="39" fillId="28" borderId="19" xfId="0" applyFont="1" applyFill="1" applyBorder="1" applyAlignment="1" applyProtection="1">
      <alignment horizontal="left" vertical="top" wrapText="1" indent="1"/>
    </xf>
    <xf numFmtId="0" fontId="0" fillId="0" borderId="0" xfId="0" applyFill="1" applyBorder="1" applyAlignment="1">
      <alignment horizontal="left" vertical="top" wrapText="1" indent="1"/>
    </xf>
    <xf numFmtId="0" fontId="38" fillId="0" borderId="64" xfId="0" applyFont="1" applyFill="1" applyBorder="1" applyAlignment="1" applyProtection="1"/>
    <xf numFmtId="0" fontId="38" fillId="0" borderId="80" xfId="0" applyFont="1" applyBorder="1" applyAlignment="1" applyProtection="1">
      <alignment horizontal="left" vertical="top" indent="1"/>
    </xf>
    <xf numFmtId="0" fontId="38" fillId="0" borderId="81" xfId="0" applyFont="1" applyBorder="1" applyAlignment="1" applyProtection="1">
      <alignment horizontal="left" vertical="top" indent="1"/>
    </xf>
    <xf numFmtId="0" fontId="38" fillId="0" borderId="79" xfId="0" applyFont="1" applyBorder="1" applyAlignment="1" applyProtection="1">
      <alignment horizontal="left" vertical="top" indent="1"/>
    </xf>
    <xf numFmtId="0" fontId="0" fillId="0" borderId="80" xfId="0" applyBorder="1" applyProtection="1"/>
    <xf numFmtId="0" fontId="0" fillId="0" borderId="81" xfId="0" applyBorder="1" applyProtection="1"/>
    <xf numFmtId="0" fontId="38" fillId="0" borderId="79" xfId="0" applyFont="1" applyFill="1" applyBorder="1" applyAlignment="1" applyProtection="1"/>
    <xf numFmtId="0" fontId="0" fillId="0" borderId="80" xfId="0" applyBorder="1" applyAlignment="1" applyProtection="1">
      <alignment wrapText="1"/>
    </xf>
    <xf numFmtId="0" fontId="0" fillId="0" borderId="81" xfId="0" applyBorder="1" applyAlignment="1" applyProtection="1">
      <alignment wrapText="1"/>
    </xf>
    <xf numFmtId="0" fontId="0" fillId="0" borderId="79" xfId="0" applyBorder="1" applyAlignment="1" applyProtection="1">
      <alignment wrapText="1"/>
    </xf>
    <xf numFmtId="0" fontId="36" fillId="0" borderId="80" xfId="0" applyFont="1" applyBorder="1" applyAlignment="1" applyProtection="1">
      <alignment horizontal="center" wrapText="1"/>
    </xf>
    <xf numFmtId="0" fontId="36" fillId="0" borderId="81" xfId="0" applyFont="1" applyBorder="1" applyAlignment="1" applyProtection="1">
      <alignment horizontal="center" wrapText="1"/>
    </xf>
    <xf numFmtId="0" fontId="36" fillId="0" borderId="79" xfId="0" applyFont="1" applyBorder="1" applyAlignment="1" applyProtection="1">
      <alignment horizontal="center" wrapText="1"/>
    </xf>
    <xf numFmtId="0" fontId="39" fillId="28" borderId="47" xfId="0" applyFont="1" applyFill="1" applyBorder="1" applyAlignment="1" applyProtection="1">
      <alignment horizontal="left" vertical="top" wrapText="1" indent="1"/>
    </xf>
    <xf numFmtId="0" fontId="48" fillId="0" borderId="80" xfId="0" applyFont="1" applyBorder="1" applyAlignment="1" applyProtection="1">
      <alignment horizontal="left" indent="5"/>
    </xf>
    <xf numFmtId="0" fontId="48" fillId="0" borderId="81" xfId="0" applyFont="1" applyBorder="1" applyAlignment="1" applyProtection="1">
      <alignment horizontal="left" indent="5"/>
    </xf>
    <xf numFmtId="0" fontId="48" fillId="0" borderId="79" xfId="0" applyFont="1" applyBorder="1" applyAlignment="1" applyProtection="1">
      <alignment horizontal="left" indent="5"/>
    </xf>
    <xf numFmtId="0" fontId="0" fillId="0" borderId="79" xfId="0" applyBorder="1" applyProtection="1"/>
    <xf numFmtId="0" fontId="36" fillId="28" borderId="19" xfId="0" applyFont="1" applyFill="1" applyBorder="1" applyAlignment="1" applyProtection="1">
      <alignment wrapText="1"/>
    </xf>
    <xf numFmtId="0" fontId="0" fillId="0" borderId="0" xfId="0" applyFont="1" applyFill="1" applyBorder="1" applyAlignment="1" applyProtection="1">
      <alignment horizontal="center" vertical="center"/>
    </xf>
    <xf numFmtId="0" fontId="0" fillId="0" borderId="0" xfId="0" applyFont="1" applyFill="1" applyBorder="1" applyAlignment="1" applyProtection="1">
      <alignment horizontal="center" vertical="center"/>
      <protection locked="0"/>
    </xf>
    <xf numFmtId="0" fontId="39" fillId="0" borderId="0" xfId="0" applyFont="1" applyFill="1" applyAlignment="1" applyProtection="1">
      <alignment vertical="center"/>
    </xf>
    <xf numFmtId="14" fontId="38" fillId="0" borderId="0" xfId="0" applyNumberFormat="1" applyFont="1" applyFill="1" applyBorder="1" applyAlignment="1" applyProtection="1">
      <alignment vertical="center"/>
      <protection locked="0"/>
    </xf>
    <xf numFmtId="0" fontId="39" fillId="0" borderId="0" xfId="0" applyFont="1" applyFill="1" applyBorder="1" applyAlignment="1" applyProtection="1">
      <alignment vertical="center"/>
    </xf>
    <xf numFmtId="0" fontId="51" fillId="0" borderId="80" xfId="0" applyFont="1" applyFill="1" applyBorder="1" applyAlignment="1" applyProtection="1">
      <alignment horizontal="left" vertical="center"/>
      <protection locked="0"/>
    </xf>
    <xf numFmtId="0" fontId="51" fillId="0" borderId="81" xfId="0" applyFont="1" applyFill="1" applyBorder="1" applyAlignment="1" applyProtection="1">
      <alignment horizontal="left" vertical="center"/>
      <protection locked="0"/>
    </xf>
    <xf numFmtId="0" fontId="51" fillId="0" borderId="79" xfId="0" applyFont="1" applyFill="1" applyBorder="1" applyAlignment="1" applyProtection="1">
      <alignment horizontal="left" vertical="center"/>
      <protection locked="0"/>
    </xf>
    <xf numFmtId="0" fontId="60" fillId="0" borderId="80" xfId="0" applyFont="1" applyFill="1" applyBorder="1" applyAlignment="1" applyProtection="1">
      <alignment horizontal="left" vertical="center"/>
      <protection locked="0"/>
    </xf>
    <xf numFmtId="0" fontId="60" fillId="0" borderId="81" xfId="0" applyFont="1" applyFill="1" applyBorder="1" applyAlignment="1" applyProtection="1">
      <alignment horizontal="left" vertical="center"/>
      <protection locked="0"/>
    </xf>
    <xf numFmtId="0" fontId="60" fillId="0" borderId="79" xfId="0" applyFont="1" applyFill="1" applyBorder="1" applyAlignment="1" applyProtection="1">
      <alignment horizontal="left" vertical="center"/>
      <protection locked="0"/>
    </xf>
    <xf numFmtId="0" fontId="38" fillId="0" borderId="80" xfId="0" applyFont="1" applyFill="1" applyBorder="1" applyAlignment="1" applyProtection="1">
      <alignment horizontal="center" vertical="center"/>
      <protection locked="0"/>
    </xf>
    <xf numFmtId="0" fontId="38" fillId="0" borderId="81" xfId="0" applyFont="1" applyFill="1" applyBorder="1" applyAlignment="1" applyProtection="1">
      <alignment horizontal="center" vertical="center"/>
      <protection locked="0"/>
    </xf>
    <xf numFmtId="0" fontId="38" fillId="0" borderId="79" xfId="0" applyFont="1" applyFill="1" applyBorder="1" applyAlignment="1" applyProtection="1">
      <alignment horizontal="center" vertical="center"/>
      <protection locked="0"/>
    </xf>
    <xf numFmtId="14" fontId="38" fillId="0" borderId="80" xfId="0" applyNumberFormat="1" applyFont="1" applyFill="1" applyBorder="1" applyAlignment="1" applyProtection="1">
      <alignment vertical="center"/>
      <protection locked="0"/>
    </xf>
    <xf numFmtId="14" fontId="38" fillId="0" borderId="81" xfId="0" applyNumberFormat="1" applyFont="1" applyFill="1" applyBorder="1" applyAlignment="1" applyProtection="1">
      <alignment vertical="center"/>
      <protection locked="0"/>
    </xf>
    <xf numFmtId="14" fontId="38" fillId="0" borderId="79" xfId="0" applyNumberFormat="1" applyFont="1" applyFill="1" applyBorder="1" applyAlignment="1" applyProtection="1">
      <alignment vertical="center"/>
      <protection locked="0"/>
    </xf>
    <xf numFmtId="0" fontId="38" fillId="0" borderId="61" xfId="0" applyFont="1" applyFill="1" applyBorder="1" applyAlignment="1" applyProtection="1"/>
    <xf numFmtId="0" fontId="38" fillId="0" borderId="80" xfId="0" applyFont="1" applyBorder="1" applyAlignment="1" applyProtection="1">
      <alignment horizontal="left"/>
    </xf>
    <xf numFmtId="0" fontId="38" fillId="0" borderId="81" xfId="0" applyFont="1" applyBorder="1" applyAlignment="1" applyProtection="1">
      <alignment horizontal="left"/>
    </xf>
    <xf numFmtId="0" fontId="38" fillId="0" borderId="79" xfId="0" applyFont="1" applyBorder="1" applyAlignment="1" applyProtection="1">
      <alignment horizontal="left"/>
    </xf>
    <xf numFmtId="0" fontId="38" fillId="0" borderId="81" xfId="0" applyFont="1" applyFill="1" applyBorder="1" applyAlignment="1" applyProtection="1"/>
    <xf numFmtId="0" fontId="39" fillId="0" borderId="0" xfId="0" applyFont="1" applyFill="1" applyBorder="1" applyAlignment="1" applyProtection="1">
      <alignment horizontal="right" vertical="center" wrapText="1"/>
    </xf>
    <xf numFmtId="14" fontId="38" fillId="0" borderId="0" xfId="0" applyNumberFormat="1" applyFont="1" applyFill="1" applyBorder="1" applyAlignment="1" applyProtection="1">
      <alignment horizontal="center" vertical="center" wrapText="1"/>
      <protection locked="0"/>
    </xf>
    <xf numFmtId="14" fontId="38" fillId="0" borderId="61" xfId="0" applyNumberFormat="1" applyFont="1" applyFill="1" applyBorder="1" applyAlignment="1" applyProtection="1">
      <alignment horizontal="center" vertical="center" wrapText="1"/>
      <protection locked="0"/>
    </xf>
    <xf numFmtId="14" fontId="38" fillId="0" borderId="63" xfId="0" applyNumberFormat="1" applyFont="1" applyFill="1" applyBorder="1" applyAlignment="1" applyProtection="1">
      <alignment horizontal="center" vertical="center" wrapText="1"/>
      <protection locked="0"/>
    </xf>
    <xf numFmtId="14" fontId="38" fillId="0" borderId="64" xfId="0" applyNumberFormat="1" applyFont="1" applyFill="1" applyBorder="1" applyAlignment="1" applyProtection="1">
      <alignment horizontal="center" vertical="center" wrapText="1"/>
      <protection locked="0"/>
    </xf>
    <xf numFmtId="0" fontId="38" fillId="0" borderId="80" xfId="0" applyFont="1" applyFill="1" applyBorder="1" applyAlignment="1" applyProtection="1">
      <alignment horizontal="left" vertical="center"/>
    </xf>
    <xf numFmtId="0" fontId="38" fillId="0" borderId="81" xfId="0" applyFont="1" applyFill="1" applyBorder="1" applyAlignment="1" applyProtection="1">
      <alignment horizontal="left" vertical="center"/>
    </xf>
    <xf numFmtId="0" fontId="38" fillId="0" borderId="79" xfId="0" applyFont="1" applyFill="1" applyBorder="1" applyAlignment="1" applyProtection="1">
      <alignment horizontal="left" vertical="center"/>
    </xf>
    <xf numFmtId="0" fontId="38" fillId="0" borderId="80" xfId="0" applyNumberFormat="1" applyFont="1" applyFill="1" applyBorder="1" applyAlignment="1" applyProtection="1">
      <alignment horizontal="center" vertical="center"/>
      <protection locked="0"/>
    </xf>
    <xf numFmtId="0" fontId="38" fillId="0" borderId="81" xfId="0" applyNumberFormat="1" applyFont="1" applyFill="1" applyBorder="1" applyAlignment="1" applyProtection="1">
      <alignment horizontal="center" vertical="center"/>
      <protection locked="0"/>
    </xf>
    <xf numFmtId="0" fontId="38" fillId="0" borderId="79" xfId="0" applyNumberFormat="1" applyFont="1" applyFill="1" applyBorder="1" applyAlignment="1" applyProtection="1">
      <alignment horizontal="center" vertical="center"/>
      <protection locked="0"/>
    </xf>
    <xf numFmtId="14" fontId="38" fillId="0" borderId="80" xfId="0" applyNumberFormat="1" applyFont="1" applyFill="1" applyBorder="1" applyAlignment="1" applyProtection="1">
      <alignment horizontal="center" vertical="center"/>
      <protection locked="0"/>
    </xf>
    <xf numFmtId="14" fontId="38" fillId="0" borderId="81" xfId="0" applyNumberFormat="1" applyFont="1" applyFill="1" applyBorder="1" applyAlignment="1" applyProtection="1">
      <alignment horizontal="center" vertical="center"/>
      <protection locked="0"/>
    </xf>
    <xf numFmtId="14" fontId="38" fillId="0" borderId="79" xfId="0" applyNumberFormat="1" applyFont="1" applyFill="1" applyBorder="1" applyAlignment="1" applyProtection="1">
      <alignment horizontal="center" vertical="center"/>
      <protection locked="0"/>
    </xf>
    <xf numFmtId="14" fontId="38" fillId="0" borderId="57" xfId="0" applyNumberFormat="1" applyFont="1" applyFill="1" applyBorder="1" applyAlignment="1" applyProtection="1">
      <alignment horizontal="center" vertical="center" wrapText="1"/>
      <protection locked="0"/>
    </xf>
    <xf numFmtId="14" fontId="38" fillId="0" borderId="62" xfId="0" applyNumberFormat="1" applyFont="1" applyFill="1" applyBorder="1" applyAlignment="1" applyProtection="1">
      <alignment horizontal="center" vertical="center" wrapText="1"/>
      <protection locked="0"/>
    </xf>
    <xf numFmtId="0" fontId="39" fillId="0" borderId="0" xfId="0" applyFont="1" applyBorder="1" applyAlignment="1" applyProtection="1">
      <alignment horizontal="right"/>
    </xf>
    <xf numFmtId="0" fontId="38" fillId="0" borderId="0" xfId="0" applyFont="1" applyBorder="1" applyProtection="1"/>
    <xf numFmtId="0" fontId="38" fillId="0" borderId="59" xfId="0" applyFont="1" applyBorder="1" applyAlignment="1" applyProtection="1">
      <alignment horizontal="left" wrapText="1"/>
    </xf>
    <xf numFmtId="0" fontId="38" fillId="0" borderId="60" xfId="0" applyFont="1" applyBorder="1" applyProtection="1"/>
    <xf numFmtId="0" fontId="38" fillId="0" borderId="57" xfId="0" applyFont="1" applyBorder="1" applyAlignment="1" applyProtection="1">
      <alignment horizontal="left" wrapText="1"/>
    </xf>
    <xf numFmtId="0" fontId="38" fillId="0" borderId="61" xfId="0" applyFont="1" applyBorder="1" applyProtection="1"/>
    <xf numFmtId="0" fontId="38" fillId="0" borderId="62" xfId="0" applyFont="1" applyBorder="1" applyAlignment="1" applyProtection="1">
      <alignment horizontal="left" wrapText="1"/>
    </xf>
    <xf numFmtId="0" fontId="38" fillId="0" borderId="64" xfId="0" applyFont="1" applyBorder="1" applyProtection="1"/>
    <xf numFmtId="0" fontId="38" fillId="0" borderId="80" xfId="0" applyFont="1" applyBorder="1" applyAlignment="1" applyProtection="1">
      <alignment horizontal="left" wrapText="1"/>
    </xf>
    <xf numFmtId="0" fontId="38" fillId="0" borderId="81" xfId="0" applyFont="1" applyBorder="1" applyAlignment="1" applyProtection="1">
      <alignment horizontal="left" wrapText="1"/>
    </xf>
    <xf numFmtId="0" fontId="38" fillId="0" borderId="79" xfId="0" applyFont="1" applyBorder="1" applyAlignment="1" applyProtection="1">
      <alignment horizontal="left" wrapText="1"/>
    </xf>
    <xf numFmtId="0" fontId="38" fillId="0" borderId="80" xfId="0" applyFont="1" applyBorder="1" applyProtection="1"/>
    <xf numFmtId="0" fontId="38" fillId="0" borderId="81" xfId="0" applyFont="1" applyBorder="1" applyProtection="1"/>
    <xf numFmtId="0" fontId="38" fillId="0" borderId="79" xfId="0" applyFont="1" applyBorder="1" applyProtection="1"/>
    <xf numFmtId="0" fontId="38" fillId="0" borderId="60" xfId="0" applyFont="1" applyBorder="1" applyAlignment="1" applyProtection="1">
      <alignment horizontal="left" vertical="center" wrapText="1"/>
    </xf>
    <xf numFmtId="0" fontId="38" fillId="0" borderId="61" xfId="0" applyFont="1" applyBorder="1" applyAlignment="1" applyProtection="1">
      <alignment horizontal="left" vertical="center" wrapText="1"/>
    </xf>
    <xf numFmtId="0" fontId="38" fillId="0" borderId="64" xfId="0" applyFont="1" applyBorder="1" applyAlignment="1" applyProtection="1">
      <alignment horizontal="left" vertical="center" wrapText="1"/>
    </xf>
    <xf numFmtId="0" fontId="38" fillId="0" borderId="80" xfId="0" applyFont="1" applyBorder="1" applyAlignment="1" applyProtection="1">
      <alignment horizontal="left" vertical="center" wrapText="1"/>
    </xf>
    <xf numFmtId="0" fontId="38" fillId="0" borderId="81" xfId="0" applyFont="1" applyBorder="1" applyAlignment="1" applyProtection="1">
      <alignment horizontal="left" vertical="center" wrapText="1"/>
    </xf>
    <xf numFmtId="0" fontId="38" fillId="0" borderId="79" xfId="0" applyFont="1" applyBorder="1" applyAlignment="1" applyProtection="1">
      <alignment horizontal="left" vertical="center" wrapText="1"/>
    </xf>
    <xf numFmtId="0" fontId="36" fillId="0" borderId="80" xfId="0" applyFont="1" applyBorder="1" applyAlignment="1" applyProtection="1"/>
    <xf numFmtId="0" fontId="36" fillId="0" borderId="81" xfId="0" applyFont="1" applyBorder="1" applyAlignment="1" applyProtection="1"/>
    <xf numFmtId="0" fontId="36" fillId="0" borderId="79" xfId="0" applyFont="1" applyBorder="1" applyAlignment="1" applyProtection="1"/>
    <xf numFmtId="0" fontId="38" fillId="0" borderId="60" xfId="0" applyFont="1" applyBorder="1" applyAlignment="1" applyProtection="1">
      <alignment horizontal="left"/>
    </xf>
    <xf numFmtId="0" fontId="38" fillId="0" borderId="61" xfId="0" applyFont="1" applyBorder="1" applyAlignment="1" applyProtection="1">
      <alignment horizontal="left"/>
    </xf>
    <xf numFmtId="0" fontId="38" fillId="0" borderId="64" xfId="0" applyFont="1" applyBorder="1" applyAlignment="1" applyProtection="1">
      <alignment horizontal="left"/>
    </xf>
    <xf numFmtId="0" fontId="39" fillId="0" borderId="80" xfId="0" applyFont="1" applyBorder="1" applyAlignment="1" applyProtection="1"/>
    <xf numFmtId="0" fontId="39" fillId="0" borderId="81" xfId="0" applyFont="1" applyBorder="1" applyAlignment="1" applyProtection="1"/>
    <xf numFmtId="0" fontId="39" fillId="0" borderId="79" xfId="0" applyFont="1" applyBorder="1" applyAlignment="1" applyProtection="1"/>
    <xf numFmtId="0" fontId="38" fillId="0" borderId="80" xfId="0" applyFont="1" applyFill="1" applyBorder="1" applyProtection="1"/>
    <xf numFmtId="0" fontId="38" fillId="0" borderId="81" xfId="0" applyFont="1" applyFill="1" applyBorder="1" applyProtection="1"/>
    <xf numFmtId="0" fontId="38" fillId="0" borderId="79" xfId="0" applyFont="1" applyFill="1" applyBorder="1" applyProtection="1"/>
    <xf numFmtId="0" fontId="38" fillId="0" borderId="60" xfId="0" applyFont="1" applyFill="1" applyBorder="1" applyProtection="1"/>
    <xf numFmtId="0" fontId="38" fillId="0" borderId="61" xfId="0" applyFont="1" applyFill="1" applyBorder="1" applyProtection="1"/>
    <xf numFmtId="0" fontId="38" fillId="0" borderId="64" xfId="0" applyFont="1" applyFill="1" applyBorder="1" applyProtection="1"/>
    <xf numFmtId="0" fontId="38" fillId="0" borderId="80" xfId="0" applyFont="1" applyFill="1" applyBorder="1" applyAlignment="1" applyProtection="1">
      <alignment horizontal="left" vertical="top" wrapText="1"/>
    </xf>
    <xf numFmtId="0" fontId="38" fillId="0" borderId="81" xfId="0" applyFont="1" applyFill="1" applyBorder="1" applyAlignment="1" applyProtection="1">
      <alignment horizontal="left" vertical="top" wrapText="1"/>
    </xf>
    <xf numFmtId="0" fontId="38" fillId="0" borderId="79" xfId="0" applyFont="1" applyFill="1" applyBorder="1" applyAlignment="1" applyProtection="1">
      <alignment horizontal="left" vertical="top" wrapText="1"/>
    </xf>
    <xf numFmtId="0" fontId="38" fillId="0" borderId="80" xfId="0" applyFont="1" applyFill="1" applyBorder="1" applyAlignment="1" applyProtection="1">
      <alignment horizontal="center" vertical="top" wrapText="1"/>
    </xf>
    <xf numFmtId="0" fontId="38" fillId="0" borderId="81" xfId="0" applyFont="1" applyFill="1" applyBorder="1" applyAlignment="1" applyProtection="1">
      <alignment horizontal="center" vertical="top" wrapText="1"/>
    </xf>
    <xf numFmtId="0" fontId="38" fillId="0" borderId="79" xfId="0" applyFont="1" applyFill="1" applyBorder="1" applyAlignment="1" applyProtection="1">
      <alignment horizontal="center" vertical="top" wrapText="1"/>
    </xf>
    <xf numFmtId="0" fontId="38" fillId="0" borderId="60" xfId="0" applyFont="1" applyFill="1" applyBorder="1" applyAlignment="1" applyProtection="1">
      <alignment horizontal="center" vertical="top" wrapText="1"/>
    </xf>
    <xf numFmtId="0" fontId="38" fillId="0" borderId="61" xfId="0" applyFont="1" applyFill="1" applyBorder="1" applyAlignment="1" applyProtection="1">
      <alignment horizontal="center" vertical="top" wrapText="1"/>
    </xf>
    <xf numFmtId="0" fontId="38" fillId="0" borderId="64" xfId="0" applyFont="1" applyFill="1" applyBorder="1" applyAlignment="1" applyProtection="1">
      <alignment horizontal="center" vertical="top" wrapText="1"/>
    </xf>
    <xf numFmtId="0" fontId="39" fillId="0" borderId="80" xfId="0" applyFont="1" applyBorder="1" applyProtection="1"/>
    <xf numFmtId="0" fontId="39" fillId="0" borderId="81" xfId="0" applyFont="1" applyBorder="1" applyProtection="1"/>
    <xf numFmtId="0" fontId="39" fillId="0" borderId="79" xfId="0" applyFont="1" applyBorder="1" applyProtection="1"/>
    <xf numFmtId="0" fontId="0" fillId="0" borderId="80" xfId="0" applyFont="1" applyBorder="1" applyProtection="1"/>
    <xf numFmtId="0" fontId="0" fillId="0" borderId="81" xfId="0" applyFont="1" applyBorder="1" applyProtection="1"/>
    <xf numFmtId="0" fontId="0" fillId="0" borderId="79" xfId="0" applyFont="1" applyBorder="1" applyProtection="1"/>
    <xf numFmtId="0" fontId="38" fillId="0" borderId="0" xfId="0" applyFont="1" applyFill="1" applyBorder="1" applyAlignment="1" applyProtection="1">
      <alignment horizontal="left" vertical="top" wrapText="1"/>
    </xf>
    <xf numFmtId="0" fontId="41" fillId="0" borderId="80" xfId="0" applyFont="1" applyBorder="1" applyAlignment="1" applyProtection="1">
      <alignment horizontal="left" vertical="top" wrapText="1"/>
    </xf>
    <xf numFmtId="0" fontId="41" fillId="0" borderId="81" xfId="0" applyFont="1" applyBorder="1" applyAlignment="1" applyProtection="1">
      <alignment horizontal="left" vertical="top" wrapText="1"/>
    </xf>
    <xf numFmtId="0" fontId="41" fillId="0" borderId="79" xfId="0" applyFont="1" applyBorder="1" applyAlignment="1" applyProtection="1">
      <alignment horizontal="left" vertical="top" wrapText="1"/>
    </xf>
    <xf numFmtId="0" fontId="38" fillId="0" borderId="80" xfId="0" applyFont="1" applyFill="1" applyBorder="1" applyAlignment="1" applyProtection="1"/>
    <xf numFmtId="0" fontId="38" fillId="0" borderId="60" xfId="0" applyFont="1" applyFill="1" applyBorder="1" applyAlignment="1" applyProtection="1">
      <alignment vertical="center" wrapText="1"/>
    </xf>
    <xf numFmtId="0" fontId="38" fillId="0" borderId="61" xfId="0" applyFont="1" applyFill="1" applyBorder="1" applyAlignment="1" applyProtection="1">
      <alignment vertical="center" wrapText="1"/>
    </xf>
    <xf numFmtId="0" fontId="38" fillId="0" borderId="64" xfId="0" applyFont="1" applyFill="1" applyBorder="1" applyAlignment="1" applyProtection="1">
      <alignment vertical="center" wrapText="1"/>
    </xf>
    <xf numFmtId="0" fontId="38" fillId="0" borderId="60" xfId="0" applyFont="1" applyFill="1" applyBorder="1" applyAlignment="1" applyProtection="1"/>
    <xf numFmtId="0" fontId="38" fillId="0" borderId="60" xfId="0" applyFont="1" applyBorder="1" applyAlignment="1" applyProtection="1"/>
    <xf numFmtId="0" fontId="38" fillId="0" borderId="61" xfId="0" applyFont="1" applyBorder="1" applyAlignment="1" applyProtection="1"/>
    <xf numFmtId="0" fontId="38" fillId="0" borderId="64" xfId="0" applyFont="1" applyBorder="1" applyAlignment="1" applyProtection="1"/>
    <xf numFmtId="0" fontId="38" fillId="0" borderId="63" xfId="0" applyFont="1" applyBorder="1" applyAlignment="1" applyProtection="1">
      <alignment horizontal="left" wrapText="1"/>
    </xf>
    <xf numFmtId="0" fontId="49" fillId="0" borderId="0" xfId="0" applyFont="1" applyAlignment="1" applyProtection="1">
      <alignment horizontal="right"/>
    </xf>
    <xf numFmtId="0" fontId="49" fillId="0" borderId="0" xfId="0" applyFont="1" applyProtection="1"/>
    <xf numFmtId="0" fontId="49" fillId="0" borderId="0" xfId="0" applyFont="1" applyBorder="1" applyProtection="1"/>
    <xf numFmtId="0" fontId="38" fillId="0" borderId="0" xfId="0" applyFont="1" applyAlignment="1" applyProtection="1">
      <alignment horizontal="left" vertical="top" wrapText="1"/>
    </xf>
    <xf numFmtId="0" fontId="38" fillId="0" borderId="0" xfId="0" applyFont="1" applyFill="1" applyBorder="1" applyAlignment="1" applyProtection="1">
      <alignment horizontal="left" vertical="top" wrapText="1"/>
      <protection locked="0"/>
    </xf>
    <xf numFmtId="0" fontId="38" fillId="0" borderId="0" xfId="0" applyFont="1" applyFill="1" applyBorder="1" applyAlignment="1" applyProtection="1">
      <alignment horizontal="center" vertical="center" wrapText="1"/>
    </xf>
    <xf numFmtId="0" fontId="39" fillId="0" borderId="16" xfId="0" applyFont="1" applyBorder="1" applyAlignment="1" applyProtection="1">
      <alignment horizontal="center" vertical="center" wrapText="1"/>
    </xf>
    <xf numFmtId="0" fontId="38" fillId="0" borderId="0" xfId="0" applyFont="1" applyFill="1" applyBorder="1" applyAlignment="1" applyProtection="1">
      <alignment horizontal="left" vertical="top" wrapText="1"/>
    </xf>
    <xf numFmtId="0" fontId="39" fillId="0" borderId="10" xfId="0" applyFont="1" applyBorder="1" applyAlignment="1" applyProtection="1">
      <alignment horizontal="center" vertical="center" wrapText="1"/>
    </xf>
    <xf numFmtId="0" fontId="39" fillId="0" borderId="13" xfId="0" applyFont="1" applyBorder="1" applyAlignment="1" applyProtection="1">
      <alignment horizontal="center" vertical="center" wrapText="1"/>
    </xf>
    <xf numFmtId="0" fontId="38" fillId="0" borderId="0" xfId="0" applyFont="1" applyAlignment="1" applyProtection="1">
      <alignment horizontal="left"/>
    </xf>
    <xf numFmtId="0" fontId="39" fillId="0" borderId="17" xfId="0" applyFont="1" applyBorder="1" applyAlignment="1" applyProtection="1">
      <alignment horizontal="center" vertical="center" wrapText="1"/>
    </xf>
    <xf numFmtId="0" fontId="39" fillId="0" borderId="71" xfId="0" applyFont="1" applyBorder="1" applyAlignment="1" applyProtection="1">
      <alignment horizontal="center" vertical="center" wrapText="1"/>
    </xf>
    <xf numFmtId="0" fontId="39" fillId="0" borderId="21" xfId="0" applyFont="1" applyBorder="1" applyAlignment="1" applyProtection="1">
      <alignment horizontal="center" vertical="center" wrapText="1"/>
    </xf>
    <xf numFmtId="14" fontId="51" fillId="27" borderId="66" xfId="0" applyNumberFormat="1" applyFont="1" applyFill="1" applyBorder="1" applyAlignment="1" applyProtection="1">
      <alignment horizontal="left" vertical="center" wrapText="1" indent="1"/>
    </xf>
    <xf numFmtId="14" fontId="51" fillId="27" borderId="49" xfId="0" applyNumberFormat="1" applyFont="1" applyFill="1" applyBorder="1" applyAlignment="1" applyProtection="1">
      <alignment horizontal="left" vertical="center" wrapText="1" indent="1"/>
    </xf>
    <xf numFmtId="14" fontId="51" fillId="27" borderId="22" xfId="0" applyNumberFormat="1" applyFont="1" applyFill="1" applyBorder="1" applyAlignment="1" applyProtection="1">
      <alignment horizontal="left" vertical="center" wrapText="1" indent="1"/>
    </xf>
    <xf numFmtId="0" fontId="39" fillId="0" borderId="59" xfId="0" applyFont="1" applyBorder="1" applyAlignment="1" applyProtection="1">
      <alignment horizontal="center" vertical="center" wrapText="1"/>
    </xf>
    <xf numFmtId="14" fontId="51" fillId="27" borderId="65" xfId="0" applyNumberFormat="1" applyFont="1" applyFill="1" applyBorder="1" applyAlignment="1" applyProtection="1">
      <alignment horizontal="left" vertical="center" wrapText="1" indent="1"/>
    </xf>
    <xf numFmtId="14" fontId="51" fillId="0" borderId="0" xfId="0" applyNumberFormat="1" applyFont="1" applyFill="1" applyBorder="1" applyAlignment="1" applyProtection="1">
      <alignment horizontal="left" vertical="center" wrapText="1" indent="1"/>
    </xf>
    <xf numFmtId="14" fontId="51" fillId="27" borderId="24" xfId="0" applyNumberFormat="1" applyFont="1" applyFill="1" applyBorder="1" applyAlignment="1" applyProtection="1">
      <alignment horizontal="left" vertical="center" wrapText="1" indent="1"/>
    </xf>
    <xf numFmtId="0" fontId="38" fillId="0" borderId="0" xfId="0" applyFont="1" applyBorder="1" applyAlignment="1" applyProtection="1">
      <alignment horizontal="left" vertical="top" wrapText="1"/>
    </xf>
    <xf numFmtId="0" fontId="38" fillId="0" borderId="0" xfId="0" applyFont="1" applyFill="1" applyBorder="1" applyAlignment="1" applyProtection="1">
      <alignment horizontal="left" vertical="top" wrapText="1" indent="1"/>
    </xf>
    <xf numFmtId="0" fontId="44" fillId="0" borderId="0" xfId="0" applyFont="1" applyFill="1" applyBorder="1" applyAlignment="1" applyProtection="1"/>
    <xf numFmtId="0" fontId="58" fillId="0" borderId="0" xfId="0" applyFont="1" applyFill="1" applyBorder="1" applyAlignment="1" applyProtection="1">
      <alignment horizontal="center"/>
    </xf>
    <xf numFmtId="0" fontId="39" fillId="0" borderId="0" xfId="0" applyFont="1" applyAlignment="1" applyProtection="1">
      <alignment horizontal="center" vertical="center" wrapText="1"/>
    </xf>
    <xf numFmtId="0" fontId="38" fillId="0" borderId="0" xfId="0" applyFont="1" applyAlignment="1" applyProtection="1">
      <alignment horizontal="center" vertical="center" wrapText="1"/>
    </xf>
    <xf numFmtId="0" fontId="46" fillId="0" borderId="0" xfId="0" applyFont="1" applyBorder="1" applyAlignment="1" applyProtection="1">
      <alignment horizontal="center" vertical="center" wrapText="1"/>
    </xf>
    <xf numFmtId="0" fontId="39" fillId="0" borderId="0" xfId="0" applyFont="1" applyFill="1" applyAlignment="1" applyProtection="1">
      <alignment horizontal="center" vertical="center" wrapText="1"/>
    </xf>
    <xf numFmtId="0" fontId="47" fillId="0" borderId="0" xfId="0" applyFont="1" applyBorder="1" applyAlignment="1" applyProtection="1">
      <alignment horizontal="center" vertical="center" wrapText="1"/>
    </xf>
    <xf numFmtId="0" fontId="47" fillId="0" borderId="0" xfId="0" applyFont="1" applyFill="1" applyBorder="1" applyAlignment="1" applyProtection="1">
      <alignment horizontal="center" vertical="center" wrapText="1"/>
    </xf>
    <xf numFmtId="0" fontId="38" fillId="0" borderId="71" xfId="0" applyFont="1" applyFill="1" applyBorder="1" applyAlignment="1" applyProtection="1">
      <alignment vertical="center" wrapText="1"/>
    </xf>
    <xf numFmtId="0" fontId="38" fillId="0" borderId="78" xfId="0" applyFont="1" applyFill="1" applyBorder="1" applyAlignment="1" applyProtection="1">
      <alignment vertical="center" wrapText="1"/>
    </xf>
    <xf numFmtId="0" fontId="38" fillId="0" borderId="38" xfId="0" applyFont="1" applyFill="1" applyBorder="1" applyAlignment="1" applyProtection="1">
      <alignment vertical="center" wrapText="1"/>
    </xf>
    <xf numFmtId="0" fontId="39" fillId="0" borderId="0" xfId="0" applyFont="1" applyFill="1" applyAlignment="1" applyProtection="1">
      <alignment horizontal="center" vertical="center"/>
    </xf>
    <xf numFmtId="0" fontId="38" fillId="0" borderId="0" xfId="0" applyFont="1" applyFill="1" applyAlignment="1" applyProtection="1">
      <alignment horizontal="center" vertical="center"/>
    </xf>
    <xf numFmtId="0" fontId="38" fillId="0" borderId="57" xfId="0" applyFont="1" applyFill="1" applyBorder="1" applyAlignment="1" applyProtection="1">
      <alignment vertical="center" wrapText="1"/>
    </xf>
    <xf numFmtId="0" fontId="38" fillId="0" borderId="62" xfId="0" applyFont="1" applyFill="1" applyBorder="1" applyAlignment="1" applyProtection="1">
      <alignment vertical="center" wrapText="1"/>
    </xf>
    <xf numFmtId="0" fontId="38" fillId="0" borderId="80" xfId="0" applyFont="1" applyFill="1" applyBorder="1" applyAlignment="1" applyProtection="1">
      <alignment vertical="center" wrapText="1"/>
    </xf>
    <xf numFmtId="0" fontId="38" fillId="0" borderId="81" xfId="0" applyFont="1" applyFill="1" applyBorder="1" applyAlignment="1" applyProtection="1">
      <alignment vertical="center" wrapText="1"/>
    </xf>
    <xf numFmtId="0" fontId="38" fillId="0" borderId="79" xfId="0" applyFont="1" applyFill="1" applyBorder="1" applyAlignment="1" applyProtection="1">
      <alignment vertical="center" wrapText="1"/>
    </xf>
    <xf numFmtId="0" fontId="38" fillId="0" borderId="59" xfId="0" applyFont="1" applyFill="1" applyBorder="1" applyAlignment="1" applyProtection="1">
      <alignment vertical="center" wrapText="1"/>
    </xf>
    <xf numFmtId="0" fontId="39" fillId="0" borderId="10" xfId="0" applyFont="1" applyBorder="1" applyAlignment="1" applyProtection="1">
      <alignment horizontal="center" vertical="center" wrapText="1"/>
    </xf>
    <xf numFmtId="0" fontId="38" fillId="0" borderId="0" xfId="0" applyFont="1" applyBorder="1" applyAlignment="1" applyProtection="1">
      <alignment horizontal="left" vertical="top" wrapText="1"/>
    </xf>
    <xf numFmtId="0" fontId="0" fillId="0" borderId="0" xfId="0" applyFill="1" applyBorder="1" applyAlignment="1" applyProtection="1"/>
    <xf numFmtId="0" fontId="0" fillId="0" borderId="0" xfId="0" applyFill="1" applyBorder="1" applyAlignment="1">
      <alignment vertical="center" wrapText="1"/>
    </xf>
    <xf numFmtId="0" fontId="39" fillId="0" borderId="0" xfId="0" applyFont="1" applyFill="1" applyBorder="1" applyAlignment="1" applyProtection="1">
      <alignment horizontal="right" vertical="center"/>
    </xf>
    <xf numFmtId="0" fontId="39" fillId="0" borderId="0" xfId="0" applyFont="1" applyFill="1" applyBorder="1" applyAlignment="1" applyProtection="1">
      <alignment vertical="center" wrapText="1"/>
    </xf>
    <xf numFmtId="0" fontId="49" fillId="0" borderId="0" xfId="0" applyFont="1" applyFill="1" applyBorder="1" applyAlignment="1" applyProtection="1">
      <alignment horizontal="left" vertical="center"/>
    </xf>
    <xf numFmtId="0" fontId="49" fillId="0" borderId="0" xfId="0" applyFont="1" applyFill="1" applyBorder="1" applyAlignment="1" applyProtection="1">
      <alignment horizontal="left" vertical="center" wrapText="1"/>
    </xf>
    <xf numFmtId="0" fontId="0" fillId="0" borderId="0" xfId="0" applyFill="1" applyBorder="1" applyAlignment="1">
      <alignment horizontal="left"/>
    </xf>
    <xf numFmtId="14" fontId="51" fillId="27" borderId="18" xfId="0" applyNumberFormat="1" applyFont="1" applyFill="1" applyBorder="1" applyAlignment="1" applyProtection="1">
      <alignment horizontal="left" vertical="center" wrapText="1"/>
    </xf>
    <xf numFmtId="14" fontId="51" fillId="27" borderId="33" xfId="0" applyNumberFormat="1" applyFont="1" applyFill="1" applyBorder="1" applyAlignment="1" applyProtection="1">
      <alignment horizontal="left" vertical="center" wrapText="1"/>
    </xf>
    <xf numFmtId="14" fontId="51" fillId="0" borderId="0" xfId="0" applyNumberFormat="1" applyFont="1" applyFill="1" applyBorder="1" applyAlignment="1" applyProtection="1">
      <alignment horizontal="left" vertical="center" wrapText="1"/>
    </xf>
    <xf numFmtId="14" fontId="51" fillId="27" borderId="44" xfId="0" applyNumberFormat="1" applyFont="1" applyFill="1" applyBorder="1" applyAlignment="1" applyProtection="1">
      <alignment horizontal="left" vertical="center" wrapText="1"/>
    </xf>
    <xf numFmtId="14" fontId="51" fillId="27" borderId="56" xfId="0" applyNumberFormat="1" applyFont="1" applyFill="1" applyBorder="1" applyAlignment="1" applyProtection="1">
      <alignment horizontal="left" vertical="center" wrapText="1"/>
    </xf>
    <xf numFmtId="14" fontId="51" fillId="27" borderId="62" xfId="0" applyNumberFormat="1" applyFont="1" applyFill="1" applyBorder="1" applyAlignment="1" applyProtection="1">
      <alignment horizontal="left" vertical="center" wrapText="1"/>
    </xf>
    <xf numFmtId="14" fontId="51" fillId="27" borderId="67" xfId="0" applyNumberFormat="1" applyFont="1" applyFill="1" applyBorder="1" applyAlignment="1" applyProtection="1">
      <alignment horizontal="left" vertical="center" wrapText="1" indent="1"/>
    </xf>
    <xf numFmtId="0" fontId="39" fillId="0" borderId="80" xfId="0" applyFont="1" applyBorder="1" applyAlignment="1" applyProtection="1">
      <alignment horizontal="center" vertical="center" wrapText="1"/>
    </xf>
    <xf numFmtId="14" fontId="51" fillId="27" borderId="15" xfId="0" applyNumberFormat="1" applyFont="1" applyFill="1" applyBorder="1" applyAlignment="1" applyProtection="1">
      <alignment horizontal="left" vertical="center" wrapText="1"/>
    </xf>
    <xf numFmtId="0" fontId="38" fillId="0" borderId="0" xfId="0" applyFont="1" applyFill="1" applyBorder="1" applyAlignment="1" applyProtection="1">
      <alignment horizontal="center" vertical="center"/>
    </xf>
    <xf numFmtId="0" fontId="39" fillId="0" borderId="0" xfId="0" applyFont="1" applyFill="1" applyBorder="1" applyAlignment="1" applyProtection="1">
      <alignment horizontal="center" vertical="center"/>
    </xf>
    <xf numFmtId="0" fontId="6" fillId="0" borderId="80" xfId="0" applyFont="1" applyBorder="1" applyAlignment="1" applyProtection="1"/>
    <xf numFmtId="0" fontId="6" fillId="0" borderId="81" xfId="0" applyFont="1" applyBorder="1" applyAlignment="1" applyProtection="1"/>
    <xf numFmtId="0" fontId="6" fillId="0" borderId="79" xfId="0" applyFont="1" applyBorder="1" applyAlignment="1" applyProtection="1"/>
    <xf numFmtId="0" fontId="6" fillId="0" borderId="80" xfId="0" applyFont="1" applyBorder="1" applyAlignment="1" applyProtection="1">
      <alignment vertical="top"/>
    </xf>
    <xf numFmtId="0" fontId="6" fillId="0" borderId="81" xfId="0" applyFont="1" applyBorder="1" applyAlignment="1" applyProtection="1">
      <alignment vertical="top"/>
    </xf>
    <xf numFmtId="0" fontId="6" fillId="0" borderId="79" xfId="0" applyFont="1" applyBorder="1" applyAlignment="1" applyProtection="1">
      <alignment vertical="top"/>
    </xf>
    <xf numFmtId="0" fontId="0" fillId="0" borderId="80" xfId="0" applyBorder="1" applyAlignment="1" applyProtection="1">
      <alignment vertical="top"/>
    </xf>
    <xf numFmtId="0" fontId="0" fillId="0" borderId="81" xfId="0" applyBorder="1" applyAlignment="1" applyProtection="1">
      <alignment vertical="top"/>
    </xf>
    <xf numFmtId="0" fontId="0" fillId="0" borderId="79" xfId="0" applyBorder="1" applyAlignment="1" applyProtection="1">
      <alignment vertical="top"/>
    </xf>
    <xf numFmtId="0" fontId="0" fillId="0" borderId="59" xfId="0" applyBorder="1" applyAlignment="1" applyProtection="1">
      <alignment vertical="top"/>
    </xf>
    <xf numFmtId="0" fontId="0" fillId="0" borderId="57" xfId="0" applyBorder="1" applyAlignment="1" applyProtection="1">
      <alignment vertical="top"/>
    </xf>
    <xf numFmtId="0" fontId="0" fillId="0" borderId="62" xfId="0" applyBorder="1" applyAlignment="1" applyProtection="1">
      <alignment vertical="top"/>
    </xf>
    <xf numFmtId="0" fontId="2" fillId="28" borderId="51" xfId="0" applyFont="1" applyFill="1" applyBorder="1" applyAlignment="1" applyProtection="1">
      <alignment horizontal="left" vertical="top" wrapText="1"/>
    </xf>
    <xf numFmtId="0" fontId="38" fillId="0" borderId="15" xfId="0" applyFont="1" applyBorder="1" applyAlignment="1" applyProtection="1">
      <alignment horizontal="left" vertical="top" wrapText="1"/>
    </xf>
    <xf numFmtId="0" fontId="51" fillId="0" borderId="18" xfId="0" applyFont="1" applyBorder="1" applyAlignment="1" applyProtection="1">
      <alignment horizontal="left" vertical="top" wrapText="1"/>
    </xf>
    <xf numFmtId="0" fontId="38" fillId="0" borderId="0" xfId="0" applyFont="1" applyFill="1" applyAlignment="1">
      <alignment horizontal="left" vertical="center" wrapText="1"/>
    </xf>
    <xf numFmtId="0" fontId="38" fillId="0" borderId="0" xfId="0" applyFont="1" applyFill="1" applyBorder="1" applyAlignment="1" applyProtection="1">
      <alignment horizontal="left" vertical="top" wrapText="1"/>
    </xf>
    <xf numFmtId="0" fontId="38" fillId="0" borderId="0" xfId="0" applyFont="1" applyFill="1" applyBorder="1" applyAlignment="1" applyProtection="1">
      <alignment horizontal="left" vertical="top" wrapText="1" indent="1"/>
      <protection locked="0"/>
    </xf>
    <xf numFmtId="0" fontId="46" fillId="0" borderId="0" xfId="0" applyFont="1" applyFill="1" applyBorder="1" applyAlignment="1" applyProtection="1">
      <alignment horizontal="center" vertical="center"/>
    </xf>
    <xf numFmtId="0" fontId="38" fillId="0" borderId="80" xfId="0" applyFont="1" applyFill="1" applyBorder="1" applyAlignment="1" applyProtection="1">
      <alignment wrapText="1"/>
      <protection locked="0"/>
    </xf>
    <xf numFmtId="0" fontId="38" fillId="0" borderId="80" xfId="0" applyFont="1" applyFill="1" applyBorder="1" applyAlignment="1" applyProtection="1">
      <alignment vertical="center" wrapText="1"/>
      <protection locked="0"/>
    </xf>
    <xf numFmtId="14" fontId="51" fillId="0" borderId="80" xfId="0" applyNumberFormat="1" applyFont="1" applyFill="1" applyBorder="1" applyAlignment="1" applyProtection="1">
      <alignment vertical="center" wrapText="1"/>
      <protection locked="0"/>
    </xf>
    <xf numFmtId="0" fontId="38" fillId="0" borderId="81" xfId="0" applyFont="1" applyFill="1" applyBorder="1" applyAlignment="1" applyProtection="1">
      <alignment wrapText="1"/>
      <protection locked="0"/>
    </xf>
    <xf numFmtId="0" fontId="38" fillId="0" borderId="81" xfId="0" applyFont="1" applyFill="1" applyBorder="1" applyAlignment="1" applyProtection="1">
      <alignment vertical="center" wrapText="1"/>
      <protection locked="0"/>
    </xf>
    <xf numFmtId="14" fontId="51" fillId="0" borderId="81" xfId="0" applyNumberFormat="1" applyFont="1" applyFill="1" applyBorder="1" applyAlignment="1" applyProtection="1">
      <alignment vertical="center" wrapText="1"/>
      <protection locked="0"/>
    </xf>
    <xf numFmtId="0" fontId="38" fillId="0" borderId="79" xfId="0" applyFont="1" applyFill="1" applyBorder="1" applyAlignment="1" applyProtection="1">
      <alignment wrapText="1"/>
      <protection locked="0"/>
    </xf>
    <xf numFmtId="0" fontId="38" fillId="0" borderId="79" xfId="0" applyFont="1" applyFill="1" applyBorder="1" applyAlignment="1" applyProtection="1">
      <alignment vertical="center" wrapText="1"/>
      <protection locked="0"/>
    </xf>
    <xf numFmtId="14" fontId="51" fillId="0" borderId="79" xfId="0" applyNumberFormat="1" applyFont="1" applyFill="1" applyBorder="1" applyAlignment="1" applyProtection="1">
      <alignment vertical="center" wrapText="1"/>
      <protection locked="0"/>
    </xf>
    <xf numFmtId="0" fontId="39" fillId="0" borderId="13" xfId="0" applyFont="1" applyBorder="1" applyAlignment="1" applyProtection="1">
      <alignment horizontal="center" vertical="center"/>
      <protection hidden="1"/>
    </xf>
    <xf numFmtId="0" fontId="39" fillId="0" borderId="13" xfId="0" applyFont="1" applyBorder="1" applyAlignment="1" applyProtection="1">
      <alignment horizontal="left" vertical="center"/>
      <protection hidden="1"/>
    </xf>
    <xf numFmtId="0" fontId="39" fillId="0" borderId="17" xfId="0" applyFont="1" applyBorder="1" applyAlignment="1" applyProtection="1">
      <alignment horizontal="left" vertical="center"/>
      <protection hidden="1"/>
    </xf>
    <xf numFmtId="0" fontId="6" fillId="25" borderId="27" xfId="0" applyFont="1" applyFill="1" applyBorder="1" applyAlignment="1" applyProtection="1">
      <alignment horizontal="left" vertical="top"/>
      <protection hidden="1"/>
    </xf>
    <xf numFmtId="0" fontId="6" fillId="25" borderId="36" xfId="0" applyFont="1" applyFill="1" applyBorder="1" applyAlignment="1" applyProtection="1">
      <alignment horizontal="left" vertical="top"/>
      <protection hidden="1"/>
    </xf>
    <xf numFmtId="0" fontId="6" fillId="25" borderId="22" xfId="0" applyFont="1" applyFill="1" applyBorder="1" applyAlignment="1" applyProtection="1">
      <alignment horizontal="left" vertical="top"/>
      <protection hidden="1"/>
    </xf>
    <xf numFmtId="0" fontId="6" fillId="25" borderId="22" xfId="0" applyFont="1" applyFill="1" applyBorder="1" applyAlignment="1" applyProtection="1">
      <alignment horizontal="left" vertical="top" wrapText="1"/>
      <protection hidden="1"/>
    </xf>
    <xf numFmtId="0" fontId="6" fillId="25" borderId="29" xfId="0" applyFont="1" applyFill="1" applyBorder="1" applyAlignment="1" applyProtection="1">
      <alignment horizontal="left" vertical="top" wrapText="1"/>
      <protection hidden="1"/>
    </xf>
    <xf numFmtId="0" fontId="6" fillId="25" borderId="29" xfId="0" applyFont="1" applyFill="1" applyBorder="1" applyAlignment="1" applyProtection="1">
      <alignment horizontal="left" vertical="top"/>
      <protection hidden="1"/>
    </xf>
    <xf numFmtId="0" fontId="6" fillId="25" borderId="34" xfId="0" applyFont="1" applyFill="1" applyBorder="1" applyAlignment="1" applyProtection="1">
      <alignment horizontal="left" vertical="top" wrapText="1"/>
      <protection hidden="1"/>
    </xf>
    <xf numFmtId="0" fontId="6" fillId="25" borderId="42" xfId="0" applyFont="1" applyFill="1" applyBorder="1" applyAlignment="1" applyProtection="1">
      <alignment horizontal="left" vertical="top" wrapText="1"/>
      <protection hidden="1"/>
    </xf>
    <xf numFmtId="0" fontId="6" fillId="25" borderId="53" xfId="0" applyFont="1" applyFill="1" applyBorder="1" applyAlignment="1" applyProtection="1">
      <alignment horizontal="left" vertical="top" wrapText="1"/>
      <protection hidden="1"/>
    </xf>
    <xf numFmtId="0" fontId="38" fillId="25" borderId="16" xfId="0" applyFont="1" applyFill="1" applyBorder="1" applyAlignment="1" applyProtection="1">
      <alignment horizontal="center" vertical="center"/>
      <protection hidden="1"/>
    </xf>
    <xf numFmtId="0" fontId="38" fillId="25" borderId="51" xfId="0" applyFont="1" applyFill="1" applyBorder="1" applyAlignment="1" applyProtection="1">
      <alignment horizontal="center" vertical="center"/>
      <protection hidden="1"/>
    </xf>
    <xf numFmtId="0" fontId="38" fillId="25" borderId="16" xfId="0" applyFont="1" applyFill="1" applyBorder="1" applyAlignment="1" applyProtection="1">
      <alignment horizontal="center"/>
      <protection hidden="1"/>
    </xf>
    <xf numFmtId="0" fontId="38" fillId="25" borderId="50" xfId="0" applyFont="1" applyFill="1" applyBorder="1" applyAlignment="1" applyProtection="1">
      <alignment horizontal="center"/>
      <protection hidden="1"/>
    </xf>
    <xf numFmtId="0" fontId="38" fillId="25" borderId="51" xfId="0" applyFont="1" applyFill="1" applyBorder="1" applyAlignment="1" applyProtection="1">
      <alignment horizontal="center"/>
      <protection hidden="1"/>
    </xf>
    <xf numFmtId="0" fontId="6" fillId="25" borderId="24" xfId="0" applyFont="1" applyFill="1" applyBorder="1" applyAlignment="1" applyProtection="1">
      <alignment horizontal="left" vertical="top"/>
      <protection hidden="1"/>
    </xf>
    <xf numFmtId="0" fontId="6" fillId="25" borderId="26" xfId="0" applyFont="1" applyFill="1" applyBorder="1" applyAlignment="1" applyProtection="1">
      <alignment horizontal="left" vertical="top"/>
      <protection hidden="1"/>
    </xf>
    <xf numFmtId="0" fontId="38" fillId="0" borderId="80" xfId="0" applyFont="1" applyBorder="1" applyAlignment="1" applyProtection="1">
      <alignment horizontal="left"/>
    </xf>
    <xf numFmtId="0" fontId="0" fillId="0" borderId="81" xfId="0" applyBorder="1" applyAlignment="1">
      <alignment horizontal="left"/>
    </xf>
    <xf numFmtId="0" fontId="0" fillId="0" borderId="79" xfId="0" applyBorder="1" applyAlignment="1">
      <alignment horizontal="left"/>
    </xf>
    <xf numFmtId="0" fontId="38" fillId="0" borderId="80" xfId="0" applyFont="1" applyFill="1" applyBorder="1" applyAlignment="1" applyProtection="1">
      <alignment vertical="center" wrapText="1"/>
    </xf>
    <xf numFmtId="0" fontId="0" fillId="0" borderId="81" xfId="0" applyBorder="1" applyAlignment="1">
      <alignment vertical="center" wrapText="1"/>
    </xf>
    <xf numFmtId="0" fontId="0" fillId="0" borderId="79" xfId="0" applyBorder="1" applyAlignment="1">
      <alignment vertical="center" wrapText="1"/>
    </xf>
    <xf numFmtId="0" fontId="38" fillId="0" borderId="0" xfId="0" applyFont="1" applyAlignment="1" applyProtection="1">
      <alignment horizontal="left" vertical="top" wrapText="1"/>
    </xf>
    <xf numFmtId="0" fontId="38" fillId="25" borderId="16" xfId="0" applyFont="1" applyFill="1" applyBorder="1" applyAlignment="1" applyProtection="1">
      <alignment horizontal="left" vertical="top" wrapText="1" indent="1"/>
      <protection locked="0"/>
    </xf>
    <xf numFmtId="0" fontId="0" fillId="0" borderId="50" xfId="0" applyBorder="1" applyAlignment="1">
      <alignment horizontal="left" vertical="top" wrapText="1" indent="1"/>
    </xf>
    <xf numFmtId="0" fontId="0" fillId="0" borderId="51" xfId="0" applyBorder="1" applyAlignment="1">
      <alignment horizontal="left" vertical="top" wrapText="1" indent="1"/>
    </xf>
    <xf numFmtId="0" fontId="38" fillId="0" borderId="0" xfId="0" applyFont="1" applyAlignment="1" applyProtection="1">
      <alignment horizontal="left" vertical="center" wrapText="1"/>
    </xf>
    <xf numFmtId="0" fontId="38" fillId="0" borderId="0" xfId="0" applyFont="1" applyFill="1" applyBorder="1" applyAlignment="1" applyProtection="1">
      <alignment horizontal="left" vertical="top" wrapText="1"/>
    </xf>
    <xf numFmtId="0" fontId="38" fillId="25" borderId="16" xfId="0" applyFont="1" applyFill="1" applyBorder="1" applyAlignment="1" applyProtection="1">
      <alignment horizontal="left" vertical="top" wrapText="1"/>
      <protection locked="0"/>
    </xf>
    <xf numFmtId="0" fontId="38" fillId="0" borderId="0" xfId="0" applyFont="1" applyFill="1" applyBorder="1" applyAlignment="1" applyProtection="1">
      <alignment horizontal="left" vertical="top" wrapText="1"/>
      <protection locked="0"/>
    </xf>
    <xf numFmtId="0" fontId="38" fillId="0" borderId="0" xfId="0" applyFont="1" applyAlignment="1" applyProtection="1">
      <alignment horizontal="left" wrapText="1"/>
    </xf>
    <xf numFmtId="0" fontId="39" fillId="0" borderId="13" xfId="0" applyFont="1" applyBorder="1" applyAlignment="1" applyProtection="1">
      <alignment horizontal="center" vertical="center" wrapText="1"/>
    </xf>
    <xf numFmtId="14" fontId="38" fillId="0" borderId="59" xfId="0" applyNumberFormat="1" applyFont="1" applyFill="1" applyBorder="1" applyAlignment="1" applyProtection="1">
      <alignment horizontal="center" vertical="center" wrapText="1"/>
      <protection locked="0"/>
    </xf>
    <xf numFmtId="14" fontId="38" fillId="0" borderId="28" xfId="0" applyNumberFormat="1" applyFont="1" applyFill="1" applyBorder="1" applyAlignment="1" applyProtection="1">
      <alignment horizontal="center" vertical="center" wrapText="1"/>
      <protection locked="0"/>
    </xf>
    <xf numFmtId="14" fontId="38" fillId="0" borderId="60" xfId="0" applyNumberFormat="1" applyFont="1" applyFill="1" applyBorder="1" applyAlignment="1" applyProtection="1">
      <alignment horizontal="center" vertical="center" wrapText="1"/>
      <protection locked="0"/>
    </xf>
    <xf numFmtId="0" fontId="38" fillId="25" borderId="50" xfId="0" applyFont="1" applyFill="1" applyBorder="1" applyAlignment="1" applyProtection="1">
      <alignment horizontal="left" vertical="top" wrapText="1"/>
      <protection locked="0"/>
    </xf>
    <xf numFmtId="0" fontId="38" fillId="25" borderId="51" xfId="0" applyFont="1" applyFill="1" applyBorder="1" applyAlignment="1" applyProtection="1">
      <alignment horizontal="left" vertical="top" wrapText="1"/>
      <protection locked="0"/>
    </xf>
    <xf numFmtId="0" fontId="6" fillId="25" borderId="48" xfId="0" applyFont="1" applyFill="1" applyBorder="1" applyAlignment="1" applyProtection="1">
      <alignment horizontal="left"/>
      <protection locked="0"/>
    </xf>
    <xf numFmtId="0" fontId="6" fillId="25" borderId="74" xfId="0" applyFont="1" applyFill="1" applyBorder="1" applyAlignment="1" applyProtection="1">
      <alignment horizontal="left"/>
      <protection locked="0"/>
    </xf>
    <xf numFmtId="0" fontId="39" fillId="0" borderId="13" xfId="0" applyFont="1" applyBorder="1" applyAlignment="1">
      <alignment horizontal="left" vertical="center"/>
    </xf>
    <xf numFmtId="0" fontId="6" fillId="25" borderId="27" xfId="0" applyFont="1" applyFill="1" applyBorder="1" applyAlignment="1" applyProtection="1">
      <alignment horizontal="left"/>
      <protection locked="0"/>
    </xf>
    <xf numFmtId="0" fontId="38" fillId="0" borderId="0" xfId="0" applyFont="1" applyFill="1" applyAlignment="1">
      <alignment horizontal="left" vertical="center" wrapText="1"/>
    </xf>
    <xf numFmtId="0" fontId="38" fillId="0" borderId="0" xfId="0" applyFont="1" applyAlignment="1" applyProtection="1">
      <alignment horizontal="left"/>
    </xf>
    <xf numFmtId="0" fontId="38" fillId="25" borderId="16" xfId="0" applyFont="1" applyFill="1" applyBorder="1" applyAlignment="1" applyProtection="1">
      <alignment horizontal="left" vertical="top"/>
      <protection locked="0"/>
    </xf>
    <xf numFmtId="0" fontId="38" fillId="25" borderId="50" xfId="0" applyFont="1" applyFill="1" applyBorder="1" applyAlignment="1" applyProtection="1">
      <alignment horizontal="left" vertical="top"/>
      <protection locked="0"/>
    </xf>
    <xf numFmtId="0" fontId="38" fillId="25" borderId="51" xfId="0" applyFont="1" applyFill="1" applyBorder="1" applyAlignment="1" applyProtection="1">
      <alignment horizontal="left" vertical="top"/>
      <protection locked="0"/>
    </xf>
    <xf numFmtId="0" fontId="38" fillId="0" borderId="18" xfId="0" applyFont="1" applyFill="1" applyBorder="1" applyAlignment="1" applyProtection="1">
      <alignment horizontal="left" vertical="top"/>
    </xf>
    <xf numFmtId="0" fontId="38" fillId="0" borderId="58" xfId="0" applyFont="1" applyFill="1" applyBorder="1" applyAlignment="1" applyProtection="1">
      <alignment horizontal="left" vertical="top"/>
    </xf>
    <xf numFmtId="0" fontId="38" fillId="25" borderId="33" xfId="0" applyFont="1" applyFill="1" applyBorder="1" applyAlignment="1" applyProtection="1">
      <alignment horizontal="left" vertical="top" wrapText="1" indent="1"/>
      <protection locked="0"/>
    </xf>
    <xf numFmtId="0" fontId="38" fillId="25" borderId="29" xfId="0" applyFont="1" applyFill="1" applyBorder="1" applyAlignment="1" applyProtection="1">
      <alignment horizontal="left" vertical="top" wrapText="1" indent="1"/>
      <protection locked="0"/>
    </xf>
    <xf numFmtId="0" fontId="39" fillId="0" borderId="10" xfId="0" applyFont="1" applyBorder="1" applyAlignment="1" applyProtection="1">
      <alignment horizontal="left" vertical="top" wrapText="1"/>
    </xf>
    <xf numFmtId="0" fontId="39" fillId="0" borderId="17" xfId="0" applyFont="1" applyBorder="1" applyAlignment="1" applyProtection="1">
      <alignment horizontal="left" vertical="top" wrapText="1"/>
    </xf>
    <xf numFmtId="0" fontId="38" fillId="25" borderId="44" xfId="0" applyFont="1" applyFill="1" applyBorder="1" applyAlignment="1" applyProtection="1">
      <alignment horizontal="left" vertical="top" wrapText="1" indent="1"/>
      <protection locked="0"/>
    </xf>
    <xf numFmtId="0" fontId="38" fillId="25" borderId="52" xfId="0" applyFont="1" applyFill="1" applyBorder="1" applyAlignment="1" applyProtection="1">
      <alignment horizontal="left" vertical="top" wrapText="1" indent="1"/>
      <protection locked="0"/>
    </xf>
    <xf numFmtId="0" fontId="38" fillId="25" borderId="45" xfId="0" applyFont="1" applyFill="1" applyBorder="1" applyAlignment="1" applyProtection="1">
      <alignment horizontal="left" vertical="top" wrapText="1" indent="1"/>
      <protection locked="0"/>
    </xf>
    <xf numFmtId="0" fontId="38" fillId="25" borderId="53" xfId="0" applyFont="1" applyFill="1" applyBorder="1" applyAlignment="1" applyProtection="1">
      <alignment horizontal="left" vertical="top" wrapText="1" indent="1"/>
      <protection locked="0"/>
    </xf>
    <xf numFmtId="0" fontId="51" fillId="0" borderId="59" xfId="0" applyFont="1" applyFill="1" applyBorder="1" applyAlignment="1" applyProtection="1">
      <alignment horizontal="center" vertical="center" wrapText="1"/>
    </xf>
    <xf numFmtId="0" fontId="51" fillId="0" borderId="57" xfId="0" applyFont="1" applyFill="1" applyBorder="1" applyAlignment="1" applyProtection="1">
      <alignment horizontal="center" vertical="center" wrapText="1"/>
    </xf>
    <xf numFmtId="0" fontId="51" fillId="0" borderId="62" xfId="0" applyFont="1" applyFill="1" applyBorder="1" applyAlignment="1" applyProtection="1">
      <alignment horizontal="center" vertical="center" wrapText="1"/>
    </xf>
    <xf numFmtId="0" fontId="38" fillId="24" borderId="80" xfId="0" applyFont="1" applyFill="1" applyBorder="1" applyAlignment="1" applyProtection="1"/>
    <xf numFmtId="0" fontId="38" fillId="24" borderId="81" xfId="0" applyFont="1" applyFill="1" applyBorder="1" applyAlignment="1" applyProtection="1"/>
    <xf numFmtId="0" fontId="38" fillId="24" borderId="79" xfId="0" applyFont="1" applyFill="1" applyBorder="1" applyAlignment="1" applyProtection="1"/>
    <xf numFmtId="0" fontId="6" fillId="25" borderId="22" xfId="0" applyFont="1" applyFill="1" applyBorder="1" applyAlignment="1" applyProtection="1">
      <alignment horizontal="left"/>
      <protection locked="0"/>
    </xf>
    <xf numFmtId="0" fontId="6" fillId="25" borderId="34" xfId="0" applyFont="1" applyFill="1" applyBorder="1" applyAlignment="1" applyProtection="1">
      <alignment horizontal="left"/>
      <protection locked="0"/>
    </xf>
    <xf numFmtId="0" fontId="6" fillId="25" borderId="53" xfId="0" applyFont="1" applyFill="1" applyBorder="1" applyAlignment="1" applyProtection="1">
      <alignment horizontal="left"/>
      <protection locked="0"/>
    </xf>
    <xf numFmtId="0" fontId="6" fillId="25" borderId="24" xfId="0" applyFont="1" applyFill="1" applyBorder="1" applyAlignment="1" applyProtection="1">
      <alignment horizontal="left"/>
      <protection locked="0"/>
    </xf>
    <xf numFmtId="0" fontId="6" fillId="25" borderId="37" xfId="0" applyFont="1" applyFill="1" applyBorder="1" applyAlignment="1" applyProtection="1">
      <alignment horizontal="left"/>
      <protection locked="0"/>
    </xf>
    <xf numFmtId="0" fontId="6" fillId="25" borderId="54" xfId="0" applyFont="1" applyFill="1" applyBorder="1" applyAlignment="1" applyProtection="1">
      <alignment horizontal="left"/>
      <protection locked="0"/>
    </xf>
    <xf numFmtId="0" fontId="39" fillId="0" borderId="30" xfId="0" applyFont="1" applyBorder="1" applyAlignment="1" applyProtection="1">
      <alignment horizontal="left" vertical="center" wrapText="1"/>
    </xf>
    <xf numFmtId="0" fontId="39" fillId="0" borderId="51" xfId="0" applyFont="1" applyBorder="1" applyAlignment="1" applyProtection="1">
      <alignment horizontal="left" vertical="center" wrapText="1"/>
    </xf>
    <xf numFmtId="0" fontId="6" fillId="25" borderId="40" xfId="0" applyFont="1" applyFill="1" applyBorder="1" applyAlignment="1" applyProtection="1">
      <alignment horizontal="left"/>
      <protection locked="0"/>
    </xf>
    <xf numFmtId="0" fontId="6" fillId="25" borderId="49" xfId="0" applyFont="1" applyFill="1" applyBorder="1" applyAlignment="1" applyProtection="1">
      <alignment horizontal="left"/>
      <protection locked="0"/>
    </xf>
    <xf numFmtId="0" fontId="6" fillId="25" borderId="52" xfId="0" applyFont="1" applyFill="1" applyBorder="1" applyAlignment="1" applyProtection="1">
      <alignment horizontal="left"/>
      <protection locked="0"/>
    </xf>
    <xf numFmtId="0" fontId="6" fillId="25" borderId="31" xfId="0" applyFont="1" applyFill="1" applyBorder="1" applyAlignment="1" applyProtection="1">
      <alignment horizontal="left"/>
      <protection locked="0"/>
    </xf>
    <xf numFmtId="0" fontId="39" fillId="0" borderId="30" xfId="0" applyFont="1" applyBorder="1" applyAlignment="1">
      <alignment horizontal="left" vertical="center"/>
    </xf>
    <xf numFmtId="0" fontId="39" fillId="0" borderId="50" xfId="0" applyFont="1" applyBorder="1" applyAlignment="1">
      <alignment horizontal="left" vertical="center"/>
    </xf>
    <xf numFmtId="0" fontId="39" fillId="0" borderId="47" xfId="0" applyFont="1" applyBorder="1" applyAlignment="1">
      <alignment horizontal="left" vertical="center"/>
    </xf>
    <xf numFmtId="0" fontId="6" fillId="25" borderId="41" xfId="0" applyFont="1" applyFill="1" applyBorder="1" applyAlignment="1" applyProtection="1">
      <alignment horizontal="left"/>
      <protection locked="0"/>
    </xf>
    <xf numFmtId="0" fontId="6" fillId="25" borderId="42" xfId="0" applyFont="1" applyFill="1" applyBorder="1" applyAlignment="1" applyProtection="1">
      <alignment horizontal="left"/>
      <protection locked="0"/>
    </xf>
    <xf numFmtId="0" fontId="42" fillId="24" borderId="22" xfId="0" applyFont="1" applyFill="1" applyBorder="1" applyAlignment="1" applyProtection="1">
      <alignment horizontal="center" vertical="top" wrapText="1"/>
      <protection locked="0"/>
    </xf>
    <xf numFmtId="0" fontId="42" fillId="24" borderId="29" xfId="0" applyFont="1" applyFill="1" applyBorder="1" applyAlignment="1" applyProtection="1">
      <alignment horizontal="center" vertical="top" wrapText="1"/>
      <protection locked="0"/>
    </xf>
    <xf numFmtId="0" fontId="42" fillId="24" borderId="33" xfId="0" applyFont="1" applyFill="1" applyBorder="1" applyAlignment="1" applyProtection="1">
      <alignment horizontal="left" vertical="top" wrapText="1" indent="1"/>
      <protection locked="0"/>
    </xf>
    <xf numFmtId="0" fontId="42" fillId="24" borderId="31" xfId="0" applyFont="1" applyFill="1" applyBorder="1" applyAlignment="1" applyProtection="1">
      <alignment horizontal="left" vertical="top" wrapText="1" indent="1"/>
      <protection locked="0"/>
    </xf>
    <xf numFmtId="0" fontId="42" fillId="24" borderId="22" xfId="0" applyFont="1" applyFill="1" applyBorder="1" applyAlignment="1" applyProtection="1">
      <alignment horizontal="left" vertical="top" wrapText="1" indent="1"/>
      <protection locked="0"/>
    </xf>
    <xf numFmtId="0" fontId="42" fillId="24" borderId="24" xfId="0" applyFont="1" applyFill="1" applyBorder="1" applyAlignment="1" applyProtection="1">
      <alignment horizontal="center" vertical="top" wrapText="1"/>
      <protection locked="0"/>
    </xf>
    <xf numFmtId="0" fontId="42" fillId="24" borderId="26" xfId="0" applyFont="1" applyFill="1" applyBorder="1" applyAlignment="1" applyProtection="1">
      <alignment horizontal="center" vertical="top" wrapText="1"/>
      <protection locked="0"/>
    </xf>
    <xf numFmtId="0" fontId="42" fillId="24" borderId="15" xfId="0" applyFont="1" applyFill="1" applyBorder="1" applyAlignment="1" applyProtection="1">
      <alignment horizontal="left" vertical="top" wrapText="1" indent="1"/>
      <protection locked="0"/>
    </xf>
    <xf numFmtId="0" fontId="42" fillId="24" borderId="32" xfId="0" applyFont="1" applyFill="1" applyBorder="1" applyAlignment="1" applyProtection="1">
      <alignment horizontal="left" vertical="top" wrapText="1" indent="1"/>
      <protection locked="0"/>
    </xf>
    <xf numFmtId="0" fontId="42" fillId="24" borderId="24" xfId="0" applyFont="1" applyFill="1" applyBorder="1" applyAlignment="1" applyProtection="1">
      <alignment horizontal="left" vertical="top" wrapText="1" indent="1"/>
      <protection locked="0"/>
    </xf>
    <xf numFmtId="0" fontId="38" fillId="24" borderId="34" xfId="0" applyFont="1" applyFill="1" applyBorder="1" applyAlignment="1" applyProtection="1">
      <alignment horizontal="left" vertical="top" wrapText="1" indent="1"/>
      <protection locked="0"/>
    </xf>
    <xf numFmtId="0" fontId="38" fillId="24" borderId="42" xfId="0" applyFont="1" applyFill="1" applyBorder="1" applyAlignment="1" applyProtection="1">
      <alignment horizontal="left" vertical="top" wrapText="1" indent="1"/>
      <protection locked="0"/>
    </xf>
    <xf numFmtId="0" fontId="38" fillId="24" borderId="31" xfId="0" applyFont="1" applyFill="1" applyBorder="1" applyAlignment="1" applyProtection="1">
      <alignment horizontal="left" vertical="top" wrapText="1" indent="1"/>
      <protection locked="0"/>
    </xf>
    <xf numFmtId="0" fontId="38" fillId="24" borderId="22" xfId="0" applyFont="1" applyFill="1" applyBorder="1" applyAlignment="1" applyProtection="1">
      <alignment horizontal="left" vertical="top" wrapText="1" indent="1"/>
      <protection locked="0"/>
    </xf>
    <xf numFmtId="0" fontId="38" fillId="24" borderId="29" xfId="0" applyFont="1" applyFill="1" applyBorder="1" applyAlignment="1" applyProtection="1">
      <alignment horizontal="left" vertical="top" wrapText="1" indent="1"/>
      <protection locked="0"/>
    </xf>
    <xf numFmtId="0" fontId="38" fillId="24" borderId="37" xfId="0" applyFont="1" applyFill="1" applyBorder="1" applyAlignment="1" applyProtection="1">
      <alignment horizontal="center" vertical="top" wrapText="1"/>
      <protection locked="0"/>
    </xf>
    <xf numFmtId="0" fontId="38" fillId="24" borderId="43" xfId="0" applyFont="1" applyFill="1" applyBorder="1" applyAlignment="1" applyProtection="1">
      <alignment horizontal="center" vertical="top" wrapText="1"/>
      <protection locked="0"/>
    </xf>
    <xf numFmtId="0" fontId="38" fillId="24" borderId="32" xfId="0" applyFont="1" applyFill="1" applyBorder="1" applyAlignment="1" applyProtection="1">
      <alignment horizontal="center" vertical="top" wrapText="1"/>
      <protection locked="0"/>
    </xf>
    <xf numFmtId="0" fontId="38" fillId="24" borderId="24" xfId="0" applyFont="1" applyFill="1" applyBorder="1" applyAlignment="1" applyProtection="1">
      <alignment horizontal="left" vertical="top" wrapText="1"/>
      <protection locked="0"/>
    </xf>
    <xf numFmtId="0" fontId="38" fillId="24" borderId="26" xfId="0" applyFont="1" applyFill="1" applyBorder="1" applyAlignment="1" applyProtection="1">
      <alignment horizontal="left" vertical="top" wrapText="1"/>
      <protection locked="0"/>
    </xf>
    <xf numFmtId="0" fontId="39" fillId="0" borderId="10" xfId="0" applyFont="1" applyBorder="1" applyAlignment="1" applyProtection="1">
      <alignment horizontal="center" vertical="top" wrapText="1"/>
    </xf>
    <xf numFmtId="0" fontId="39" fillId="0" borderId="47" xfId="0" applyFont="1" applyBorder="1" applyAlignment="1" applyProtection="1">
      <alignment horizontal="center" vertical="top" wrapText="1"/>
    </xf>
    <xf numFmtId="0" fontId="39" fillId="0" borderId="13" xfId="0" applyFont="1" applyBorder="1" applyAlignment="1" applyProtection="1">
      <alignment horizontal="center" vertical="top" wrapText="1"/>
    </xf>
    <xf numFmtId="0" fontId="42" fillId="24" borderId="35" xfId="0" applyFont="1" applyFill="1" applyBorder="1" applyAlignment="1" applyProtection="1">
      <alignment horizontal="left" vertical="top" wrapText="1" indent="1"/>
      <protection locked="0"/>
    </xf>
    <xf numFmtId="0" fontId="42" fillId="24" borderId="66" xfId="0" applyFont="1" applyFill="1" applyBorder="1" applyAlignment="1" applyProtection="1">
      <alignment horizontal="left" vertical="top" wrapText="1" indent="1"/>
      <protection locked="0"/>
    </xf>
    <xf numFmtId="0" fontId="42" fillId="24" borderId="27" xfId="0" applyFont="1" applyFill="1" applyBorder="1" applyAlignment="1" applyProtection="1">
      <alignment horizontal="left" vertical="top" wrapText="1" indent="1"/>
      <protection locked="0"/>
    </xf>
    <xf numFmtId="0" fontId="39" fillId="0" borderId="17" xfId="0" applyFont="1" applyBorder="1" applyAlignment="1" applyProtection="1">
      <alignment horizontal="center" vertical="center" wrapText="1"/>
    </xf>
    <xf numFmtId="0" fontId="42" fillId="24" borderId="27" xfId="0" applyFont="1" applyFill="1" applyBorder="1" applyAlignment="1" applyProtection="1">
      <alignment horizontal="center" vertical="top" wrapText="1"/>
      <protection locked="0"/>
    </xf>
    <xf numFmtId="0" fontId="42" fillId="24" borderId="36" xfId="0" applyFont="1" applyFill="1" applyBorder="1" applyAlignment="1" applyProtection="1">
      <alignment horizontal="center" vertical="top" wrapText="1"/>
      <protection locked="0"/>
    </xf>
    <xf numFmtId="0" fontId="38" fillId="24" borderId="40" xfId="0" applyFont="1" applyFill="1" applyBorder="1" applyAlignment="1" applyProtection="1">
      <alignment horizontal="left" vertical="top" wrapText="1" indent="1"/>
      <protection locked="0"/>
    </xf>
    <xf numFmtId="0" fontId="38" fillId="24" borderId="41" xfId="0" applyFont="1" applyFill="1" applyBorder="1" applyAlignment="1" applyProtection="1">
      <alignment horizontal="left" vertical="top" wrapText="1" indent="1"/>
      <protection locked="0"/>
    </xf>
    <xf numFmtId="0" fontId="38" fillId="24" borderId="49" xfId="0" applyFont="1" applyFill="1" applyBorder="1" applyAlignment="1" applyProtection="1">
      <alignment horizontal="left" vertical="top" wrapText="1" indent="1"/>
      <protection locked="0"/>
    </xf>
    <xf numFmtId="0" fontId="38" fillId="24" borderId="27" xfId="0" applyFont="1" applyFill="1" applyBorder="1" applyAlignment="1" applyProtection="1">
      <alignment horizontal="left" vertical="top" wrapText="1" indent="1"/>
      <protection locked="0"/>
    </xf>
    <xf numFmtId="0" fontId="38" fillId="24" borderId="36" xfId="0" applyFont="1" applyFill="1" applyBorder="1" applyAlignment="1" applyProtection="1">
      <alignment horizontal="left" vertical="top" wrapText="1" indent="1"/>
      <protection locked="0"/>
    </xf>
    <xf numFmtId="0" fontId="38" fillId="25" borderId="22" xfId="0" applyFont="1" applyFill="1" applyBorder="1" applyAlignment="1" applyProtection="1">
      <alignment horizontal="left" vertical="top" wrapText="1" indent="1"/>
      <protection locked="0"/>
    </xf>
    <xf numFmtId="0" fontId="38" fillId="25" borderId="24" xfId="0" applyFont="1" applyFill="1" applyBorder="1" applyAlignment="1" applyProtection="1">
      <alignment horizontal="left" vertical="top" wrapText="1" indent="1"/>
      <protection locked="0"/>
    </xf>
    <xf numFmtId="0" fontId="39" fillId="0" borderId="30" xfId="0" applyFont="1" applyBorder="1" applyAlignment="1" applyProtection="1">
      <alignment horizontal="center" vertical="top" wrapText="1"/>
    </xf>
    <xf numFmtId="0" fontId="39" fillId="0" borderId="50" xfId="0" applyFont="1" applyBorder="1" applyAlignment="1" applyProtection="1">
      <alignment horizontal="center" vertical="top" wrapText="1"/>
    </xf>
    <xf numFmtId="0" fontId="39" fillId="0" borderId="17" xfId="0" applyFont="1" applyBorder="1" applyAlignment="1" applyProtection="1">
      <alignment horizontal="center" vertical="top" wrapText="1"/>
    </xf>
    <xf numFmtId="0" fontId="38" fillId="0" borderId="16" xfId="0" applyFont="1" applyBorder="1" applyAlignment="1" applyProtection="1">
      <alignment horizontal="left" vertical="center" wrapText="1" indent="1"/>
    </xf>
    <xf numFmtId="0" fontId="38" fillId="0" borderId="51" xfId="0" applyFont="1" applyBorder="1" applyAlignment="1" applyProtection="1">
      <alignment horizontal="left" vertical="center" wrapText="1" indent="1"/>
    </xf>
    <xf numFmtId="0" fontId="38" fillId="25" borderId="16" xfId="0" applyFont="1" applyFill="1" applyBorder="1" applyAlignment="1" applyProtection="1">
      <alignment horizontal="right" vertical="center" wrapText="1" indent="1"/>
      <protection locked="0"/>
    </xf>
    <xf numFmtId="0" fontId="38" fillId="25" borderId="51" xfId="0" applyFont="1" applyFill="1" applyBorder="1" applyAlignment="1" applyProtection="1">
      <alignment horizontal="right" vertical="center" wrapText="1" indent="1"/>
      <protection locked="0"/>
    </xf>
    <xf numFmtId="0" fontId="38" fillId="24" borderId="16" xfId="0" applyFont="1" applyFill="1" applyBorder="1" applyAlignment="1" applyProtection="1">
      <alignment horizontal="left" vertical="top"/>
      <protection locked="0"/>
    </xf>
    <xf numFmtId="0" fontId="0" fillId="0" borderId="50" xfId="0" applyBorder="1" applyAlignment="1">
      <alignment horizontal="left" vertical="top"/>
    </xf>
    <xf numFmtId="0" fontId="0" fillId="0" borderId="51" xfId="0" applyBorder="1" applyAlignment="1">
      <alignment horizontal="left" vertical="top"/>
    </xf>
    <xf numFmtId="0" fontId="38" fillId="25" borderId="34" xfId="0" applyFont="1" applyFill="1" applyBorder="1" applyAlignment="1" applyProtection="1">
      <alignment horizontal="left"/>
      <protection locked="0"/>
    </xf>
    <xf numFmtId="0" fontId="0" fillId="0" borderId="53" xfId="0" applyBorder="1" applyAlignment="1">
      <alignment horizontal="left"/>
    </xf>
    <xf numFmtId="0" fontId="38" fillId="25" borderId="37" xfId="0" applyFont="1" applyFill="1" applyBorder="1" applyAlignment="1" applyProtection="1">
      <alignment horizontal="left"/>
      <protection locked="0"/>
    </xf>
    <xf numFmtId="0" fontId="0" fillId="0" borderId="54" xfId="0" applyBorder="1" applyAlignment="1">
      <alignment horizontal="left"/>
    </xf>
    <xf numFmtId="0" fontId="38" fillId="0" borderId="0" xfId="0" applyFont="1" applyFill="1" applyBorder="1" applyAlignment="1" applyProtection="1">
      <alignment horizontal="center" vertical="center"/>
    </xf>
    <xf numFmtId="0" fontId="38" fillId="0" borderId="57" xfId="0" applyFont="1" applyFill="1" applyBorder="1" applyAlignment="1" applyProtection="1">
      <alignment horizontal="center" vertical="center"/>
    </xf>
    <xf numFmtId="0" fontId="38" fillId="25" borderId="15" xfId="0" applyFont="1" applyFill="1" applyBorder="1" applyAlignment="1" applyProtection="1">
      <alignment horizontal="left" vertical="top" wrapText="1" indent="1"/>
      <protection locked="0"/>
    </xf>
    <xf numFmtId="0" fontId="38" fillId="25" borderId="26" xfId="0" applyFont="1" applyFill="1" applyBorder="1" applyAlignment="1" applyProtection="1">
      <alignment horizontal="left" vertical="top" wrapText="1" indent="1"/>
      <protection locked="0"/>
    </xf>
    <xf numFmtId="0" fontId="39" fillId="0" borderId="13" xfId="0" applyFont="1" applyBorder="1" applyAlignment="1" applyProtection="1">
      <alignment horizontal="left" vertical="top" wrapText="1"/>
    </xf>
    <xf numFmtId="0" fontId="38" fillId="25" borderId="27" xfId="0" applyFont="1" applyFill="1" applyBorder="1" applyAlignment="1" applyProtection="1">
      <alignment horizontal="left" vertical="top" wrapText="1" indent="1"/>
      <protection locked="0"/>
    </xf>
    <xf numFmtId="0" fontId="39" fillId="0" borderId="30" xfId="0" applyFont="1" applyBorder="1" applyAlignment="1" applyProtection="1">
      <alignment horizontal="center"/>
    </xf>
    <xf numFmtId="0" fontId="0" fillId="0" borderId="51" xfId="0" applyBorder="1" applyAlignment="1">
      <alignment horizontal="center"/>
    </xf>
    <xf numFmtId="0" fontId="38" fillId="25" borderId="40" xfId="0" applyFont="1" applyFill="1" applyBorder="1" applyAlignment="1" applyProtection="1">
      <alignment horizontal="left"/>
      <protection locked="0"/>
    </xf>
    <xf numFmtId="0" fontId="0" fillId="0" borderId="52" xfId="0" applyBorder="1" applyAlignment="1">
      <alignment horizontal="left"/>
    </xf>
    <xf numFmtId="49" fontId="38" fillId="25" borderId="22" xfId="0" applyNumberFormat="1" applyFont="1" applyFill="1" applyBorder="1" applyAlignment="1" applyProtection="1">
      <alignment horizontal="center" vertical="center" wrapText="1"/>
      <protection locked="0"/>
    </xf>
    <xf numFmtId="49" fontId="38" fillId="25" borderId="24" xfId="0" applyNumberFormat="1" applyFont="1" applyFill="1" applyBorder="1" applyAlignment="1" applyProtection="1">
      <alignment horizontal="center" vertical="center" wrapText="1"/>
      <protection locked="0"/>
    </xf>
    <xf numFmtId="0" fontId="38" fillId="0" borderId="80" xfId="0" applyFont="1" applyFill="1" applyBorder="1" applyAlignment="1" applyProtection="1">
      <alignment horizontal="center" vertical="center" wrapText="1"/>
    </xf>
    <xf numFmtId="0" fontId="0" fillId="0" borderId="81" xfId="0" applyBorder="1" applyAlignment="1">
      <alignment horizontal="center" vertical="center" wrapText="1"/>
    </xf>
    <xf numFmtId="0" fontId="0" fillId="0" borderId="79" xfId="0" applyBorder="1" applyAlignment="1">
      <alignment horizontal="center" vertical="center" wrapText="1"/>
    </xf>
    <xf numFmtId="49" fontId="39" fillId="0" borderId="28" xfId="0" applyNumberFormat="1" applyFont="1" applyBorder="1" applyAlignment="1" applyProtection="1">
      <alignment horizontal="center" vertical="center" wrapText="1"/>
    </xf>
    <xf numFmtId="49" fontId="39" fillId="0" borderId="25" xfId="0" applyNumberFormat="1" applyFont="1" applyBorder="1" applyAlignment="1" applyProtection="1">
      <alignment horizontal="center" vertical="center" wrapText="1"/>
    </xf>
    <xf numFmtId="49" fontId="38" fillId="25" borderId="65" xfId="0" applyNumberFormat="1" applyFont="1" applyFill="1" applyBorder="1" applyAlignment="1" applyProtection="1">
      <alignment horizontal="center" vertical="center" wrapText="1"/>
      <protection locked="0"/>
    </xf>
    <xf numFmtId="0" fontId="39" fillId="0" borderId="71" xfId="0" applyFont="1" applyBorder="1" applyAlignment="1" applyProtection="1">
      <alignment horizontal="left" vertical="top" wrapText="1" indent="1"/>
    </xf>
    <xf numFmtId="0" fontId="39" fillId="0" borderId="21" xfId="0" applyFont="1" applyBorder="1" applyAlignment="1" applyProtection="1">
      <alignment horizontal="left" vertical="top" wrapText="1" indent="1"/>
    </xf>
    <xf numFmtId="0" fontId="38" fillId="24" borderId="22" xfId="0" applyFont="1" applyFill="1" applyBorder="1" applyAlignment="1" applyProtection="1">
      <alignment horizontal="left" vertical="top" wrapText="1" indent="2"/>
      <protection locked="0"/>
    </xf>
    <xf numFmtId="0" fontId="38" fillId="24" borderId="29" xfId="0" applyFont="1" applyFill="1" applyBorder="1" applyAlignment="1" applyProtection="1">
      <alignment horizontal="left" vertical="top" wrapText="1" indent="2"/>
      <protection locked="0"/>
    </xf>
    <xf numFmtId="0" fontId="38" fillId="24" borderId="56" xfId="0" applyFont="1" applyFill="1" applyBorder="1" applyAlignment="1" applyProtection="1">
      <alignment horizontal="left" vertical="top" wrapText="1" indent="1"/>
      <protection locked="0"/>
    </xf>
    <xf numFmtId="0" fontId="38" fillId="24" borderId="66" xfId="0" applyFont="1" applyFill="1" applyBorder="1" applyAlignment="1" applyProtection="1">
      <alignment horizontal="left" vertical="top" wrapText="1" indent="1"/>
      <protection locked="0"/>
    </xf>
    <xf numFmtId="0" fontId="42" fillId="24" borderId="29" xfId="0" applyFont="1" applyFill="1" applyBorder="1" applyAlignment="1" applyProtection="1">
      <alignment horizontal="left" vertical="top" wrapText="1" indent="1"/>
      <protection locked="0"/>
    </xf>
    <xf numFmtId="0" fontId="38" fillId="0" borderId="22" xfId="0" applyFont="1" applyFill="1" applyBorder="1" applyAlignment="1" applyProtection="1">
      <alignment horizontal="left" indent="1"/>
    </xf>
    <xf numFmtId="0" fontId="38" fillId="0" borderId="33" xfId="0" applyFont="1" applyFill="1" applyBorder="1" applyAlignment="1" applyProtection="1">
      <alignment horizontal="left" vertical="top" wrapText="1" indent="1"/>
    </xf>
    <xf numFmtId="0" fontId="38" fillId="0" borderId="22" xfId="0" applyFont="1" applyFill="1" applyBorder="1" applyAlignment="1" applyProtection="1">
      <alignment horizontal="left" vertical="top" wrapText="1" indent="1"/>
    </xf>
    <xf numFmtId="164" fontId="38" fillId="0" borderId="22" xfId="55" applyNumberFormat="1" applyFont="1" applyFill="1" applyBorder="1" applyAlignment="1" applyProtection="1">
      <alignment horizontal="left" vertical="top" wrapText="1" indent="1"/>
    </xf>
    <xf numFmtId="164" fontId="38" fillId="0" borderId="29" xfId="55" applyNumberFormat="1" applyFont="1" applyFill="1" applyBorder="1" applyAlignment="1" applyProtection="1">
      <alignment horizontal="left" vertical="top" wrapText="1" indent="1"/>
    </xf>
    <xf numFmtId="0" fontId="51" fillId="0" borderId="22" xfId="0" applyNumberFormat="1" applyFont="1" applyFill="1" applyBorder="1" applyAlignment="1" applyProtection="1">
      <alignment horizontal="left" vertical="top" wrapText="1" indent="1"/>
    </xf>
    <xf numFmtId="0" fontId="51" fillId="0" borderId="29" xfId="0" applyNumberFormat="1" applyFont="1" applyFill="1" applyBorder="1" applyAlignment="1" applyProtection="1">
      <alignment horizontal="left" vertical="top" wrapText="1" indent="1"/>
    </xf>
    <xf numFmtId="0" fontId="38" fillId="0" borderId="45" xfId="0" applyFont="1" applyFill="1" applyBorder="1" applyAlignment="1" applyProtection="1">
      <alignment horizontal="left" vertical="top" wrapText="1" indent="1"/>
    </xf>
    <xf numFmtId="0" fontId="38" fillId="0" borderId="42" xfId="0" applyFont="1" applyFill="1" applyBorder="1" applyAlignment="1" applyProtection="1">
      <alignment horizontal="left" vertical="top" wrapText="1" indent="1"/>
    </xf>
    <xf numFmtId="0" fontId="38" fillId="0" borderId="31" xfId="0" applyFont="1" applyFill="1" applyBorder="1" applyAlignment="1" applyProtection="1">
      <alignment horizontal="left" vertical="top" wrapText="1" indent="1"/>
    </xf>
    <xf numFmtId="0" fontId="38" fillId="0" borderId="22" xfId="0" applyNumberFormat="1" applyFont="1" applyFill="1" applyBorder="1" applyAlignment="1" applyProtection="1">
      <alignment horizontal="left" vertical="top" wrapText="1" indent="1"/>
    </xf>
    <xf numFmtId="0" fontId="38" fillId="0" borderId="29" xfId="0" applyNumberFormat="1" applyFont="1" applyFill="1" applyBorder="1" applyAlignment="1" applyProtection="1">
      <alignment horizontal="left" vertical="top" wrapText="1" indent="1"/>
    </xf>
    <xf numFmtId="0" fontId="38" fillId="0" borderId="46" xfId="0" applyFont="1" applyFill="1" applyBorder="1" applyAlignment="1" applyProtection="1">
      <alignment horizontal="left" vertical="top" wrapText="1" indent="1"/>
    </xf>
    <xf numFmtId="0" fontId="38" fillId="0" borderId="43" xfId="0" applyFont="1" applyFill="1" applyBorder="1" applyAlignment="1" applyProtection="1">
      <alignment horizontal="left" vertical="top" wrapText="1" indent="1"/>
    </xf>
    <xf numFmtId="0" fontId="38" fillId="0" borderId="32" xfId="0" applyFont="1" applyFill="1" applyBorder="1" applyAlignment="1" applyProtection="1">
      <alignment horizontal="left" vertical="top" wrapText="1" indent="1"/>
    </xf>
    <xf numFmtId="0" fontId="38" fillId="0" borderId="24" xfId="0" applyNumberFormat="1" applyFont="1" applyFill="1" applyBorder="1" applyAlignment="1" applyProtection="1">
      <alignment horizontal="left" vertical="top" wrapText="1" indent="1"/>
    </xf>
    <xf numFmtId="0" fontId="38" fillId="0" borderId="26" xfId="0" applyNumberFormat="1" applyFont="1" applyFill="1" applyBorder="1" applyAlignment="1" applyProtection="1">
      <alignment horizontal="left" vertical="top" wrapText="1" indent="1"/>
    </xf>
    <xf numFmtId="0" fontId="38" fillId="25" borderId="15" xfId="0" applyFont="1" applyFill="1" applyBorder="1" applyAlignment="1" applyProtection="1">
      <alignment horizontal="left" vertical="center" wrapText="1" indent="1"/>
      <protection locked="0"/>
    </xf>
    <xf numFmtId="0" fontId="38" fillId="25" borderId="24" xfId="0" applyFont="1" applyFill="1" applyBorder="1" applyAlignment="1" applyProtection="1">
      <alignment horizontal="left" vertical="center" wrapText="1" indent="1"/>
      <protection locked="0"/>
    </xf>
    <xf numFmtId="0" fontId="38" fillId="24" borderId="24" xfId="0" applyFont="1" applyFill="1" applyBorder="1" applyAlignment="1" applyProtection="1">
      <alignment horizontal="left" vertical="top" wrapText="1" indent="2"/>
      <protection locked="0"/>
    </xf>
    <xf numFmtId="0" fontId="38" fillId="24" borderId="26" xfId="0" applyFont="1" applyFill="1" applyBorder="1" applyAlignment="1" applyProtection="1">
      <alignment horizontal="left" vertical="top" wrapText="1" indent="2"/>
      <protection locked="0"/>
    </xf>
    <xf numFmtId="164" fontId="38" fillId="0" borderId="34" xfId="55" applyNumberFormat="1" applyFont="1" applyFill="1" applyBorder="1" applyAlignment="1" applyProtection="1">
      <alignment horizontal="center" vertical="top" wrapText="1"/>
    </xf>
    <xf numFmtId="164" fontId="38" fillId="0" borderId="53" xfId="55" applyNumberFormat="1" applyFont="1" applyFill="1" applyBorder="1" applyAlignment="1" applyProtection="1">
      <alignment horizontal="center" vertical="top" wrapText="1"/>
    </xf>
    <xf numFmtId="49" fontId="38" fillId="25" borderId="45" xfId="0" applyNumberFormat="1" applyFont="1" applyFill="1" applyBorder="1" applyAlignment="1" applyProtection="1">
      <alignment horizontal="left" vertical="center" wrapText="1" indent="1"/>
      <protection locked="0"/>
    </xf>
    <xf numFmtId="49" fontId="38" fillId="25" borderId="42" xfId="0" applyNumberFormat="1" applyFont="1" applyFill="1" applyBorder="1" applyAlignment="1" applyProtection="1">
      <alignment horizontal="left" vertical="center" wrapText="1" indent="1"/>
      <protection locked="0"/>
    </xf>
    <xf numFmtId="49" fontId="38" fillId="25" borderId="31" xfId="0" applyNumberFormat="1" applyFont="1" applyFill="1" applyBorder="1" applyAlignment="1" applyProtection="1">
      <alignment horizontal="left" vertical="center" wrapText="1" indent="1"/>
      <protection locked="0"/>
    </xf>
    <xf numFmtId="0" fontId="39" fillId="0" borderId="16" xfId="0" applyFont="1" applyBorder="1" applyAlignment="1" applyProtection="1">
      <alignment horizontal="left" wrapText="1" indent="1"/>
    </xf>
    <xf numFmtId="0" fontId="39" fillId="0" borderId="50" xfId="0" applyFont="1" applyBorder="1" applyAlignment="1" applyProtection="1">
      <alignment horizontal="left" wrapText="1" indent="1"/>
    </xf>
    <xf numFmtId="0" fontId="39" fillId="0" borderId="47" xfId="0" applyFont="1" applyBorder="1" applyAlignment="1" applyProtection="1">
      <alignment horizontal="left" wrapText="1" indent="1"/>
    </xf>
    <xf numFmtId="0" fontId="39" fillId="0" borderId="23" xfId="0" applyFont="1" applyBorder="1" applyAlignment="1" applyProtection="1">
      <alignment horizontal="left" vertical="top" wrapText="1" indent="1"/>
    </xf>
    <xf numFmtId="0" fontId="39" fillId="0" borderId="25" xfId="0" applyFont="1" applyBorder="1" applyAlignment="1" applyProtection="1">
      <alignment horizontal="left" vertical="top" wrapText="1" indent="1"/>
    </xf>
    <xf numFmtId="0" fontId="38" fillId="0" borderId="18" xfId="0" applyFont="1" applyFill="1" applyBorder="1" applyAlignment="1" applyProtection="1">
      <alignment horizontal="left" vertical="top" wrapText="1" indent="1"/>
    </xf>
    <xf numFmtId="0" fontId="38" fillId="0" borderId="65" xfId="0" applyFont="1" applyFill="1" applyBorder="1" applyAlignment="1" applyProtection="1">
      <alignment horizontal="left" vertical="top" wrapText="1" indent="1"/>
    </xf>
    <xf numFmtId="14" fontId="38" fillId="0" borderId="65" xfId="0" applyNumberFormat="1" applyFont="1" applyFill="1" applyBorder="1" applyAlignment="1" applyProtection="1">
      <alignment horizontal="left" vertical="top" wrapText="1" indent="1"/>
    </xf>
    <xf numFmtId="14" fontId="38" fillId="0" borderId="58" xfId="0" applyNumberFormat="1" applyFont="1" applyFill="1" applyBorder="1" applyAlignment="1" applyProtection="1">
      <alignment horizontal="left" vertical="top" wrapText="1" indent="1"/>
    </xf>
    <xf numFmtId="0" fontId="42" fillId="24" borderId="18" xfId="0" applyFont="1" applyFill="1" applyBorder="1" applyAlignment="1" applyProtection="1">
      <alignment horizontal="left" vertical="top" wrapText="1" indent="1"/>
      <protection locked="0"/>
    </xf>
    <xf numFmtId="0" fontId="42" fillId="24" borderId="49" xfId="0" applyFont="1" applyFill="1" applyBorder="1" applyAlignment="1" applyProtection="1">
      <alignment horizontal="left" vertical="top" wrapText="1" indent="1"/>
      <protection locked="0"/>
    </xf>
    <xf numFmtId="0" fontId="42" fillId="24" borderId="65" xfId="0" applyFont="1" applyFill="1" applyBorder="1" applyAlignment="1" applyProtection="1">
      <alignment horizontal="left" vertical="top" wrapText="1" indent="1"/>
      <protection locked="0"/>
    </xf>
    <xf numFmtId="14" fontId="38" fillId="0" borderId="34" xfId="0" applyNumberFormat="1" applyFont="1" applyFill="1" applyBorder="1" applyAlignment="1" applyProtection="1">
      <alignment horizontal="left" vertical="top" wrapText="1" indent="1"/>
    </xf>
    <xf numFmtId="14" fontId="38" fillId="0" borderId="53" xfId="0" applyNumberFormat="1" applyFont="1" applyFill="1" applyBorder="1" applyAlignment="1" applyProtection="1">
      <alignment horizontal="left" vertical="top" wrapText="1" indent="1"/>
    </xf>
    <xf numFmtId="14" fontId="38" fillId="0" borderId="22" xfId="0" applyNumberFormat="1" applyFont="1" applyFill="1" applyBorder="1" applyAlignment="1" applyProtection="1">
      <alignment horizontal="left" vertical="top" wrapText="1" indent="1"/>
    </xf>
    <xf numFmtId="14" fontId="38" fillId="0" borderId="29" xfId="0" applyNumberFormat="1" applyFont="1" applyFill="1" applyBorder="1" applyAlignment="1" applyProtection="1">
      <alignment horizontal="left" vertical="top" wrapText="1" indent="1"/>
    </xf>
    <xf numFmtId="0" fontId="42" fillId="24" borderId="58" xfId="0" applyFont="1" applyFill="1" applyBorder="1" applyAlignment="1" applyProtection="1">
      <alignment horizontal="left" vertical="top" wrapText="1" indent="1"/>
      <protection locked="0"/>
    </xf>
    <xf numFmtId="0" fontId="38" fillId="24" borderId="62" xfId="0" applyFont="1" applyFill="1" applyBorder="1" applyAlignment="1" applyProtection="1">
      <alignment horizontal="left" vertical="top" wrapText="1" indent="1"/>
      <protection locked="0"/>
    </xf>
    <xf numFmtId="0" fontId="38" fillId="24" borderId="77" xfId="0" applyFont="1" applyFill="1" applyBorder="1" applyAlignment="1" applyProtection="1">
      <alignment horizontal="left" vertical="top" wrapText="1" indent="1"/>
      <protection locked="0"/>
    </xf>
    <xf numFmtId="0" fontId="42" fillId="24" borderId="26" xfId="0" applyFont="1" applyFill="1" applyBorder="1" applyAlignment="1" applyProtection="1">
      <alignment horizontal="left" vertical="top" wrapText="1" indent="1"/>
      <protection locked="0"/>
    </xf>
    <xf numFmtId="0" fontId="38" fillId="24" borderId="46" xfId="0" applyFont="1" applyFill="1" applyBorder="1" applyAlignment="1" applyProtection="1">
      <alignment horizontal="center" vertical="top" wrapText="1"/>
      <protection locked="0"/>
    </xf>
    <xf numFmtId="0" fontId="38" fillId="24" borderId="54" xfId="0" applyFont="1" applyFill="1" applyBorder="1" applyAlignment="1" applyProtection="1">
      <alignment horizontal="center" vertical="top" wrapText="1"/>
      <protection locked="0"/>
    </xf>
    <xf numFmtId="0" fontId="39" fillId="0" borderId="0" xfId="0" applyFont="1" applyFill="1" applyBorder="1" applyAlignment="1" applyProtection="1">
      <alignment horizontal="left" vertical="center" wrapText="1"/>
    </xf>
    <xf numFmtId="0" fontId="38" fillId="24" borderId="45" xfId="0" applyFont="1" applyFill="1" applyBorder="1" applyAlignment="1" applyProtection="1">
      <alignment horizontal="center" vertical="top" wrapText="1"/>
      <protection locked="0"/>
    </xf>
    <xf numFmtId="0" fontId="38" fillId="24" borderId="42" xfId="0" applyFont="1" applyFill="1" applyBorder="1" applyAlignment="1" applyProtection="1">
      <alignment horizontal="center" vertical="top" wrapText="1"/>
      <protection locked="0"/>
    </xf>
    <xf numFmtId="0" fontId="38" fillId="24" borderId="53" xfId="0" applyFont="1" applyFill="1" applyBorder="1" applyAlignment="1" applyProtection="1">
      <alignment horizontal="center" vertical="top" wrapText="1"/>
      <protection locked="0"/>
    </xf>
    <xf numFmtId="0" fontId="38" fillId="24" borderId="44" xfId="0" applyFont="1" applyFill="1" applyBorder="1" applyAlignment="1" applyProtection="1">
      <alignment horizontal="center" vertical="top" wrapText="1"/>
      <protection locked="0"/>
    </xf>
    <xf numFmtId="0" fontId="38" fillId="24" borderId="41" xfId="0" applyFont="1" applyFill="1" applyBorder="1" applyAlignment="1" applyProtection="1">
      <alignment horizontal="center" vertical="top" wrapText="1"/>
      <protection locked="0"/>
    </xf>
    <xf numFmtId="0" fontId="38" fillId="24" borderId="52" xfId="0" applyFont="1" applyFill="1" applyBorder="1" applyAlignment="1" applyProtection="1">
      <alignment horizontal="center" vertical="top" wrapText="1"/>
      <protection locked="0"/>
    </xf>
    <xf numFmtId="0" fontId="39" fillId="0" borderId="0" xfId="0" applyFont="1" applyFill="1" applyBorder="1" applyAlignment="1" applyProtection="1">
      <alignment horizontal="center" vertical="center"/>
    </xf>
    <xf numFmtId="0" fontId="39" fillId="0" borderId="16" xfId="0" applyFont="1" applyBorder="1" applyAlignment="1" applyProtection="1">
      <alignment horizontal="left" vertical="center" wrapText="1" indent="1"/>
    </xf>
    <xf numFmtId="0" fontId="39" fillId="0" borderId="50" xfId="0" applyFont="1" applyBorder="1" applyAlignment="1" applyProtection="1">
      <alignment horizontal="left" vertical="center" wrapText="1" indent="1"/>
    </xf>
    <xf numFmtId="0" fontId="39" fillId="0" borderId="51" xfId="0" applyFont="1" applyBorder="1" applyAlignment="1" applyProtection="1">
      <alignment horizontal="left" vertical="center" wrapText="1" indent="1"/>
    </xf>
    <xf numFmtId="0" fontId="38" fillId="0" borderId="34" xfId="0" applyFont="1" applyFill="1" applyBorder="1" applyAlignment="1" applyProtection="1">
      <alignment horizontal="left" indent="1"/>
    </xf>
    <xf numFmtId="0" fontId="38" fillId="0" borderId="42" xfId="0" applyFont="1" applyFill="1" applyBorder="1" applyAlignment="1" applyProtection="1">
      <alignment horizontal="left" indent="1"/>
    </xf>
    <xf numFmtId="0" fontId="38" fillId="0" borderId="31" xfId="0" applyFont="1" applyFill="1" applyBorder="1" applyAlignment="1" applyProtection="1">
      <alignment horizontal="left" indent="1"/>
    </xf>
    <xf numFmtId="0" fontId="38" fillId="25" borderId="22" xfId="0" applyFont="1" applyFill="1" applyBorder="1" applyAlignment="1" applyProtection="1">
      <alignment horizontal="left" vertical="center" indent="1"/>
      <protection locked="0"/>
    </xf>
    <xf numFmtId="0" fontId="38" fillId="25" borderId="29" xfId="0" applyFont="1" applyFill="1" applyBorder="1" applyAlignment="1" applyProtection="1">
      <alignment horizontal="left" vertical="center" indent="1"/>
      <protection locked="0"/>
    </xf>
    <xf numFmtId="0" fontId="38" fillId="25" borderId="33" xfId="0" applyFont="1" applyFill="1" applyBorder="1" applyAlignment="1" applyProtection="1">
      <alignment horizontal="left" vertical="center" wrapText="1" indent="1"/>
      <protection locked="0"/>
    </xf>
    <xf numFmtId="0" fontId="38" fillId="25" borderId="22" xfId="0" applyFont="1" applyFill="1" applyBorder="1" applyAlignment="1" applyProtection="1">
      <alignment horizontal="left" vertical="center" wrapText="1" indent="1"/>
      <protection locked="0"/>
    </xf>
    <xf numFmtId="0" fontId="38" fillId="25" borderId="24" xfId="0" applyFont="1" applyFill="1" applyBorder="1" applyAlignment="1" applyProtection="1">
      <alignment horizontal="left" vertical="center" indent="1"/>
      <protection locked="0"/>
    </xf>
    <xf numFmtId="0" fontId="38" fillId="25" borderId="26" xfId="0" applyFont="1" applyFill="1" applyBorder="1" applyAlignment="1" applyProtection="1">
      <alignment horizontal="left" vertical="center" indent="1"/>
      <protection locked="0"/>
    </xf>
    <xf numFmtId="0" fontId="38" fillId="25" borderId="29" xfId="0" applyFont="1" applyFill="1" applyBorder="1" applyAlignment="1" applyProtection="1">
      <alignment horizontal="left" vertical="center" wrapText="1" indent="1"/>
      <protection locked="0"/>
    </xf>
    <xf numFmtId="0" fontId="38" fillId="25" borderId="34" xfId="0" applyFont="1" applyFill="1" applyBorder="1" applyAlignment="1" applyProtection="1">
      <alignment horizontal="left" vertical="center" wrapText="1" indent="1"/>
      <protection locked="0"/>
    </xf>
    <xf numFmtId="0" fontId="38" fillId="25" borderId="42" xfId="0" applyFont="1" applyFill="1" applyBorder="1" applyAlignment="1" applyProtection="1">
      <alignment horizontal="left" vertical="center" wrapText="1" indent="1"/>
      <protection locked="0"/>
    </xf>
    <xf numFmtId="0" fontId="38" fillId="25" borderId="53" xfId="0" applyFont="1" applyFill="1" applyBorder="1" applyAlignment="1" applyProtection="1">
      <alignment horizontal="left" vertical="center" wrapText="1" indent="1"/>
      <protection locked="0"/>
    </xf>
    <xf numFmtId="0" fontId="38" fillId="25" borderId="26" xfId="0" applyFont="1" applyFill="1" applyBorder="1" applyAlignment="1" applyProtection="1">
      <alignment horizontal="left" vertical="center" wrapText="1" indent="1"/>
      <protection locked="0"/>
    </xf>
    <xf numFmtId="0" fontId="38" fillId="25" borderId="35" xfId="0" applyFont="1" applyFill="1" applyBorder="1" applyAlignment="1" applyProtection="1">
      <alignment horizontal="left" vertical="center" wrapText="1" indent="1"/>
      <protection locked="0"/>
    </xf>
    <xf numFmtId="0" fontId="38" fillId="25" borderId="27" xfId="0" applyFont="1" applyFill="1" applyBorder="1" applyAlignment="1" applyProtection="1">
      <alignment horizontal="left" vertical="center" wrapText="1" indent="1"/>
      <protection locked="0"/>
    </xf>
    <xf numFmtId="0" fontId="39" fillId="0" borderId="30" xfId="0" applyFont="1" applyBorder="1" applyAlignment="1" applyProtection="1">
      <alignment horizontal="left" indent="1"/>
    </xf>
    <xf numFmtId="0" fontId="39" fillId="0" borderId="51" xfId="0" applyFont="1" applyBorder="1" applyAlignment="1" applyProtection="1">
      <alignment horizontal="left" indent="1"/>
    </xf>
    <xf numFmtId="0" fontId="38" fillId="25" borderId="27" xfId="0" applyFont="1" applyFill="1" applyBorder="1" applyAlignment="1" applyProtection="1">
      <alignment horizontal="left" vertical="center" indent="1"/>
      <protection locked="0"/>
    </xf>
    <xf numFmtId="0" fontId="38" fillId="25" borderId="36" xfId="0" applyFont="1" applyFill="1" applyBorder="1" applyAlignment="1" applyProtection="1">
      <alignment horizontal="left" vertical="center" indent="1"/>
      <protection locked="0"/>
    </xf>
    <xf numFmtId="49" fontId="38" fillId="25" borderId="46" xfId="0" applyNumberFormat="1" applyFont="1" applyFill="1" applyBorder="1" applyAlignment="1" applyProtection="1">
      <alignment horizontal="left" vertical="center" wrapText="1" indent="1"/>
      <protection locked="0"/>
    </xf>
    <xf numFmtId="49" fontId="38" fillId="25" borderId="43" xfId="0" applyNumberFormat="1" applyFont="1" applyFill="1" applyBorder="1" applyAlignment="1" applyProtection="1">
      <alignment horizontal="left" vertical="center" wrapText="1" indent="1"/>
      <protection locked="0"/>
    </xf>
    <xf numFmtId="49" fontId="38" fillId="25" borderId="32" xfId="0" applyNumberFormat="1" applyFont="1" applyFill="1" applyBorder="1" applyAlignment="1" applyProtection="1">
      <alignment horizontal="left" vertical="center" wrapText="1" indent="1"/>
      <protection locked="0"/>
    </xf>
    <xf numFmtId="0" fontId="38" fillId="24" borderId="16" xfId="0" applyFont="1" applyFill="1" applyBorder="1" applyAlignment="1" applyProtection="1">
      <alignment horizontal="left" vertical="top" indent="1"/>
      <protection locked="0"/>
    </xf>
    <xf numFmtId="0" fontId="38" fillId="24" borderId="50" xfId="0" applyFont="1" applyFill="1" applyBorder="1" applyAlignment="1" applyProtection="1">
      <alignment horizontal="left" vertical="top" indent="1"/>
      <protection locked="0"/>
    </xf>
    <xf numFmtId="0" fontId="38" fillId="24" borderId="51" xfId="0" applyFont="1" applyFill="1" applyBorder="1" applyAlignment="1" applyProtection="1">
      <alignment horizontal="left" vertical="top" indent="1"/>
      <protection locked="0"/>
    </xf>
    <xf numFmtId="0" fontId="38" fillId="0" borderId="0" xfId="0" applyFont="1" applyAlignment="1" applyProtection="1">
      <alignment vertical="top" wrapText="1"/>
    </xf>
    <xf numFmtId="0" fontId="39" fillId="0" borderId="30" xfId="0" applyFont="1" applyBorder="1" applyAlignment="1" applyProtection="1">
      <alignment horizontal="left" wrapText="1" indent="1"/>
    </xf>
    <xf numFmtId="0" fontId="39" fillId="0" borderId="10" xfId="0" applyFont="1" applyBorder="1" applyAlignment="1" applyProtection="1">
      <alignment horizontal="left" vertical="center" wrapText="1" indent="1"/>
    </xf>
    <xf numFmtId="0" fontId="39" fillId="0" borderId="13" xfId="0" applyFont="1" applyBorder="1" applyAlignment="1" applyProtection="1">
      <alignment horizontal="left" vertical="center" wrapText="1" indent="1"/>
    </xf>
    <xf numFmtId="0" fontId="38" fillId="25" borderId="57" xfId="0" applyNumberFormat="1" applyFont="1" applyFill="1" applyBorder="1" applyAlignment="1" applyProtection="1">
      <alignment horizontal="left" vertical="center" wrapText="1" indent="1"/>
      <protection locked="0"/>
    </xf>
    <xf numFmtId="0" fontId="38" fillId="25" borderId="0" xfId="0" applyNumberFormat="1" applyFont="1" applyFill="1" applyBorder="1" applyAlignment="1" applyProtection="1">
      <alignment horizontal="left" vertical="center" wrapText="1" indent="1"/>
      <protection locked="0"/>
    </xf>
    <xf numFmtId="0" fontId="38" fillId="25" borderId="75" xfId="0" applyNumberFormat="1" applyFont="1" applyFill="1" applyBorder="1" applyAlignment="1" applyProtection="1">
      <alignment horizontal="left" vertical="center" wrapText="1" indent="1"/>
      <protection locked="0"/>
    </xf>
    <xf numFmtId="0" fontId="38" fillId="25" borderId="40" xfId="0" applyFont="1" applyFill="1" applyBorder="1" applyAlignment="1" applyProtection="1">
      <alignment horizontal="left" vertical="center" wrapText="1" indent="1"/>
      <protection locked="0"/>
    </xf>
    <xf numFmtId="0" fontId="38" fillId="25" borderId="41" xfId="0" applyFont="1" applyFill="1" applyBorder="1" applyAlignment="1" applyProtection="1">
      <alignment horizontal="left" vertical="center" wrapText="1" indent="1"/>
      <protection locked="0"/>
    </xf>
    <xf numFmtId="0" fontId="38" fillId="25" borderId="52" xfId="0" applyFont="1" applyFill="1" applyBorder="1" applyAlignment="1" applyProtection="1">
      <alignment horizontal="left" vertical="center" wrapText="1" indent="1"/>
      <protection locked="0"/>
    </xf>
    <xf numFmtId="0" fontId="6" fillId="25" borderId="43" xfId="0" applyFont="1" applyFill="1" applyBorder="1" applyAlignment="1" applyProtection="1">
      <alignment horizontal="left"/>
      <protection locked="0"/>
    </xf>
    <xf numFmtId="0" fontId="39" fillId="0" borderId="50" xfId="0" applyFont="1" applyBorder="1" applyAlignment="1" applyProtection="1">
      <alignment horizontal="left" vertical="center" wrapText="1"/>
    </xf>
    <xf numFmtId="0" fontId="6" fillId="25" borderId="55" xfId="0" applyFont="1" applyFill="1" applyBorder="1" applyAlignment="1" applyProtection="1">
      <alignment horizontal="left"/>
      <protection locked="0"/>
    </xf>
    <xf numFmtId="0" fontId="39" fillId="0" borderId="17" xfId="0" applyFont="1" applyBorder="1" applyAlignment="1" applyProtection="1">
      <alignment horizontal="left" vertical="center" wrapText="1" indent="1"/>
    </xf>
    <xf numFmtId="164" fontId="38" fillId="0" borderId="22" xfId="0" applyNumberFormat="1" applyFont="1" applyFill="1" applyBorder="1" applyAlignment="1" applyProtection="1">
      <alignment horizontal="left" vertical="top" wrapText="1" indent="1"/>
    </xf>
    <xf numFmtId="164" fontId="38" fillId="0" borderId="29" xfId="0" applyNumberFormat="1" applyFont="1" applyFill="1" applyBorder="1" applyAlignment="1" applyProtection="1">
      <alignment horizontal="left" vertical="top" wrapText="1" indent="1"/>
    </xf>
    <xf numFmtId="0" fontId="38" fillId="25" borderId="16" xfId="0" applyFont="1" applyFill="1" applyBorder="1" applyAlignment="1" applyProtection="1">
      <alignment horizontal="left" vertical="center"/>
      <protection locked="0"/>
    </xf>
    <xf numFmtId="0" fontId="38" fillId="25" borderId="50" xfId="0" applyFont="1" applyFill="1" applyBorder="1" applyAlignment="1" applyProtection="1">
      <alignment horizontal="left" vertical="center"/>
      <protection locked="0"/>
    </xf>
    <xf numFmtId="0" fontId="38" fillId="25" borderId="51" xfId="0" applyFont="1" applyFill="1" applyBorder="1" applyAlignment="1" applyProtection="1">
      <alignment horizontal="left" vertical="center"/>
      <protection locked="0"/>
    </xf>
    <xf numFmtId="0" fontId="39" fillId="0" borderId="16" xfId="0" applyFont="1" applyBorder="1" applyAlignment="1" applyProtection="1">
      <alignment horizontal="center" vertical="top" wrapText="1"/>
    </xf>
    <xf numFmtId="0" fontId="39" fillId="0" borderId="51" xfId="0" applyFont="1" applyBorder="1" applyAlignment="1" applyProtection="1">
      <alignment horizontal="center" vertical="top" wrapText="1"/>
    </xf>
    <xf numFmtId="0" fontId="38" fillId="24" borderId="44" xfId="0" applyFont="1" applyFill="1" applyBorder="1" applyAlignment="1" applyProtection="1">
      <alignment horizontal="left" vertical="top" wrapText="1" indent="1"/>
      <protection locked="0"/>
    </xf>
    <xf numFmtId="0" fontId="38" fillId="24" borderId="72" xfId="0" applyFont="1" applyFill="1" applyBorder="1" applyAlignment="1" applyProtection="1">
      <alignment horizontal="left" vertical="top" wrapText="1" indent="2"/>
      <protection locked="0"/>
    </xf>
    <xf numFmtId="0" fontId="38" fillId="24" borderId="28" xfId="0" applyFont="1" applyFill="1" applyBorder="1" applyAlignment="1" applyProtection="1">
      <alignment horizontal="left" vertical="top" wrapText="1" indent="2"/>
      <protection locked="0"/>
    </xf>
    <xf numFmtId="0" fontId="38" fillId="24" borderId="25" xfId="0" applyFont="1" applyFill="1" applyBorder="1" applyAlignment="1" applyProtection="1">
      <alignment horizontal="left" vertical="top" wrapText="1" indent="2"/>
      <protection locked="0"/>
    </xf>
    <xf numFmtId="0" fontId="38" fillId="24" borderId="60" xfId="0" applyFont="1" applyFill="1" applyBorder="1" applyAlignment="1" applyProtection="1">
      <alignment horizontal="left" vertical="top" wrapText="1" indent="2"/>
      <protection locked="0"/>
    </xf>
    <xf numFmtId="0" fontId="0" fillId="24" borderId="80" xfId="0" applyFill="1" applyBorder="1" applyAlignment="1" applyProtection="1"/>
    <xf numFmtId="0" fontId="0" fillId="24" borderId="81" xfId="0" applyFill="1" applyBorder="1" applyAlignment="1"/>
    <xf numFmtId="0" fontId="0" fillId="24" borderId="79" xfId="0" applyFill="1" applyBorder="1" applyAlignment="1"/>
    <xf numFmtId="0" fontId="39" fillId="0" borderId="18" xfId="0" applyFont="1" applyBorder="1" applyAlignment="1" applyProtection="1">
      <alignment horizontal="center" vertical="center" wrapText="1"/>
    </xf>
    <xf numFmtId="0" fontId="39" fillId="0" borderId="65" xfId="0" applyFont="1" applyBorder="1" applyAlignment="1" applyProtection="1">
      <alignment horizontal="center" vertical="center" wrapText="1"/>
    </xf>
    <xf numFmtId="0" fontId="39" fillId="0" borderId="65" xfId="0" applyFont="1" applyBorder="1" applyAlignment="1" applyProtection="1">
      <alignment horizontal="center" vertical="top" wrapText="1"/>
    </xf>
    <xf numFmtId="0" fontId="39" fillId="0" borderId="40" xfId="0" applyFont="1" applyBorder="1" applyAlignment="1" applyProtection="1">
      <alignment horizontal="center" vertical="top" wrapText="1"/>
    </xf>
    <xf numFmtId="0" fontId="49" fillId="0" borderId="65" xfId="0" applyFont="1" applyBorder="1" applyAlignment="1" applyProtection="1">
      <alignment horizontal="center" vertical="top" wrapText="1"/>
    </xf>
    <xf numFmtId="0" fontId="49" fillId="0" borderId="58" xfId="0" applyFont="1" applyBorder="1" applyAlignment="1" applyProtection="1">
      <alignment horizontal="center" vertical="top" wrapText="1"/>
    </xf>
    <xf numFmtId="0" fontId="39" fillId="24" borderId="22" xfId="0" applyFont="1" applyFill="1" applyBorder="1" applyAlignment="1" applyProtection="1">
      <alignment horizontal="left" vertical="top" wrapText="1" indent="1"/>
      <protection locked="0"/>
    </xf>
    <xf numFmtId="0" fontId="39" fillId="24" borderId="34" xfId="0" applyFont="1" applyFill="1" applyBorder="1" applyAlignment="1" applyProtection="1">
      <alignment horizontal="left" vertical="top" wrapText="1" indent="1"/>
      <protection locked="0"/>
    </xf>
    <xf numFmtId="0" fontId="39" fillId="24" borderId="29" xfId="0" applyFont="1" applyFill="1" applyBorder="1" applyAlignment="1" applyProtection="1">
      <alignment horizontal="left" vertical="top" wrapText="1" indent="1"/>
      <protection locked="0"/>
    </xf>
    <xf numFmtId="0" fontId="39" fillId="24" borderId="27" xfId="0" applyFont="1" applyFill="1" applyBorder="1" applyAlignment="1" applyProtection="1">
      <alignment horizontal="left" vertical="top" wrapText="1" indent="1"/>
      <protection locked="0"/>
    </xf>
    <xf numFmtId="0" fontId="39" fillId="24" borderId="48" xfId="0" applyFont="1" applyFill="1" applyBorder="1" applyAlignment="1" applyProtection="1">
      <alignment horizontal="left" vertical="top" wrapText="1" indent="1"/>
      <protection locked="0"/>
    </xf>
    <xf numFmtId="0" fontId="39" fillId="24" borderId="36" xfId="0" applyFont="1" applyFill="1" applyBorder="1" applyAlignment="1" applyProtection="1">
      <alignment horizontal="left" vertical="top" wrapText="1" indent="1"/>
      <protection locked="0"/>
    </xf>
    <xf numFmtId="0" fontId="38" fillId="24" borderId="33" xfId="0" applyFont="1" applyFill="1" applyBorder="1" applyAlignment="1" applyProtection="1">
      <alignment horizontal="left" vertical="top" wrapText="1" indent="1"/>
      <protection locked="0"/>
    </xf>
    <xf numFmtId="0" fontId="38" fillId="24" borderId="35" xfId="0" applyFont="1" applyFill="1" applyBorder="1" applyAlignment="1" applyProtection="1">
      <alignment horizontal="left" vertical="top" wrapText="1" indent="1"/>
      <protection locked="0"/>
    </xf>
    <xf numFmtId="0" fontId="39" fillId="0" borderId="13" xfId="0" applyFont="1" applyBorder="1" applyAlignment="1" applyProtection="1">
      <alignment horizontal="left" vertical="top" wrapText="1" indent="1"/>
    </xf>
    <xf numFmtId="0" fontId="39" fillId="0" borderId="30" xfId="0" applyFont="1" applyBorder="1" applyAlignment="1" applyProtection="1">
      <alignment horizontal="left" vertical="top" wrapText="1" indent="1"/>
    </xf>
    <xf numFmtId="0" fontId="39" fillId="0" borderId="17" xfId="0" applyFont="1" applyBorder="1" applyAlignment="1" applyProtection="1">
      <alignment horizontal="left" vertical="top" wrapText="1" indent="1"/>
    </xf>
    <xf numFmtId="0" fontId="39" fillId="0" borderId="10" xfId="0" applyFont="1" applyBorder="1" applyAlignment="1" applyProtection="1">
      <alignment horizontal="left" vertical="top" wrapText="1" indent="1"/>
    </xf>
    <xf numFmtId="0" fontId="38" fillId="24" borderId="34" xfId="0" applyFont="1" applyFill="1" applyBorder="1" applyAlignment="1" applyProtection="1">
      <alignment horizontal="left" vertical="top" wrapText="1" indent="2"/>
      <protection locked="0"/>
    </xf>
    <xf numFmtId="0" fontId="38" fillId="0" borderId="0" xfId="0" applyFont="1" applyAlignment="1" applyProtection="1">
      <alignment vertical="center" wrapText="1"/>
    </xf>
    <xf numFmtId="0" fontId="38" fillId="25" borderId="22" xfId="0" applyFont="1" applyFill="1" applyBorder="1" applyAlignment="1" applyProtection="1">
      <alignment horizontal="left" indent="1"/>
      <protection locked="0"/>
    </xf>
    <xf numFmtId="0" fontId="38" fillId="25" borderId="29" xfId="0" applyFont="1" applyFill="1" applyBorder="1" applyAlignment="1" applyProtection="1">
      <alignment horizontal="left" indent="1"/>
      <protection locked="0"/>
    </xf>
    <xf numFmtId="0" fontId="38" fillId="25" borderId="33" xfId="0" applyFont="1" applyFill="1" applyBorder="1" applyAlignment="1" applyProtection="1">
      <alignment horizontal="left" wrapText="1" indent="1"/>
      <protection locked="0"/>
    </xf>
    <xf numFmtId="0" fontId="38" fillId="25" borderId="22" xfId="0" applyFont="1" applyFill="1" applyBorder="1" applyAlignment="1" applyProtection="1">
      <alignment horizontal="left" wrapText="1" indent="1"/>
      <protection locked="0"/>
    </xf>
    <xf numFmtId="0" fontId="38" fillId="0" borderId="0" xfId="0" applyFont="1" applyBorder="1" applyAlignment="1" applyProtection="1">
      <alignment horizontal="left" vertical="top" wrapText="1"/>
    </xf>
    <xf numFmtId="0" fontId="38" fillId="25" borderId="22" xfId="0" applyFont="1" applyFill="1" applyBorder="1" applyAlignment="1" applyProtection="1">
      <alignment vertical="center" wrapText="1"/>
      <protection locked="0"/>
    </xf>
    <xf numFmtId="0" fontId="38" fillId="25" borderId="35" xfId="0" applyFont="1" applyFill="1" applyBorder="1" applyAlignment="1" applyProtection="1">
      <alignment horizontal="left" wrapText="1" indent="1"/>
      <protection locked="0"/>
    </xf>
    <xf numFmtId="0" fontId="38" fillId="25" borderId="27" xfId="0" applyFont="1" applyFill="1" applyBorder="1" applyAlignment="1" applyProtection="1">
      <alignment horizontal="left" wrapText="1" indent="1"/>
      <protection locked="0"/>
    </xf>
    <xf numFmtId="0" fontId="38" fillId="25" borderId="15" xfId="0" applyFont="1" applyFill="1" applyBorder="1" applyAlignment="1" applyProtection="1">
      <alignment horizontal="left" wrapText="1" indent="1"/>
      <protection locked="0"/>
    </xf>
    <xf numFmtId="0" fontId="38" fillId="25" borderId="24" xfId="0" applyFont="1" applyFill="1" applyBorder="1" applyAlignment="1" applyProtection="1">
      <alignment horizontal="left" wrapText="1" indent="1"/>
      <protection locked="0"/>
    </xf>
    <xf numFmtId="0" fontId="38" fillId="25" borderId="24" xfId="0" applyFont="1" applyFill="1" applyBorder="1" applyAlignment="1" applyProtection="1">
      <alignment horizontal="left" indent="1"/>
      <protection locked="0"/>
    </xf>
    <xf numFmtId="0" fontId="38" fillId="25" borderId="26" xfId="0" applyFont="1" applyFill="1" applyBorder="1" applyAlignment="1" applyProtection="1">
      <alignment horizontal="left" indent="1"/>
      <protection locked="0"/>
    </xf>
    <xf numFmtId="0" fontId="38" fillId="25" borderId="37" xfId="0" applyFont="1" applyFill="1" applyBorder="1" applyAlignment="1" applyProtection="1">
      <alignment horizontal="left" vertical="center" wrapText="1" indent="1"/>
      <protection locked="0"/>
    </xf>
    <xf numFmtId="0" fontId="38" fillId="0" borderId="22" xfId="0" applyFont="1" applyBorder="1" applyAlignment="1" applyProtection="1">
      <alignment horizontal="left" vertical="center" wrapText="1" indent="1"/>
    </xf>
    <xf numFmtId="0" fontId="38" fillId="26" borderId="34" xfId="0" applyFont="1" applyFill="1" applyBorder="1" applyAlignment="1" applyProtection="1">
      <alignment vertical="center" wrapText="1"/>
      <protection locked="0"/>
    </xf>
    <xf numFmtId="0" fontId="38" fillId="26" borderId="42" xfId="0" applyFont="1" applyFill="1" applyBorder="1" applyAlignment="1" applyProtection="1">
      <alignment vertical="center" wrapText="1"/>
      <protection locked="0"/>
    </xf>
    <xf numFmtId="0" fontId="38" fillId="26" borderId="31" xfId="0" applyFont="1" applyFill="1" applyBorder="1" applyAlignment="1" applyProtection="1">
      <alignment vertical="center" wrapText="1"/>
      <protection locked="0"/>
    </xf>
    <xf numFmtId="0" fontId="38" fillId="25" borderId="76" xfId="0" applyFont="1" applyFill="1" applyBorder="1" applyAlignment="1" applyProtection="1">
      <alignment horizontal="left" vertical="center" wrapText="1" indent="1"/>
      <protection locked="0"/>
    </xf>
    <xf numFmtId="0" fontId="38" fillId="25" borderId="0" xfId="0" applyFont="1" applyFill="1" applyBorder="1" applyAlignment="1" applyProtection="1">
      <alignment horizontal="left" vertical="center" wrapText="1" indent="1"/>
      <protection locked="0"/>
    </xf>
    <xf numFmtId="0" fontId="38" fillId="25" borderId="61" xfId="0" applyFont="1" applyFill="1" applyBorder="1" applyAlignment="1" applyProtection="1">
      <alignment horizontal="left" vertical="center" wrapText="1" indent="1"/>
      <protection locked="0"/>
    </xf>
    <xf numFmtId="0" fontId="39" fillId="0" borderId="30" xfId="0" applyFont="1" applyBorder="1" applyAlignment="1" applyProtection="1">
      <alignment horizontal="left" vertical="center" wrapText="1" indent="1"/>
    </xf>
    <xf numFmtId="0" fontId="38" fillId="25" borderId="57" xfId="0" applyFont="1" applyFill="1" applyBorder="1" applyAlignment="1" applyProtection="1">
      <alignment horizontal="left" vertical="center" wrapText="1" indent="1"/>
      <protection locked="0"/>
    </xf>
    <xf numFmtId="0" fontId="38" fillId="25" borderId="75" xfId="0" applyFont="1" applyFill="1" applyBorder="1" applyAlignment="1" applyProtection="1">
      <alignment horizontal="left" vertical="center" wrapText="1" indent="1"/>
      <protection locked="0"/>
    </xf>
    <xf numFmtId="0" fontId="38" fillId="25" borderId="27" xfId="0" applyFont="1" applyFill="1" applyBorder="1" applyAlignment="1" applyProtection="1">
      <alignment horizontal="left" indent="1"/>
      <protection locked="0"/>
    </xf>
    <xf numFmtId="0" fontId="38" fillId="25" borderId="36" xfId="0" applyFont="1" applyFill="1" applyBorder="1" applyAlignment="1" applyProtection="1">
      <alignment horizontal="left" indent="1"/>
      <protection locked="0"/>
    </xf>
    <xf numFmtId="0" fontId="38" fillId="24" borderId="37" xfId="0" applyFont="1" applyFill="1" applyBorder="1" applyAlignment="1" applyProtection="1">
      <alignment horizontal="left" vertical="top" wrapText="1" indent="2"/>
      <protection locked="0"/>
    </xf>
    <xf numFmtId="49" fontId="38" fillId="0" borderId="65" xfId="55" applyNumberFormat="1" applyFont="1" applyFill="1" applyBorder="1" applyAlignment="1" applyProtection="1">
      <alignment horizontal="left" vertical="top" wrapText="1" indent="1"/>
    </xf>
    <xf numFmtId="49" fontId="38" fillId="0" borderId="58" xfId="55" applyNumberFormat="1" applyFont="1" applyFill="1" applyBorder="1" applyAlignment="1" applyProtection="1">
      <alignment horizontal="left" vertical="top" wrapText="1" indent="1"/>
    </xf>
    <xf numFmtId="49" fontId="38" fillId="0" borderId="22" xfId="55" applyNumberFormat="1" applyFont="1" applyFill="1" applyBorder="1" applyAlignment="1" applyProtection="1">
      <alignment horizontal="left" vertical="top" wrapText="1" indent="1"/>
    </xf>
    <xf numFmtId="49" fontId="38" fillId="0" borderId="29" xfId="55" applyNumberFormat="1" applyFont="1" applyFill="1" applyBorder="1" applyAlignment="1" applyProtection="1">
      <alignment horizontal="left" vertical="top" wrapText="1" indent="1"/>
    </xf>
    <xf numFmtId="0" fontId="39" fillId="0" borderId="72" xfId="0" applyFont="1" applyBorder="1" applyAlignment="1" applyProtection="1">
      <alignment horizontal="left" vertical="top" wrapText="1" indent="1"/>
    </xf>
    <xf numFmtId="0" fontId="38" fillId="24" borderId="76" xfId="0" applyFont="1" applyFill="1" applyBorder="1" applyAlignment="1" applyProtection="1">
      <alignment horizontal="left" vertical="top" wrapText="1" indent="2"/>
      <protection locked="0"/>
    </xf>
    <xf numFmtId="0" fontId="38" fillId="24" borderId="0" xfId="0" applyFont="1" applyFill="1" applyBorder="1" applyAlignment="1" applyProtection="1">
      <alignment horizontal="left" vertical="top" wrapText="1" indent="2"/>
      <protection locked="0"/>
    </xf>
    <xf numFmtId="0" fontId="38" fillId="24" borderId="61" xfId="0" applyFont="1" applyFill="1" applyBorder="1" applyAlignment="1" applyProtection="1">
      <alignment horizontal="left" vertical="top" wrapText="1" indent="2"/>
      <protection locked="0"/>
    </xf>
    <xf numFmtId="0" fontId="38" fillId="24" borderId="75" xfId="0" applyFont="1" applyFill="1" applyBorder="1" applyAlignment="1" applyProtection="1">
      <alignment horizontal="left" vertical="top" wrapText="1" indent="2"/>
      <protection locked="0"/>
    </xf>
    <xf numFmtId="0" fontId="38" fillId="0" borderId="45" xfId="0" applyFont="1" applyFill="1" applyBorder="1" applyAlignment="1" applyProtection="1">
      <alignment horizontal="left" indent="1"/>
    </xf>
    <xf numFmtId="0" fontId="38" fillId="0" borderId="53" xfId="0" applyFont="1" applyFill="1" applyBorder="1" applyAlignment="1" applyProtection="1">
      <alignment horizontal="left" indent="1"/>
    </xf>
    <xf numFmtId="0" fontId="38" fillId="0" borderId="33" xfId="0" applyFont="1" applyFill="1" applyBorder="1" applyAlignment="1" applyProtection="1">
      <alignment horizontal="left" indent="1"/>
    </xf>
    <xf numFmtId="0" fontId="38" fillId="0" borderId="29" xfId="0" applyFont="1" applyFill="1" applyBorder="1" applyAlignment="1" applyProtection="1">
      <alignment horizontal="left" indent="1"/>
    </xf>
    <xf numFmtId="0" fontId="38" fillId="0" borderId="15" xfId="0" applyFont="1" applyFill="1" applyBorder="1" applyAlignment="1" applyProtection="1">
      <alignment horizontal="left" indent="1"/>
    </xf>
    <xf numFmtId="0" fontId="38" fillId="0" borderId="24" xfId="0" applyFont="1" applyFill="1" applyBorder="1" applyAlignment="1" applyProtection="1">
      <alignment horizontal="left" indent="1"/>
    </xf>
    <xf numFmtId="0" fontId="38" fillId="0" borderId="26" xfId="0" applyFont="1" applyFill="1" applyBorder="1" applyAlignment="1" applyProtection="1">
      <alignment horizontal="left" indent="1"/>
    </xf>
    <xf numFmtId="0" fontId="38" fillId="0" borderId="38" xfId="0" applyFont="1" applyFill="1" applyBorder="1" applyAlignment="1" applyProtection="1">
      <alignment horizontal="left" indent="1"/>
    </xf>
    <xf numFmtId="0" fontId="38" fillId="0" borderId="67" xfId="0" applyFont="1" applyFill="1" applyBorder="1" applyAlignment="1" applyProtection="1">
      <alignment horizontal="left" indent="1"/>
    </xf>
    <xf numFmtId="0" fontId="38" fillId="0" borderId="39" xfId="0" applyFont="1" applyFill="1" applyBorder="1" applyAlignment="1" applyProtection="1">
      <alignment horizontal="left" indent="1"/>
    </xf>
    <xf numFmtId="0" fontId="38" fillId="0" borderId="18" xfId="0" applyFont="1" applyFill="1" applyBorder="1" applyAlignment="1" applyProtection="1">
      <alignment horizontal="left" indent="1"/>
    </xf>
    <xf numFmtId="0" fontId="38" fillId="0" borderId="65" xfId="0" applyFont="1" applyFill="1" applyBorder="1" applyAlignment="1" applyProtection="1">
      <alignment horizontal="left" indent="1"/>
    </xf>
    <xf numFmtId="0" fontId="38" fillId="0" borderId="58" xfId="0" applyFont="1" applyFill="1" applyBorder="1" applyAlignment="1" applyProtection="1">
      <alignment horizontal="left" indent="1"/>
    </xf>
    <xf numFmtId="0" fontId="39" fillId="24" borderId="24" xfId="0" applyFont="1" applyFill="1" applyBorder="1" applyAlignment="1" applyProtection="1">
      <alignment horizontal="left" vertical="top" wrapText="1" indent="1"/>
      <protection locked="0"/>
    </xf>
    <xf numFmtId="0" fontId="39" fillId="24" borderId="37" xfId="0" applyFont="1" applyFill="1" applyBorder="1" applyAlignment="1" applyProtection="1">
      <alignment horizontal="left" vertical="top" wrapText="1" indent="1"/>
      <protection locked="0"/>
    </xf>
    <xf numFmtId="0" fontId="39" fillId="24" borderId="26" xfId="0" applyFont="1" applyFill="1" applyBorder="1" applyAlignment="1" applyProtection="1">
      <alignment horizontal="left" vertical="top" wrapText="1" indent="1"/>
      <protection locked="0"/>
    </xf>
    <xf numFmtId="0" fontId="38" fillId="0" borderId="34" xfId="0" applyFont="1" applyFill="1" applyBorder="1" applyAlignment="1" applyProtection="1">
      <alignment horizontal="left" vertical="top" wrapText="1" indent="1"/>
    </xf>
    <xf numFmtId="0" fontId="38" fillId="0" borderId="53" xfId="0" applyFont="1" applyFill="1" applyBorder="1" applyAlignment="1" applyProtection="1">
      <alignment horizontal="left" vertical="top" wrapText="1" indent="1"/>
    </xf>
    <xf numFmtId="0" fontId="39" fillId="0" borderId="0" xfId="0" applyFont="1" applyBorder="1" applyAlignment="1" applyProtection="1">
      <alignment horizontal="left" vertical="center" wrapText="1"/>
    </xf>
    <xf numFmtId="0" fontId="38" fillId="0" borderId="29" xfId="0" applyFont="1" applyFill="1" applyBorder="1" applyAlignment="1" applyProtection="1">
      <alignment horizontal="left" vertical="top" wrapText="1" indent="1"/>
    </xf>
    <xf numFmtId="0" fontId="38" fillId="24" borderId="15" xfId="0" applyFont="1" applyFill="1" applyBorder="1" applyAlignment="1" applyProtection="1">
      <alignment horizontal="left" vertical="top" wrapText="1" indent="1"/>
      <protection locked="0"/>
    </xf>
    <xf numFmtId="0" fontId="38" fillId="24" borderId="24" xfId="0" applyFont="1" applyFill="1" applyBorder="1" applyAlignment="1" applyProtection="1">
      <alignment horizontal="left" vertical="top" wrapText="1" indent="1"/>
      <protection locked="0"/>
    </xf>
    <xf numFmtId="17" fontId="38" fillId="0" borderId="34" xfId="0" applyNumberFormat="1" applyFont="1" applyFill="1" applyBorder="1" applyAlignment="1" applyProtection="1">
      <alignment horizontal="left" vertical="top" wrapText="1" indent="1"/>
    </xf>
    <xf numFmtId="0" fontId="38" fillId="0" borderId="37" xfId="0" applyFont="1" applyFill="1" applyBorder="1" applyAlignment="1" applyProtection="1">
      <alignment horizontal="left" vertical="top" wrapText="1" indent="1"/>
    </xf>
    <xf numFmtId="0" fontId="38" fillId="0" borderId="54" xfId="0" applyFont="1" applyFill="1" applyBorder="1" applyAlignment="1" applyProtection="1">
      <alignment horizontal="left" vertical="top" wrapText="1" indent="1"/>
    </xf>
    <xf numFmtId="0" fontId="51" fillId="25" borderId="22" xfId="0" applyFont="1" applyFill="1" applyBorder="1" applyAlignment="1" applyProtection="1">
      <alignment horizontal="left" vertical="top" wrapText="1" indent="1"/>
      <protection locked="0"/>
    </xf>
    <xf numFmtId="0" fontId="51" fillId="25" borderId="29" xfId="0" applyFont="1" applyFill="1" applyBorder="1" applyAlignment="1" applyProtection="1">
      <alignment horizontal="left" vertical="top" wrapText="1" indent="1"/>
      <protection locked="0"/>
    </xf>
    <xf numFmtId="0" fontId="52" fillId="24" borderId="80" xfId="0" applyFont="1" applyFill="1" applyBorder="1" applyAlignment="1" applyProtection="1">
      <alignment vertical="top"/>
    </xf>
    <xf numFmtId="0" fontId="52" fillId="24" borderId="81" xfId="0" applyFont="1" applyFill="1" applyBorder="1" applyAlignment="1" applyProtection="1">
      <alignment vertical="top"/>
    </xf>
    <xf numFmtId="0" fontId="52" fillId="24" borderId="79" xfId="0" applyFont="1" applyFill="1" applyBorder="1" applyAlignment="1" applyProtection="1">
      <alignment vertical="top"/>
    </xf>
    <xf numFmtId="0" fontId="0" fillId="24" borderId="80" xfId="0" applyFill="1" applyBorder="1" applyAlignment="1" applyProtection="1">
      <alignment vertical="top"/>
    </xf>
    <xf numFmtId="0" fontId="0" fillId="24" borderId="81" xfId="0" applyFill="1" applyBorder="1" applyAlignment="1" applyProtection="1">
      <alignment vertical="top"/>
    </xf>
    <xf numFmtId="0" fontId="0" fillId="24" borderId="79" xfId="0" applyFill="1" applyBorder="1" applyAlignment="1" applyProtection="1">
      <alignment vertical="top"/>
    </xf>
    <xf numFmtId="0" fontId="38" fillId="0" borderId="46" xfId="0" applyFont="1" applyFill="1" applyBorder="1" applyAlignment="1" applyProtection="1">
      <alignment horizontal="left" indent="1"/>
    </xf>
    <xf numFmtId="0" fontId="38" fillId="0" borderId="43" xfId="0" applyFont="1" applyFill="1" applyBorder="1" applyAlignment="1" applyProtection="1">
      <alignment horizontal="left" indent="1"/>
    </xf>
    <xf numFmtId="0" fontId="38" fillId="0" borderId="54" xfId="0" applyFont="1" applyFill="1" applyBorder="1" applyAlignment="1" applyProtection="1">
      <alignment horizontal="left" indent="1"/>
    </xf>
    <xf numFmtId="0" fontId="51" fillId="24" borderId="45" xfId="0" applyFont="1" applyFill="1" applyBorder="1" applyAlignment="1" applyProtection="1">
      <alignment horizontal="left" vertical="top" wrapText="1" indent="1"/>
      <protection locked="0"/>
    </xf>
    <xf numFmtId="0" fontId="51" fillId="24" borderId="31" xfId="0" applyFont="1" applyFill="1" applyBorder="1" applyAlignment="1" applyProtection="1">
      <alignment horizontal="left" vertical="top" wrapText="1" indent="1"/>
      <protection locked="0"/>
    </xf>
    <xf numFmtId="0" fontId="49" fillId="24" borderId="34" xfId="0" applyFont="1" applyFill="1" applyBorder="1" applyAlignment="1" applyProtection="1">
      <alignment horizontal="left" vertical="top" wrapText="1" indent="1"/>
      <protection locked="0"/>
    </xf>
    <xf numFmtId="0" fontId="49" fillId="24" borderId="31" xfId="0" applyFont="1" applyFill="1" applyBorder="1" applyAlignment="1" applyProtection="1">
      <alignment horizontal="left" vertical="top" wrapText="1" indent="1"/>
      <protection locked="0"/>
    </xf>
    <xf numFmtId="0" fontId="38" fillId="24" borderId="45" xfId="0" applyFont="1" applyFill="1" applyBorder="1" applyAlignment="1" applyProtection="1">
      <alignment horizontal="left" vertical="top" wrapText="1" indent="1"/>
      <protection locked="0"/>
    </xf>
    <xf numFmtId="0" fontId="38" fillId="24" borderId="42" xfId="0" applyFont="1" applyFill="1" applyBorder="1" applyAlignment="1" applyProtection="1">
      <alignment horizontal="left" vertical="top" wrapText="1" indent="2"/>
      <protection locked="0"/>
    </xf>
    <xf numFmtId="0" fontId="38" fillId="24" borderId="31" xfId="0" applyFont="1" applyFill="1" applyBorder="1" applyAlignment="1" applyProtection="1">
      <alignment horizontal="left" vertical="top" wrapText="1" indent="2"/>
      <protection locked="0"/>
    </xf>
    <xf numFmtId="0" fontId="51" fillId="24" borderId="34" xfId="0" applyFont="1" applyFill="1" applyBorder="1" applyAlignment="1" applyProtection="1">
      <alignment horizontal="left" vertical="top" wrapText="1" indent="2"/>
      <protection locked="0"/>
    </xf>
    <xf numFmtId="0" fontId="51" fillId="24" borderId="42" xfId="0" applyFont="1" applyFill="1" applyBorder="1" applyAlignment="1" applyProtection="1">
      <alignment horizontal="left" vertical="top" wrapText="1" indent="2"/>
      <protection locked="0"/>
    </xf>
    <xf numFmtId="0" fontId="51" fillId="24" borderId="53" xfId="0" applyFont="1" applyFill="1" applyBorder="1" applyAlignment="1" applyProtection="1">
      <alignment horizontal="left" vertical="top" wrapText="1" indent="2"/>
      <protection locked="0"/>
    </xf>
    <xf numFmtId="0" fontId="49" fillId="24" borderId="53" xfId="0" applyFont="1" applyFill="1" applyBorder="1" applyAlignment="1" applyProtection="1">
      <alignment horizontal="left" vertical="top" wrapText="1" indent="1"/>
      <protection locked="0"/>
    </xf>
    <xf numFmtId="0" fontId="38" fillId="24" borderId="40" xfId="0" applyFont="1" applyFill="1" applyBorder="1" applyAlignment="1" applyProtection="1">
      <alignment horizontal="left" vertical="top" wrapText="1" indent="2"/>
      <protection locked="0"/>
    </xf>
    <xf numFmtId="0" fontId="38" fillId="24" borderId="41" xfId="0" applyFont="1" applyFill="1" applyBorder="1" applyAlignment="1" applyProtection="1">
      <alignment horizontal="left" vertical="top" wrapText="1" indent="2"/>
      <protection locked="0"/>
    </xf>
    <xf numFmtId="0" fontId="38" fillId="24" borderId="49" xfId="0" applyFont="1" applyFill="1" applyBorder="1" applyAlignment="1" applyProtection="1">
      <alignment horizontal="left" vertical="top" wrapText="1" indent="2"/>
      <protection locked="0"/>
    </xf>
    <xf numFmtId="0" fontId="51" fillId="24" borderId="40" xfId="0" applyFont="1" applyFill="1" applyBorder="1" applyAlignment="1" applyProtection="1">
      <alignment horizontal="left" vertical="top" wrapText="1" indent="2"/>
      <protection locked="0"/>
    </xf>
    <xf numFmtId="0" fontId="51" fillId="24" borderId="41" xfId="0" applyFont="1" applyFill="1" applyBorder="1" applyAlignment="1" applyProtection="1">
      <alignment horizontal="left" vertical="top" wrapText="1" indent="2"/>
      <protection locked="0"/>
    </xf>
    <xf numFmtId="0" fontId="51" fillId="24" borderId="52" xfId="0" applyFont="1" applyFill="1" applyBorder="1" applyAlignment="1" applyProtection="1">
      <alignment horizontal="left" vertical="top" wrapText="1" indent="2"/>
      <protection locked="0"/>
    </xf>
    <xf numFmtId="0" fontId="38" fillId="0" borderId="44" xfId="0" applyFont="1" applyFill="1" applyBorder="1" applyAlignment="1" applyProtection="1">
      <alignment horizontal="left" indent="1"/>
    </xf>
    <xf numFmtId="0" fontId="38" fillId="0" borderId="41" xfId="0" applyFont="1" applyFill="1" applyBorder="1" applyAlignment="1" applyProtection="1">
      <alignment horizontal="left" indent="1"/>
    </xf>
    <xf numFmtId="0" fontId="38" fillId="0" borderId="52" xfId="0" applyFont="1" applyFill="1" applyBorder="1" applyAlignment="1" applyProtection="1">
      <alignment horizontal="left" indent="1"/>
    </xf>
    <xf numFmtId="0" fontId="49" fillId="24" borderId="37" xfId="0" applyFont="1" applyFill="1" applyBorder="1" applyAlignment="1" applyProtection="1">
      <alignment horizontal="left" vertical="top" wrapText="1" indent="1"/>
      <protection locked="0"/>
    </xf>
    <xf numFmtId="0" fontId="49" fillId="24" borderId="32" xfId="0" applyFont="1" applyFill="1" applyBorder="1" applyAlignment="1" applyProtection="1">
      <alignment horizontal="left" vertical="top" wrapText="1" indent="1"/>
      <protection locked="0"/>
    </xf>
    <xf numFmtId="0" fontId="49" fillId="24" borderId="54" xfId="0" applyFont="1" applyFill="1" applyBorder="1" applyAlignment="1" applyProtection="1">
      <alignment horizontal="left" vertical="top" wrapText="1" indent="1"/>
      <protection locked="0"/>
    </xf>
    <xf numFmtId="0" fontId="51" fillId="24" borderId="46" xfId="0" applyFont="1" applyFill="1" applyBorder="1" applyAlignment="1" applyProtection="1">
      <alignment horizontal="left" vertical="top" wrapText="1" indent="1"/>
      <protection locked="0"/>
    </xf>
    <xf numFmtId="0" fontId="51" fillId="24" borderId="32" xfId="0" applyFont="1" applyFill="1" applyBorder="1" applyAlignment="1" applyProtection="1">
      <alignment horizontal="left" vertical="top" wrapText="1" indent="1"/>
      <protection locked="0"/>
    </xf>
    <xf numFmtId="0" fontId="51" fillId="0" borderId="0" xfId="0" applyFont="1" applyFill="1" applyBorder="1" applyAlignment="1" applyProtection="1">
      <alignment horizontal="left" indent="1"/>
    </xf>
    <xf numFmtId="0" fontId="49" fillId="0" borderId="21" xfId="0" applyFont="1" applyBorder="1" applyAlignment="1" applyProtection="1">
      <alignment horizontal="left" vertical="top" wrapText="1" indent="1"/>
    </xf>
    <xf numFmtId="0" fontId="49" fillId="0" borderId="23" xfId="0" applyFont="1" applyBorder="1" applyAlignment="1" applyProtection="1">
      <alignment horizontal="left" vertical="top" wrapText="1" indent="1"/>
    </xf>
    <xf numFmtId="0" fontId="38" fillId="24" borderId="18" xfId="0" applyFont="1" applyFill="1" applyBorder="1" applyAlignment="1" applyProtection="1">
      <alignment horizontal="left" vertical="center"/>
      <protection locked="0"/>
    </xf>
    <xf numFmtId="0" fontId="38" fillId="24" borderId="65" xfId="0" applyFont="1" applyFill="1" applyBorder="1" applyAlignment="1" applyProtection="1">
      <alignment horizontal="left" vertical="center"/>
      <protection locked="0"/>
    </xf>
    <xf numFmtId="0" fontId="51" fillId="25" borderId="65" xfId="0" applyFont="1" applyFill="1" applyBorder="1" applyAlignment="1" applyProtection="1">
      <alignment horizontal="left" vertical="top" wrapText="1" indent="1"/>
      <protection locked="0"/>
    </xf>
    <xf numFmtId="0" fontId="51" fillId="25" borderId="58" xfId="0" applyFont="1" applyFill="1" applyBorder="1" applyAlignment="1" applyProtection="1">
      <alignment horizontal="left" vertical="top" wrapText="1" indent="1"/>
      <protection locked="0"/>
    </xf>
    <xf numFmtId="0" fontId="38" fillId="24" borderId="33" xfId="0" applyFont="1" applyFill="1" applyBorder="1" applyAlignment="1" applyProtection="1">
      <alignment horizontal="left" vertical="center"/>
      <protection locked="0"/>
    </xf>
    <xf numFmtId="0" fontId="38" fillId="24" borderId="22" xfId="0" applyFont="1" applyFill="1" applyBorder="1" applyAlignment="1" applyProtection="1">
      <alignment horizontal="left" vertical="center"/>
      <protection locked="0"/>
    </xf>
    <xf numFmtId="0" fontId="51" fillId="25" borderId="22" xfId="0" applyFont="1" applyFill="1" applyBorder="1" applyAlignment="1" applyProtection="1">
      <alignment horizontal="left" vertical="top" indent="1"/>
      <protection locked="0"/>
    </xf>
    <xf numFmtId="0" fontId="51" fillId="25" borderId="29" xfId="0" applyFont="1" applyFill="1" applyBorder="1" applyAlignment="1" applyProtection="1">
      <alignment horizontal="left" vertical="top" indent="1"/>
      <protection locked="0"/>
    </xf>
    <xf numFmtId="0" fontId="51" fillId="25" borderId="24" xfId="0" applyFont="1" applyFill="1" applyBorder="1" applyAlignment="1" applyProtection="1">
      <alignment horizontal="left" vertical="top" wrapText="1" indent="1"/>
      <protection locked="0"/>
    </xf>
    <xf numFmtId="0" fontId="51" fillId="25" borderId="26" xfId="0" applyFont="1" applyFill="1" applyBorder="1" applyAlignment="1" applyProtection="1">
      <alignment horizontal="left" vertical="top" wrapText="1" indent="1"/>
      <protection locked="0"/>
    </xf>
    <xf numFmtId="0" fontId="49" fillId="0" borderId="30" xfId="0" applyFont="1" applyBorder="1" applyAlignment="1" applyProtection="1">
      <alignment horizontal="left" vertical="top" indent="1"/>
    </xf>
    <xf numFmtId="0" fontId="49" fillId="0" borderId="51" xfId="0" applyFont="1" applyBorder="1" applyAlignment="1" applyProtection="1">
      <alignment horizontal="left" vertical="top" indent="1"/>
    </xf>
    <xf numFmtId="0" fontId="38" fillId="25" borderId="35" xfId="0" applyFont="1" applyFill="1" applyBorder="1" applyAlignment="1" applyProtection="1">
      <alignment horizontal="left" vertical="top" wrapText="1" indent="1"/>
      <protection locked="0"/>
    </xf>
    <xf numFmtId="0" fontId="51" fillId="25" borderId="27" xfId="0" applyFont="1" applyFill="1" applyBorder="1" applyAlignment="1" applyProtection="1">
      <alignment horizontal="left" vertical="top" wrapText="1" indent="1"/>
      <protection locked="0"/>
    </xf>
    <xf numFmtId="0" fontId="51" fillId="25" borderId="27" xfId="0" applyFont="1" applyFill="1" applyBorder="1" applyAlignment="1" applyProtection="1">
      <alignment horizontal="left" vertical="top" indent="1"/>
      <protection locked="0"/>
    </xf>
    <xf numFmtId="0" fontId="51" fillId="25" borderId="36" xfId="0" applyFont="1" applyFill="1" applyBorder="1" applyAlignment="1" applyProtection="1">
      <alignment horizontal="left" vertical="top" indent="1"/>
      <protection locked="0"/>
    </xf>
    <xf numFmtId="0" fontId="39" fillId="0" borderId="16" xfId="0" applyFont="1" applyBorder="1" applyAlignment="1" applyProtection="1">
      <alignment horizontal="left" vertical="top" wrapText="1" indent="1"/>
    </xf>
    <xf numFmtId="0" fontId="39" fillId="0" borderId="50" xfId="0" applyFont="1" applyBorder="1" applyAlignment="1" applyProtection="1">
      <alignment horizontal="left" vertical="top" wrapText="1" indent="1"/>
    </xf>
    <xf numFmtId="0" fontId="39" fillId="0" borderId="47" xfId="0" applyFont="1" applyBorder="1" applyAlignment="1" applyProtection="1">
      <alignment horizontal="left" vertical="top" wrapText="1" indent="1"/>
    </xf>
    <xf numFmtId="0" fontId="49" fillId="0" borderId="30" xfId="0" applyFont="1" applyBorder="1" applyAlignment="1" applyProtection="1">
      <alignment horizontal="left" vertical="top" wrapText="1" indent="1"/>
    </xf>
    <xf numFmtId="0" fontId="49" fillId="0" borderId="50" xfId="0" applyFont="1" applyBorder="1" applyAlignment="1" applyProtection="1">
      <alignment horizontal="left" vertical="top" wrapText="1" indent="1"/>
    </xf>
    <xf numFmtId="0" fontId="49" fillId="0" borderId="47" xfId="0" applyFont="1" applyBorder="1" applyAlignment="1" applyProtection="1">
      <alignment horizontal="left" vertical="top" wrapText="1" indent="1"/>
    </xf>
    <xf numFmtId="0" fontId="51" fillId="25" borderId="24" xfId="0" applyFont="1" applyFill="1" applyBorder="1" applyAlignment="1" applyProtection="1">
      <alignment horizontal="left" vertical="top" indent="1"/>
      <protection locked="0"/>
    </xf>
    <xf numFmtId="0" fontId="51" fillId="25" borderId="26" xfId="0" applyFont="1" applyFill="1" applyBorder="1" applyAlignment="1" applyProtection="1">
      <alignment horizontal="left" vertical="top" indent="1"/>
      <protection locked="0"/>
    </xf>
    <xf numFmtId="0" fontId="38" fillId="24" borderId="16" xfId="0" applyFont="1" applyFill="1" applyBorder="1" applyAlignment="1" applyProtection="1">
      <alignment horizontal="left" vertical="top" wrapText="1"/>
      <protection locked="0"/>
    </xf>
    <xf numFmtId="0" fontId="38" fillId="24" borderId="50" xfId="0" applyFont="1" applyFill="1" applyBorder="1" applyAlignment="1" applyProtection="1">
      <alignment horizontal="left" vertical="top" wrapText="1"/>
      <protection locked="0"/>
    </xf>
    <xf numFmtId="0" fontId="38" fillId="24" borderId="51" xfId="0" applyFont="1" applyFill="1" applyBorder="1" applyAlignment="1" applyProtection="1">
      <alignment horizontal="left" vertical="top" wrapText="1"/>
      <protection locked="0"/>
    </xf>
    <xf numFmtId="0" fontId="49" fillId="0" borderId="16" xfId="0" applyFont="1" applyBorder="1" applyAlignment="1" applyProtection="1">
      <alignment horizontal="left" vertical="top" wrapText="1" indent="1"/>
    </xf>
    <xf numFmtId="0" fontId="49" fillId="0" borderId="51" xfId="0" applyFont="1" applyBorder="1" applyAlignment="1" applyProtection="1">
      <alignment horizontal="left" vertical="top" wrapText="1" indent="1"/>
    </xf>
    <xf numFmtId="0" fontId="10" fillId="24" borderId="45" xfId="0" applyFont="1" applyFill="1" applyBorder="1" applyAlignment="1" applyProtection="1">
      <alignment horizontal="left" vertical="top" wrapText="1" indent="1"/>
      <protection locked="0"/>
    </xf>
    <xf numFmtId="0" fontId="10" fillId="24" borderId="42" xfId="0" applyFont="1" applyFill="1" applyBorder="1" applyAlignment="1" applyProtection="1">
      <alignment horizontal="left" vertical="top" wrapText="1" indent="1"/>
      <protection locked="0"/>
    </xf>
    <xf numFmtId="0" fontId="10" fillId="24" borderId="31" xfId="0" applyFont="1" applyFill="1" applyBorder="1" applyAlignment="1" applyProtection="1">
      <alignment horizontal="left" vertical="top" wrapText="1" indent="1"/>
      <protection locked="0"/>
    </xf>
    <xf numFmtId="0" fontId="10" fillId="24" borderId="46" xfId="0" applyFont="1" applyFill="1" applyBorder="1" applyAlignment="1" applyProtection="1">
      <alignment horizontal="left" vertical="top" wrapText="1" indent="1"/>
      <protection locked="0"/>
    </xf>
    <xf numFmtId="0" fontId="10" fillId="24" borderId="43" xfId="0" applyFont="1" applyFill="1" applyBorder="1" applyAlignment="1" applyProtection="1">
      <alignment horizontal="left" vertical="top" wrapText="1" indent="1"/>
      <protection locked="0"/>
    </xf>
    <xf numFmtId="0" fontId="10" fillId="24" borderId="32" xfId="0" applyFont="1" applyFill="1" applyBorder="1" applyAlignment="1" applyProtection="1">
      <alignment horizontal="left" vertical="top" wrapText="1" indent="1"/>
      <protection locked="0"/>
    </xf>
    <xf numFmtId="164" fontId="38" fillId="0" borderId="34" xfId="55" applyNumberFormat="1" applyFont="1" applyFill="1" applyBorder="1" applyAlignment="1" applyProtection="1">
      <alignment horizontal="left" vertical="top" wrapText="1" indent="1"/>
    </xf>
    <xf numFmtId="164" fontId="38" fillId="0" borderId="53" xfId="55" applyNumberFormat="1" applyFont="1" applyFill="1" applyBorder="1" applyAlignment="1" applyProtection="1">
      <alignment horizontal="left" vertical="top" wrapText="1" indent="1"/>
    </xf>
    <xf numFmtId="0" fontId="38" fillId="24" borderId="46" xfId="0" applyFont="1" applyFill="1" applyBorder="1" applyAlignment="1" applyProtection="1">
      <alignment horizontal="left" vertical="top" wrapText="1" indent="1"/>
      <protection locked="0"/>
    </xf>
    <xf numFmtId="0" fontId="38" fillId="24" borderId="32" xfId="0" applyFont="1" applyFill="1" applyBorder="1" applyAlignment="1" applyProtection="1">
      <alignment horizontal="left" vertical="top" wrapText="1" indent="1"/>
      <protection locked="0"/>
    </xf>
    <xf numFmtId="0" fontId="38" fillId="24" borderId="43" xfId="0" applyFont="1" applyFill="1" applyBorder="1" applyAlignment="1" applyProtection="1">
      <alignment horizontal="left" vertical="top" wrapText="1" indent="2"/>
      <protection locked="0"/>
    </xf>
    <xf numFmtId="0" fontId="38" fillId="24" borderId="32" xfId="0" applyFont="1" applyFill="1" applyBorder="1" applyAlignment="1" applyProtection="1">
      <alignment horizontal="left" vertical="top" wrapText="1" indent="2"/>
      <protection locked="0"/>
    </xf>
    <xf numFmtId="0" fontId="51" fillId="24" borderId="37" xfId="0" applyFont="1" applyFill="1" applyBorder="1" applyAlignment="1" applyProtection="1">
      <alignment horizontal="left" vertical="top" wrapText="1" indent="2"/>
      <protection locked="0"/>
    </xf>
    <xf numFmtId="0" fontId="51" fillId="24" borderId="43" xfId="0" applyFont="1" applyFill="1" applyBorder="1" applyAlignment="1" applyProtection="1">
      <alignment horizontal="left" vertical="top" wrapText="1" indent="2"/>
      <protection locked="0"/>
    </xf>
    <xf numFmtId="0" fontId="51" fillId="24" borderId="54" xfId="0" applyFont="1" applyFill="1" applyBorder="1" applyAlignment="1" applyProtection="1">
      <alignment horizontal="left" vertical="top" wrapText="1" indent="2"/>
      <protection locked="0"/>
    </xf>
    <xf numFmtId="0" fontId="39" fillId="0" borderId="51" xfId="0" applyFont="1" applyBorder="1" applyAlignment="1" applyProtection="1">
      <alignment horizontal="left" vertical="top" wrapText="1" indent="1"/>
    </xf>
    <xf numFmtId="0" fontId="10" fillId="24" borderId="40" xfId="0" applyFont="1" applyFill="1" applyBorder="1" applyAlignment="1" applyProtection="1">
      <alignment horizontal="left" vertical="top" wrapText="1" indent="1"/>
      <protection locked="0"/>
    </xf>
    <xf numFmtId="0" fontId="10" fillId="24" borderId="52" xfId="0" applyFont="1" applyFill="1" applyBorder="1" applyAlignment="1" applyProtection="1">
      <alignment horizontal="left" vertical="top" wrapText="1" indent="1"/>
      <protection locked="0"/>
    </xf>
    <xf numFmtId="49" fontId="38" fillId="0" borderId="34" xfId="55" applyNumberFormat="1" applyFont="1" applyFill="1" applyBorder="1" applyAlignment="1" applyProtection="1">
      <alignment horizontal="left" vertical="top" wrapText="1" indent="1"/>
    </xf>
    <xf numFmtId="49" fontId="38" fillId="0" borderId="53" xfId="55" applyNumberFormat="1" applyFont="1" applyFill="1" applyBorder="1" applyAlignment="1" applyProtection="1">
      <alignment horizontal="left" vertical="top" wrapText="1" indent="1"/>
    </xf>
    <xf numFmtId="0" fontId="10" fillId="24" borderId="34" xfId="0" applyFont="1" applyFill="1" applyBorder="1" applyAlignment="1" applyProtection="1">
      <alignment horizontal="left" vertical="top" wrapText="1" indent="1"/>
      <protection locked="0"/>
    </xf>
    <xf numFmtId="0" fontId="10" fillId="24" borderId="53" xfId="0" applyFont="1" applyFill="1" applyBorder="1" applyAlignment="1" applyProtection="1">
      <alignment horizontal="left" vertical="top" wrapText="1" indent="1"/>
      <protection locked="0"/>
    </xf>
    <xf numFmtId="0" fontId="38" fillId="0" borderId="44" xfId="0" applyFont="1" applyFill="1" applyBorder="1" applyAlignment="1" applyProtection="1">
      <alignment horizontal="left" vertical="top" wrapText="1" indent="1"/>
    </xf>
    <xf numFmtId="0" fontId="38" fillId="0" borderId="41" xfId="0" applyFont="1" applyFill="1" applyBorder="1" applyAlignment="1" applyProtection="1">
      <alignment horizontal="left" vertical="top" wrapText="1" indent="1"/>
    </xf>
    <xf numFmtId="0" fontId="38" fillId="0" borderId="49" xfId="0" applyFont="1" applyFill="1" applyBorder="1" applyAlignment="1" applyProtection="1">
      <alignment horizontal="left" vertical="top" wrapText="1" indent="1"/>
    </xf>
    <xf numFmtId="49" fontId="38" fillId="0" borderId="40" xfId="55" applyNumberFormat="1" applyFont="1" applyFill="1" applyBorder="1" applyAlignment="1" applyProtection="1">
      <alignment horizontal="left" vertical="top" wrapText="1" indent="1"/>
    </xf>
    <xf numFmtId="49" fontId="38" fillId="0" borderId="52" xfId="55" applyNumberFormat="1" applyFont="1" applyFill="1" applyBorder="1" applyAlignment="1" applyProtection="1">
      <alignment horizontal="left" vertical="top" wrapText="1" indent="1"/>
    </xf>
    <xf numFmtId="0" fontId="10" fillId="24" borderId="44" xfId="0" applyFont="1" applyFill="1" applyBorder="1" applyAlignment="1" applyProtection="1">
      <alignment horizontal="left" vertical="top" wrapText="1" indent="1"/>
      <protection locked="0"/>
    </xf>
    <xf numFmtId="0" fontId="10" fillId="24" borderId="41" xfId="0" applyFont="1" applyFill="1" applyBorder="1" applyAlignment="1" applyProtection="1">
      <alignment horizontal="left" vertical="top" wrapText="1" indent="1"/>
      <protection locked="0"/>
    </xf>
    <xf numFmtId="0" fontId="10" fillId="24" borderId="49" xfId="0" applyFont="1" applyFill="1" applyBorder="1" applyAlignment="1" applyProtection="1">
      <alignment horizontal="left" vertical="top" wrapText="1" indent="1"/>
      <protection locked="0"/>
    </xf>
    <xf numFmtId="0" fontId="51" fillId="24" borderId="34" xfId="0" applyFont="1" applyFill="1" applyBorder="1" applyAlignment="1" applyProtection="1">
      <alignment horizontal="left" vertical="top" wrapText="1" indent="1"/>
      <protection locked="0"/>
    </xf>
    <xf numFmtId="0" fontId="51" fillId="24" borderId="53" xfId="0" applyFont="1" applyFill="1" applyBorder="1" applyAlignment="1" applyProtection="1">
      <alignment horizontal="left" vertical="top" wrapText="1" indent="1"/>
      <protection locked="0"/>
    </xf>
    <xf numFmtId="0" fontId="51" fillId="24" borderId="40" xfId="0" applyFont="1" applyFill="1" applyBorder="1" applyAlignment="1" applyProtection="1">
      <alignment horizontal="left" vertical="top" wrapText="1" indent="1"/>
      <protection locked="0"/>
    </xf>
    <xf numFmtId="0" fontId="51" fillId="24" borderId="49" xfId="0" applyFont="1" applyFill="1" applyBorder="1" applyAlignment="1" applyProtection="1">
      <alignment horizontal="left" vertical="top" wrapText="1" indent="1"/>
      <protection locked="0"/>
    </xf>
    <xf numFmtId="0" fontId="10" fillId="24" borderId="37" xfId="0" applyFont="1" applyFill="1" applyBorder="1" applyAlignment="1" applyProtection="1">
      <alignment horizontal="left" vertical="top" wrapText="1" indent="1"/>
      <protection locked="0"/>
    </xf>
    <xf numFmtId="0" fontId="10" fillId="24" borderId="54" xfId="0" applyFont="1" applyFill="1" applyBorder="1" applyAlignment="1" applyProtection="1">
      <alignment horizontal="left" vertical="top" wrapText="1" indent="1"/>
      <protection locked="0"/>
    </xf>
    <xf numFmtId="0" fontId="49" fillId="0" borderId="0" xfId="0" applyFont="1" applyBorder="1" applyAlignment="1" applyProtection="1">
      <alignment horizontal="left" vertical="center" wrapText="1"/>
    </xf>
    <xf numFmtId="0" fontId="38" fillId="0" borderId="10" xfId="0" applyFont="1" applyBorder="1" applyAlignment="1" applyProtection="1">
      <alignment horizontal="left" vertical="center" wrapText="1" indent="1"/>
    </xf>
    <xf numFmtId="0" fontId="38" fillId="0" borderId="13" xfId="0" applyFont="1" applyBorder="1" applyAlignment="1" applyProtection="1">
      <alignment horizontal="left" vertical="center" wrapText="1" indent="1"/>
    </xf>
    <xf numFmtId="0" fontId="38" fillId="0" borderId="17" xfId="0" applyFont="1" applyBorder="1" applyAlignment="1" applyProtection="1">
      <alignment horizontal="left" vertical="center" wrapText="1" indent="1"/>
    </xf>
    <xf numFmtId="0" fontId="51" fillId="25" borderId="16" xfId="0" applyFont="1" applyFill="1" applyBorder="1" applyAlignment="1" applyProtection="1">
      <alignment horizontal="right" vertical="center" wrapText="1" indent="1"/>
      <protection locked="0"/>
    </xf>
    <xf numFmtId="0" fontId="51" fillId="25" borderId="50" xfId="0" applyFont="1" applyFill="1" applyBorder="1" applyAlignment="1" applyProtection="1">
      <alignment horizontal="right" vertical="center" wrapText="1" indent="1"/>
      <protection locked="0"/>
    </xf>
    <xf numFmtId="0" fontId="51" fillId="25" borderId="51" xfId="0" applyFont="1" applyFill="1" applyBorder="1" applyAlignment="1" applyProtection="1">
      <alignment horizontal="right" vertical="center" wrapText="1" indent="1"/>
      <protection locked="0"/>
    </xf>
    <xf numFmtId="0" fontId="51" fillId="24" borderId="44" xfId="0" applyFont="1" applyFill="1" applyBorder="1" applyAlignment="1" applyProtection="1">
      <alignment horizontal="left" vertical="top" wrapText="1" indent="1"/>
      <protection locked="0"/>
    </xf>
    <xf numFmtId="0" fontId="49" fillId="24" borderId="40" xfId="0" applyFont="1" applyFill="1" applyBorder="1" applyAlignment="1" applyProtection="1">
      <alignment horizontal="left" vertical="top" wrapText="1" indent="1"/>
      <protection locked="0"/>
    </xf>
    <xf numFmtId="0" fontId="49" fillId="24" borderId="52" xfId="0" applyFont="1" applyFill="1" applyBorder="1" applyAlignment="1" applyProtection="1">
      <alignment horizontal="left" vertical="top" wrapText="1" indent="1"/>
      <protection locked="0"/>
    </xf>
    <xf numFmtId="164" fontId="38" fillId="0" borderId="34" xfId="0" applyNumberFormat="1" applyFont="1" applyFill="1" applyBorder="1" applyAlignment="1" applyProtection="1">
      <alignment horizontal="left" vertical="top" wrapText="1" indent="1"/>
    </xf>
    <xf numFmtId="164" fontId="38" fillId="0" borderId="53" xfId="0" applyNumberFormat="1" applyFont="1" applyFill="1" applyBorder="1" applyAlignment="1" applyProtection="1">
      <alignment horizontal="left" vertical="top" wrapText="1" indent="1"/>
    </xf>
    <xf numFmtId="17" fontId="38" fillId="0" borderId="53" xfId="0" applyNumberFormat="1" applyFont="1" applyFill="1" applyBorder="1" applyAlignment="1" applyProtection="1">
      <alignment horizontal="left" vertical="top" wrapText="1" indent="1"/>
    </xf>
    <xf numFmtId="0" fontId="38" fillId="24" borderId="65" xfId="0" applyFont="1" applyFill="1" applyBorder="1" applyAlignment="1" applyProtection="1">
      <alignment horizontal="left" vertical="top" wrapText="1" indent="2"/>
      <protection locked="0"/>
    </xf>
    <xf numFmtId="0" fontId="38" fillId="24" borderId="58" xfId="0" applyFont="1" applyFill="1" applyBorder="1" applyAlignment="1" applyProtection="1">
      <alignment horizontal="left" vertical="top" wrapText="1" indent="2"/>
      <protection locked="0"/>
    </xf>
    <xf numFmtId="0" fontId="39" fillId="0" borderId="10" xfId="0" applyFont="1" applyBorder="1" applyAlignment="1" applyProtection="1">
      <alignment horizontal="center"/>
    </xf>
    <xf numFmtId="0" fontId="39" fillId="0" borderId="13" xfId="0" applyFont="1" applyBorder="1" applyAlignment="1" applyProtection="1">
      <alignment horizontal="center"/>
    </xf>
    <xf numFmtId="0" fontId="38" fillId="24" borderId="18" xfId="0" applyFont="1" applyFill="1" applyBorder="1" applyAlignment="1" applyProtection="1">
      <alignment horizontal="left" vertical="top" wrapText="1" indent="1"/>
      <protection locked="0"/>
    </xf>
    <xf numFmtId="0" fontId="38" fillId="24" borderId="65" xfId="0" applyFont="1" applyFill="1" applyBorder="1" applyAlignment="1" applyProtection="1">
      <alignment horizontal="left" vertical="top" wrapText="1" indent="1"/>
      <protection locked="0"/>
    </xf>
    <xf numFmtId="0" fontId="38" fillId="24" borderId="16" xfId="0" applyFont="1" applyFill="1" applyBorder="1" applyAlignment="1" applyProtection="1">
      <alignment horizontal="left" vertical="top" wrapText="1" indent="1"/>
      <protection locked="0"/>
    </xf>
    <xf numFmtId="49" fontId="38" fillId="0" borderId="65" xfId="0" applyNumberFormat="1" applyFont="1" applyFill="1" applyBorder="1" applyAlignment="1" applyProtection="1">
      <alignment horizontal="left" vertical="top" wrapText="1" indent="1"/>
    </xf>
    <xf numFmtId="49" fontId="38" fillId="0" borderId="58" xfId="0" applyNumberFormat="1" applyFont="1" applyFill="1" applyBorder="1" applyAlignment="1" applyProtection="1">
      <alignment horizontal="left" vertical="top" wrapText="1" indent="1"/>
    </xf>
    <xf numFmtId="0" fontId="39" fillId="0" borderId="10" xfId="0" applyFont="1" applyFill="1" applyBorder="1" applyAlignment="1" applyProtection="1">
      <alignment horizontal="left" vertical="top" wrapText="1" indent="1"/>
    </xf>
    <xf numFmtId="0" fontId="39" fillId="0" borderId="13" xfId="0" applyFont="1" applyFill="1" applyBorder="1" applyAlignment="1" applyProtection="1">
      <alignment horizontal="left" vertical="top" wrapText="1" indent="1"/>
    </xf>
    <xf numFmtId="0" fontId="39" fillId="0" borderId="17" xfId="0" applyFont="1" applyFill="1" applyBorder="1" applyAlignment="1" applyProtection="1">
      <alignment horizontal="left" vertical="top" wrapText="1" indent="1"/>
    </xf>
    <xf numFmtId="0" fontId="38" fillId="0" borderId="0" xfId="0" applyFont="1" applyFill="1" applyBorder="1" applyAlignment="1" applyProtection="1">
      <alignment horizontal="left" vertical="top" wrapText="1" indent="1"/>
    </xf>
    <xf numFmtId="8" fontId="38" fillId="0" borderId="22" xfId="0" applyNumberFormat="1" applyFont="1" applyFill="1" applyBorder="1" applyAlignment="1" applyProtection="1">
      <alignment horizontal="left" vertical="top" wrapText="1" indent="1"/>
    </xf>
    <xf numFmtId="0" fontId="39" fillId="0" borderId="0" xfId="0" applyFont="1" applyFill="1" applyBorder="1" applyAlignment="1" applyProtection="1">
      <alignment horizontal="left" vertical="top" wrapText="1" indent="1"/>
    </xf>
    <xf numFmtId="8" fontId="38" fillId="0" borderId="24" xfId="0" applyNumberFormat="1" applyFont="1" applyFill="1" applyBorder="1" applyAlignment="1" applyProtection="1">
      <alignment horizontal="left" vertical="top" wrapText="1" indent="1"/>
    </xf>
    <xf numFmtId="0" fontId="38" fillId="0" borderId="26" xfId="0" applyFont="1" applyFill="1" applyBorder="1" applyAlignment="1" applyProtection="1">
      <alignment horizontal="left" vertical="top" wrapText="1" indent="1"/>
    </xf>
    <xf numFmtId="0" fontId="38" fillId="24" borderId="0" xfId="0" applyFont="1" applyFill="1" applyAlignment="1" applyProtection="1">
      <alignment horizontal="left" vertical="top" wrapText="1"/>
    </xf>
    <xf numFmtId="10" fontId="15" fillId="24" borderId="22" xfId="0" applyNumberFormat="1" applyFont="1" applyFill="1" applyBorder="1" applyAlignment="1" applyProtection="1">
      <alignment horizontal="center" vertical="top" wrapText="1"/>
      <protection locked="0"/>
    </xf>
    <xf numFmtId="10" fontId="15" fillId="24" borderId="29" xfId="0" applyNumberFormat="1" applyFont="1" applyFill="1" applyBorder="1" applyAlignment="1" applyProtection="1">
      <alignment horizontal="center" vertical="top" wrapText="1"/>
      <protection locked="0"/>
    </xf>
    <xf numFmtId="0" fontId="6" fillId="25" borderId="33" xfId="0" applyFont="1" applyFill="1" applyBorder="1" applyAlignment="1" applyProtection="1">
      <alignment horizontal="left" vertical="top" wrapText="1" indent="1"/>
      <protection locked="0"/>
    </xf>
    <xf numFmtId="0" fontId="6" fillId="25" borderId="22" xfId="0" applyFont="1" applyFill="1" applyBorder="1" applyAlignment="1" applyProtection="1">
      <alignment horizontal="left" vertical="top" wrapText="1" indent="1"/>
      <protection locked="0"/>
    </xf>
    <xf numFmtId="9" fontId="2" fillId="25" borderId="22" xfId="0" applyNumberFormat="1" applyFont="1" applyFill="1" applyBorder="1" applyAlignment="1" applyProtection="1">
      <alignment horizontal="center" vertical="top" wrapText="1"/>
      <protection locked="0"/>
    </xf>
    <xf numFmtId="0" fontId="2" fillId="25" borderId="22" xfId="0" applyFont="1" applyFill="1" applyBorder="1" applyAlignment="1" applyProtection="1">
      <alignment horizontal="center" vertical="top" wrapText="1"/>
      <protection locked="0"/>
    </xf>
    <xf numFmtId="0" fontId="6" fillId="25" borderId="15" xfId="0" applyFont="1" applyFill="1" applyBorder="1" applyAlignment="1" applyProtection="1">
      <alignment horizontal="left" vertical="top" wrapText="1" indent="1"/>
      <protection locked="0"/>
    </xf>
    <xf numFmtId="0" fontId="6" fillId="25" borderId="24" xfId="0" applyFont="1" applyFill="1" applyBorder="1" applyAlignment="1" applyProtection="1">
      <alignment horizontal="left" vertical="top" wrapText="1" indent="1"/>
      <protection locked="0"/>
    </xf>
    <xf numFmtId="0" fontId="2" fillId="25" borderId="24" xfId="0" applyFont="1" applyFill="1" applyBorder="1" applyAlignment="1" applyProtection="1">
      <alignment horizontal="center" vertical="top" wrapText="1"/>
      <protection locked="0"/>
    </xf>
    <xf numFmtId="10" fontId="15" fillId="24" borderId="24" xfId="0" applyNumberFormat="1" applyFont="1" applyFill="1" applyBorder="1" applyAlignment="1" applyProtection="1">
      <alignment horizontal="center" vertical="top" wrapText="1"/>
      <protection locked="0"/>
    </xf>
    <xf numFmtId="10" fontId="15" fillId="24" borderId="26" xfId="0" applyNumberFormat="1" applyFont="1" applyFill="1" applyBorder="1" applyAlignment="1" applyProtection="1">
      <alignment horizontal="center" vertical="top" wrapText="1"/>
      <protection locked="0"/>
    </xf>
    <xf numFmtId="0" fontId="6" fillId="0" borderId="59" xfId="0" applyFont="1" applyFill="1" applyBorder="1" applyAlignment="1" applyProtection="1">
      <alignment horizontal="center" vertical="center" wrapText="1"/>
    </xf>
    <xf numFmtId="0" fontId="6" fillId="0" borderId="28" xfId="0" applyFont="1" applyFill="1" applyBorder="1" applyAlignment="1" applyProtection="1">
      <alignment horizontal="center" vertical="center" wrapText="1"/>
    </xf>
    <xf numFmtId="0" fontId="6" fillId="0" borderId="60" xfId="0" applyFont="1" applyFill="1" applyBorder="1" applyAlignment="1" applyProtection="1">
      <alignment horizontal="center" vertical="center" wrapText="1"/>
    </xf>
    <xf numFmtId="0" fontId="6" fillId="0" borderId="57" xfId="0" applyFont="1" applyFill="1" applyBorder="1" applyAlignment="1" applyProtection="1">
      <alignment horizontal="center" vertical="center" wrapText="1"/>
    </xf>
    <xf numFmtId="0" fontId="6" fillId="0" borderId="0" xfId="0" applyFont="1" applyFill="1" applyBorder="1" applyAlignment="1" applyProtection="1">
      <alignment horizontal="center" vertical="center" wrapText="1"/>
    </xf>
    <xf numFmtId="0" fontId="6" fillId="0" borderId="61" xfId="0" applyFont="1" applyFill="1" applyBorder="1" applyAlignment="1" applyProtection="1">
      <alignment horizontal="center" vertical="center" wrapText="1"/>
    </xf>
    <xf numFmtId="0" fontId="6" fillId="0" borderId="62" xfId="0" applyFont="1" applyFill="1" applyBorder="1" applyAlignment="1" applyProtection="1">
      <alignment horizontal="center" vertical="center" wrapText="1"/>
    </xf>
    <xf numFmtId="0" fontId="6" fillId="0" borderId="63" xfId="0" applyFont="1" applyFill="1" applyBorder="1" applyAlignment="1" applyProtection="1">
      <alignment horizontal="center" vertical="center" wrapText="1"/>
    </xf>
    <xf numFmtId="0" fontId="6" fillId="0" borderId="64" xfId="0" applyFont="1" applyFill="1" applyBorder="1" applyAlignment="1" applyProtection="1">
      <alignment horizontal="center" vertical="center" wrapText="1"/>
    </xf>
    <xf numFmtId="0" fontId="6" fillId="25" borderId="35" xfId="0" applyFont="1" applyFill="1" applyBorder="1" applyAlignment="1" applyProtection="1">
      <alignment horizontal="left" vertical="top" wrapText="1" indent="1"/>
      <protection locked="0"/>
    </xf>
    <xf numFmtId="0" fontId="6" fillId="25" borderId="27" xfId="0" applyFont="1" applyFill="1" applyBorder="1" applyAlignment="1" applyProtection="1">
      <alignment horizontal="left" vertical="top" wrapText="1" indent="1"/>
      <protection locked="0"/>
    </xf>
    <xf numFmtId="9" fontId="2" fillId="25" borderId="27" xfId="0" applyNumberFormat="1" applyFont="1" applyFill="1" applyBorder="1" applyAlignment="1" applyProtection="1">
      <alignment horizontal="center" vertical="top" wrapText="1"/>
      <protection locked="0"/>
    </xf>
    <xf numFmtId="0" fontId="2" fillId="25" borderId="27" xfId="0" applyFont="1" applyFill="1" applyBorder="1" applyAlignment="1" applyProtection="1">
      <alignment horizontal="center" vertical="top" wrapText="1"/>
      <protection locked="0"/>
    </xf>
    <xf numFmtId="10" fontId="15" fillId="24" borderId="27" xfId="0" applyNumberFormat="1" applyFont="1" applyFill="1" applyBorder="1" applyAlignment="1" applyProtection="1">
      <alignment horizontal="center" vertical="top" wrapText="1"/>
      <protection locked="0"/>
    </xf>
    <xf numFmtId="10" fontId="15" fillId="24" borderId="36" xfId="0" applyNumberFormat="1" applyFont="1" applyFill="1" applyBorder="1" applyAlignment="1" applyProtection="1">
      <alignment horizontal="center" vertical="top" wrapText="1"/>
      <protection locked="0"/>
    </xf>
    <xf numFmtId="0" fontId="39" fillId="0" borderId="16" xfId="0" applyFont="1" applyBorder="1" applyAlignment="1" applyProtection="1">
      <alignment horizontal="center" vertical="top"/>
    </xf>
    <xf numFmtId="0" fontId="39" fillId="0" borderId="50" xfId="0" applyFont="1" applyBorder="1" applyAlignment="1" applyProtection="1">
      <alignment horizontal="center" vertical="top"/>
    </xf>
    <xf numFmtId="0" fontId="39" fillId="0" borderId="51" xfId="0" applyFont="1" applyBorder="1" applyAlignment="1" applyProtection="1">
      <alignment horizontal="center" vertical="top"/>
    </xf>
    <xf numFmtId="0" fontId="2" fillId="0" borderId="10" xfId="0" applyFont="1" applyBorder="1" applyAlignment="1" applyProtection="1">
      <alignment horizontal="center" vertical="top" wrapText="1"/>
    </xf>
    <xf numFmtId="0" fontId="2" fillId="0" borderId="13" xfId="0" applyFont="1" applyBorder="1" applyAlignment="1" applyProtection="1">
      <alignment horizontal="center" vertical="top" wrapText="1"/>
    </xf>
    <xf numFmtId="0" fontId="2" fillId="0" borderId="17" xfId="0" applyFont="1" applyBorder="1" applyAlignment="1" applyProtection="1">
      <alignment horizontal="center" vertical="top" wrapText="1"/>
    </xf>
    <xf numFmtId="0" fontId="15" fillId="24" borderId="24" xfId="0" applyNumberFormat="1" applyFont="1" applyFill="1" applyBorder="1" applyAlignment="1" applyProtection="1">
      <alignment horizontal="center" vertical="top" wrapText="1"/>
      <protection locked="0"/>
    </xf>
    <xf numFmtId="0" fontId="15" fillId="24" borderId="26" xfId="0" applyNumberFormat="1" applyFont="1" applyFill="1" applyBorder="1" applyAlignment="1" applyProtection="1">
      <alignment horizontal="center" vertical="top" wrapText="1"/>
      <protection locked="0"/>
    </xf>
    <xf numFmtId="0" fontId="15" fillId="24" borderId="27" xfId="0" applyNumberFormat="1" applyFont="1" applyFill="1" applyBorder="1" applyAlignment="1" applyProtection="1">
      <alignment horizontal="center" vertical="top" wrapText="1"/>
      <protection locked="0"/>
    </xf>
    <xf numFmtId="0" fontId="15" fillId="24" borderId="36" xfId="0" applyNumberFormat="1" applyFont="1" applyFill="1" applyBorder="1" applyAlignment="1" applyProtection="1">
      <alignment horizontal="center" vertical="top" wrapText="1"/>
      <protection locked="0"/>
    </xf>
    <xf numFmtId="0" fontId="15" fillId="24" borderId="22" xfId="0" applyNumberFormat="1" applyFont="1" applyFill="1" applyBorder="1" applyAlignment="1" applyProtection="1">
      <alignment horizontal="center" vertical="top" wrapText="1"/>
      <protection locked="0"/>
    </xf>
    <xf numFmtId="0" fontId="15" fillId="24" borderId="29" xfId="0" applyNumberFormat="1" applyFont="1" applyFill="1" applyBorder="1" applyAlignment="1" applyProtection="1">
      <alignment horizontal="center" vertical="top" wrapText="1"/>
      <protection locked="0"/>
    </xf>
    <xf numFmtId="0" fontId="6" fillId="24" borderId="24" xfId="0" applyFont="1" applyFill="1" applyBorder="1" applyAlignment="1" applyProtection="1">
      <alignment horizontal="left" vertical="top" wrapText="1" indent="1"/>
      <protection locked="0"/>
    </xf>
    <xf numFmtId="0" fontId="6" fillId="24" borderId="26" xfId="0" applyFont="1" applyFill="1" applyBorder="1" applyAlignment="1" applyProtection="1">
      <alignment horizontal="left" vertical="top" wrapText="1" indent="1"/>
      <protection locked="0"/>
    </xf>
    <xf numFmtId="0" fontId="6" fillId="24" borderId="16" xfId="0" applyFont="1" applyFill="1" applyBorder="1" applyAlignment="1" applyProtection="1">
      <alignment horizontal="left" vertical="top" indent="1"/>
      <protection locked="0"/>
    </xf>
    <xf numFmtId="0" fontId="6" fillId="24" borderId="50" xfId="0" applyFont="1" applyFill="1" applyBorder="1" applyAlignment="1" applyProtection="1">
      <alignment horizontal="left" vertical="top" indent="1"/>
      <protection locked="0"/>
    </xf>
    <xf numFmtId="0" fontId="6" fillId="24" borderId="51" xfId="0" applyFont="1" applyFill="1" applyBorder="1" applyAlignment="1" applyProtection="1">
      <alignment horizontal="left" vertical="top" indent="1"/>
      <protection locked="0"/>
    </xf>
    <xf numFmtId="0" fontId="2" fillId="0" borderId="71" xfId="0" applyFont="1" applyBorder="1" applyAlignment="1" applyProtection="1">
      <alignment horizontal="center" vertical="top" wrapText="1"/>
    </xf>
    <xf numFmtId="0" fontId="2" fillId="0" borderId="21" xfId="0" applyFont="1" applyBorder="1" applyAlignment="1" applyProtection="1">
      <alignment horizontal="center" vertical="top" wrapText="1"/>
    </xf>
    <xf numFmtId="0" fontId="2" fillId="0" borderId="23" xfId="0" applyFont="1" applyBorder="1" applyAlignment="1" applyProtection="1">
      <alignment horizontal="center" vertical="top" wrapText="1"/>
    </xf>
    <xf numFmtId="0" fontId="6" fillId="25" borderId="18" xfId="0" applyFont="1" applyFill="1" applyBorder="1" applyAlignment="1" applyProtection="1">
      <alignment horizontal="left" vertical="top" wrapText="1" indent="1"/>
      <protection locked="0"/>
    </xf>
    <xf numFmtId="0" fontId="6" fillId="25" borderId="65" xfId="0" applyFont="1" applyFill="1" applyBorder="1" applyAlignment="1" applyProtection="1">
      <alignment horizontal="left" vertical="top" wrapText="1" indent="1"/>
      <protection locked="0"/>
    </xf>
    <xf numFmtId="9" fontId="2" fillId="25" borderId="65" xfId="0" applyNumberFormat="1" applyFont="1" applyFill="1" applyBorder="1" applyAlignment="1" applyProtection="1">
      <alignment horizontal="center" vertical="top" wrapText="1"/>
      <protection locked="0"/>
    </xf>
    <xf numFmtId="0" fontId="2" fillId="25" borderId="65" xfId="0" applyFont="1" applyFill="1" applyBorder="1" applyAlignment="1" applyProtection="1">
      <alignment horizontal="center" vertical="top" wrapText="1"/>
      <protection locked="0"/>
    </xf>
    <xf numFmtId="10" fontId="15" fillId="24" borderId="65" xfId="0" applyNumberFormat="1" applyFont="1" applyFill="1" applyBorder="1" applyAlignment="1" applyProtection="1">
      <alignment horizontal="center" vertical="top" wrapText="1"/>
      <protection locked="0"/>
    </xf>
    <xf numFmtId="14" fontId="15" fillId="24" borderId="65" xfId="0" applyNumberFormat="1" applyFont="1" applyFill="1" applyBorder="1" applyAlignment="1" applyProtection="1">
      <alignment horizontal="center" vertical="top" wrapText="1"/>
      <protection locked="0"/>
    </xf>
    <xf numFmtId="0" fontId="15" fillId="24" borderId="58" xfId="0" applyNumberFormat="1" applyFont="1" applyFill="1" applyBorder="1" applyAlignment="1" applyProtection="1">
      <alignment horizontal="center" vertical="top" wrapText="1"/>
      <protection locked="0"/>
    </xf>
    <xf numFmtId="0" fontId="6" fillId="0" borderId="0" xfId="0" applyFont="1" applyAlignment="1" applyProtection="1">
      <alignment horizontal="left" vertical="top" wrapText="1"/>
    </xf>
    <xf numFmtId="14" fontId="15" fillId="24" borderId="22" xfId="0" applyNumberFormat="1" applyFont="1" applyFill="1" applyBorder="1" applyAlignment="1" applyProtection="1">
      <alignment horizontal="center" vertical="top" wrapText="1"/>
      <protection locked="0"/>
    </xf>
    <xf numFmtId="0" fontId="6" fillId="24" borderId="22" xfId="0" applyFont="1" applyFill="1" applyBorder="1" applyAlignment="1" applyProtection="1">
      <alignment horizontal="left" vertical="top" wrapText="1" indent="1"/>
      <protection locked="0"/>
    </xf>
    <xf numFmtId="0" fontId="6" fillId="24" borderId="29" xfId="0" applyFont="1" applyFill="1" applyBorder="1" applyAlignment="1" applyProtection="1">
      <alignment horizontal="left" vertical="top" wrapText="1" indent="1"/>
      <protection locked="0"/>
    </xf>
    <xf numFmtId="0" fontId="6" fillId="0" borderId="0" xfId="0" applyFont="1" applyBorder="1" applyAlignment="1" applyProtection="1">
      <alignment horizontal="left" vertical="center" wrapText="1"/>
    </xf>
    <xf numFmtId="0" fontId="2" fillId="0" borderId="65" xfId="0" applyFont="1" applyBorder="1" applyAlignment="1" applyProtection="1">
      <alignment horizontal="left" vertical="top" wrapText="1" indent="1"/>
    </xf>
    <xf numFmtId="0" fontId="2" fillId="0" borderId="58" xfId="0" applyFont="1" applyBorder="1" applyAlignment="1" applyProtection="1">
      <alignment horizontal="left" vertical="top" wrapText="1" indent="1"/>
    </xf>
    <xf numFmtId="0" fontId="2" fillId="0" borderId="0" xfId="0" applyFont="1" applyFill="1" applyBorder="1" applyAlignment="1" applyProtection="1">
      <alignment horizontal="left" vertical="top" wrapText="1" indent="1"/>
    </xf>
    <xf numFmtId="0" fontId="6" fillId="0" borderId="0" xfId="0" applyFont="1" applyFill="1" applyBorder="1" applyAlignment="1" applyProtection="1">
      <alignment horizontal="center" vertical="top" wrapText="1"/>
    </xf>
    <xf numFmtId="0" fontId="6" fillId="0" borderId="10" xfId="0" applyFont="1" applyBorder="1" applyAlignment="1" applyProtection="1">
      <alignment horizontal="left" vertical="top" wrapText="1" indent="1"/>
    </xf>
    <xf numFmtId="0" fontId="6" fillId="0" borderId="13" xfId="0" applyFont="1" applyBorder="1" applyAlignment="1" applyProtection="1">
      <alignment horizontal="left" vertical="top" wrapText="1" indent="1"/>
    </xf>
    <xf numFmtId="0" fontId="2" fillId="0" borderId="65" xfId="0" applyFont="1" applyFill="1" applyBorder="1" applyAlignment="1" applyProtection="1">
      <alignment horizontal="left" vertical="top" wrapText="1" indent="1"/>
    </xf>
    <xf numFmtId="0" fontId="2" fillId="0" borderId="58" xfId="0" applyFont="1" applyFill="1" applyBorder="1" applyAlignment="1" applyProtection="1">
      <alignment horizontal="left" vertical="top" wrapText="1" indent="1"/>
    </xf>
    <xf numFmtId="0" fontId="6" fillId="25" borderId="29" xfId="0" applyFont="1" applyFill="1" applyBorder="1" applyAlignment="1" applyProtection="1">
      <alignment horizontal="left" vertical="top" wrapText="1" indent="1"/>
      <protection locked="0"/>
    </xf>
    <xf numFmtId="0" fontId="2" fillId="0" borderId="18" xfId="0" applyFont="1" applyBorder="1" applyAlignment="1" applyProtection="1">
      <alignment horizontal="left" vertical="top" wrapText="1" indent="1"/>
    </xf>
    <xf numFmtId="0" fontId="6" fillId="24" borderId="33" xfId="0" applyFont="1" applyFill="1" applyBorder="1" applyAlignment="1" applyProtection="1">
      <alignment horizontal="left" vertical="top" wrapText="1" indent="1"/>
      <protection locked="0"/>
    </xf>
    <xf numFmtId="16" fontId="6" fillId="25" borderId="22" xfId="0" applyNumberFormat="1" applyFont="1" applyFill="1" applyBorder="1" applyAlignment="1" applyProtection="1">
      <alignment horizontal="left" vertical="top" wrapText="1" indent="1"/>
      <protection locked="0"/>
    </xf>
    <xf numFmtId="0" fontId="6" fillId="24" borderId="30" xfId="0" applyFont="1" applyFill="1" applyBorder="1" applyAlignment="1" applyProtection="1">
      <alignment horizontal="center" vertical="top" wrapText="1"/>
      <protection locked="0"/>
    </xf>
    <xf numFmtId="0" fontId="6" fillId="24" borderId="50" xfId="0" applyFont="1" applyFill="1" applyBorder="1" applyAlignment="1" applyProtection="1">
      <alignment horizontal="center" vertical="top" wrapText="1"/>
      <protection locked="0"/>
    </xf>
    <xf numFmtId="0" fontId="6" fillId="24" borderId="51" xfId="0" applyFont="1" applyFill="1" applyBorder="1" applyAlignment="1" applyProtection="1">
      <alignment horizontal="center" vertical="top" wrapText="1"/>
      <protection locked="0"/>
    </xf>
    <xf numFmtId="0" fontId="6" fillId="25" borderId="26" xfId="0" applyFont="1" applyFill="1" applyBorder="1" applyAlignment="1" applyProtection="1">
      <alignment horizontal="left" vertical="top" wrapText="1" indent="1"/>
      <protection locked="0"/>
    </xf>
    <xf numFmtId="0" fontId="6" fillId="24" borderId="15" xfId="0" applyFont="1" applyFill="1" applyBorder="1" applyAlignment="1" applyProtection="1">
      <alignment horizontal="left" vertical="top" wrapText="1" indent="1"/>
      <protection locked="0"/>
    </xf>
    <xf numFmtId="0" fontId="39" fillId="0" borderId="13" xfId="0" applyFont="1" applyBorder="1" applyAlignment="1">
      <alignment horizontal="center"/>
    </xf>
    <xf numFmtId="0" fontId="39" fillId="0" borderId="17" xfId="0" applyFont="1" applyBorder="1" applyAlignment="1">
      <alignment horizontal="center"/>
    </xf>
    <xf numFmtId="0" fontId="38" fillId="25" borderId="65" xfId="0" applyFont="1" applyFill="1" applyBorder="1" applyAlignment="1" applyProtection="1">
      <alignment horizontal="center"/>
      <protection locked="0"/>
    </xf>
    <xf numFmtId="0" fontId="38" fillId="25" borderId="58" xfId="0" applyFont="1" applyFill="1" applyBorder="1" applyAlignment="1" applyProtection="1">
      <alignment horizontal="center"/>
      <protection locked="0"/>
    </xf>
    <xf numFmtId="0" fontId="38" fillId="25" borderId="22" xfId="0" applyFont="1" applyFill="1" applyBorder="1" applyAlignment="1" applyProtection="1">
      <alignment horizontal="center"/>
      <protection locked="0"/>
    </xf>
    <xf numFmtId="0" fontId="38" fillId="25" borderId="29" xfId="0" applyFont="1" applyFill="1" applyBorder="1" applyAlignment="1" applyProtection="1">
      <alignment horizontal="center"/>
      <protection locked="0"/>
    </xf>
    <xf numFmtId="0" fontId="38" fillId="25" borderId="24" xfId="0" applyFont="1" applyFill="1" applyBorder="1" applyAlignment="1" applyProtection="1">
      <alignment horizontal="center"/>
      <protection locked="0"/>
    </xf>
    <xf numFmtId="0" fontId="38" fillId="25" borderId="26" xfId="0" applyFont="1" applyFill="1" applyBorder="1" applyAlignment="1" applyProtection="1">
      <alignment horizontal="center"/>
      <protection locked="0"/>
    </xf>
    <xf numFmtId="0" fontId="38" fillId="0" borderId="33" xfId="0" applyFont="1" applyBorder="1" applyAlignment="1">
      <alignment horizontal="left" indent="1"/>
    </xf>
    <xf numFmtId="0" fontId="38" fillId="0" borderId="22" xfId="0" applyFont="1" applyBorder="1" applyAlignment="1">
      <alignment horizontal="left" indent="1"/>
    </xf>
    <xf numFmtId="0" fontId="38" fillId="0" borderId="29" xfId="0" applyFont="1" applyBorder="1" applyAlignment="1">
      <alignment horizontal="left" indent="1"/>
    </xf>
    <xf numFmtId="0" fontId="38" fillId="0" borderId="33" xfId="0" applyFont="1" applyFill="1" applyBorder="1" applyAlignment="1">
      <alignment horizontal="left" vertical="center" wrapText="1" indent="1"/>
    </xf>
    <xf numFmtId="0" fontId="38" fillId="0" borderId="22" xfId="0" applyFont="1" applyFill="1" applyBorder="1" applyAlignment="1">
      <alignment horizontal="left" vertical="center" wrapText="1" indent="1"/>
    </xf>
    <xf numFmtId="0" fontId="38" fillId="0" borderId="29" xfId="0" applyFont="1" applyFill="1" applyBorder="1" applyAlignment="1">
      <alignment horizontal="left" vertical="center" wrapText="1" indent="1"/>
    </xf>
    <xf numFmtId="0" fontId="36" fillId="0" borderId="33" xfId="0" applyFont="1" applyFill="1" applyBorder="1" applyAlignment="1">
      <alignment horizontal="left" vertical="center" wrapText="1" indent="1"/>
    </xf>
    <xf numFmtId="0" fontId="36" fillId="0" borderId="22" xfId="0" applyFont="1" applyFill="1" applyBorder="1" applyAlignment="1">
      <alignment horizontal="left" vertical="center" wrapText="1" indent="1"/>
    </xf>
    <xf numFmtId="0" fontId="36" fillId="0" borderId="29" xfId="0" applyFont="1" applyFill="1" applyBorder="1" applyAlignment="1">
      <alignment horizontal="left" vertical="center" wrapText="1" indent="1"/>
    </xf>
    <xf numFmtId="0" fontId="38" fillId="0" borderId="33" xfId="0" applyFont="1" applyBorder="1" applyAlignment="1">
      <alignment horizontal="left" vertical="center" wrapText="1" indent="1"/>
    </xf>
    <xf numFmtId="0" fontId="38" fillId="0" borderId="22" xfId="0" applyFont="1" applyBorder="1" applyAlignment="1">
      <alignment horizontal="left" vertical="center" wrapText="1" indent="1"/>
    </xf>
    <xf numFmtId="0" fontId="38" fillId="0" borderId="29" xfId="0" applyFont="1" applyBorder="1" applyAlignment="1">
      <alignment horizontal="left" vertical="center" wrapText="1" indent="1"/>
    </xf>
    <xf numFmtId="0" fontId="0" fillId="0" borderId="33" xfId="0" applyBorder="1" applyAlignment="1">
      <alignment horizontal="center"/>
    </xf>
    <xf numFmtId="0" fontId="0" fillId="0" borderId="22" xfId="0" applyBorder="1" applyAlignment="1">
      <alignment horizontal="center"/>
    </xf>
    <xf numFmtId="0" fontId="0" fillId="0" borderId="29" xfId="0" applyBorder="1" applyAlignment="1">
      <alignment horizontal="center"/>
    </xf>
    <xf numFmtId="0" fontId="36" fillId="0" borderId="33" xfId="0" applyFont="1" applyBorder="1" applyAlignment="1">
      <alignment horizontal="left" vertical="center" wrapText="1" indent="1"/>
    </xf>
    <xf numFmtId="0" fontId="36" fillId="0" borderId="22" xfId="0" applyFont="1" applyBorder="1" applyAlignment="1">
      <alignment horizontal="left" vertical="center" wrapText="1" indent="1"/>
    </xf>
    <xf numFmtId="0" fontId="36" fillId="0" borderId="29" xfId="0" applyFont="1" applyBorder="1" applyAlignment="1">
      <alignment horizontal="left" vertical="center" wrapText="1" indent="1"/>
    </xf>
    <xf numFmtId="0" fontId="38" fillId="0" borderId="15" xfId="0" applyFont="1" applyFill="1" applyBorder="1" applyAlignment="1">
      <alignment horizontal="left" vertical="center" wrapText="1" indent="1"/>
    </xf>
    <xf numFmtId="0" fontId="38" fillId="0" borderId="24" xfId="0" applyFont="1" applyFill="1" applyBorder="1" applyAlignment="1">
      <alignment horizontal="left" vertical="center" wrapText="1" indent="1"/>
    </xf>
    <xf numFmtId="0" fontId="38" fillId="0" borderId="26" xfId="0" applyFont="1" applyFill="1" applyBorder="1" applyAlignment="1">
      <alignment horizontal="left" vertical="center" wrapText="1" indent="1"/>
    </xf>
    <xf numFmtId="0" fontId="42" fillId="0" borderId="0" xfId="0" applyFont="1" applyFill="1" applyBorder="1" applyAlignment="1" applyProtection="1">
      <alignment horizontal="left" vertical="top" wrapText="1" indent="1"/>
      <protection locked="0"/>
    </xf>
    <xf numFmtId="0" fontId="42" fillId="0" borderId="0" xfId="0" applyFont="1" applyFill="1" applyBorder="1" applyAlignment="1" applyProtection="1">
      <alignment horizontal="center" vertical="top" wrapText="1"/>
      <protection locked="0"/>
    </xf>
    <xf numFmtId="0" fontId="42" fillId="25" borderId="59" xfId="0" applyFont="1" applyFill="1" applyBorder="1" applyAlignment="1" applyProtection="1">
      <alignment horizontal="left" vertical="top" wrapText="1" indent="1"/>
      <protection locked="0"/>
    </xf>
    <xf numFmtId="0" fontId="42" fillId="25" borderId="28" xfId="0" applyFont="1" applyFill="1" applyBorder="1" applyAlignment="1" applyProtection="1">
      <alignment horizontal="left" vertical="top" wrapText="1" indent="1"/>
      <protection locked="0"/>
    </xf>
    <xf numFmtId="0" fontId="42" fillId="25" borderId="60" xfId="0" applyFont="1" applyFill="1" applyBorder="1" applyAlignment="1" applyProtection="1">
      <alignment horizontal="left" vertical="top" wrapText="1" indent="1"/>
      <protection locked="0"/>
    </xf>
    <xf numFmtId="0" fontId="42" fillId="25" borderId="57" xfId="0" applyFont="1" applyFill="1" applyBorder="1" applyAlignment="1" applyProtection="1">
      <alignment horizontal="left" vertical="top" wrapText="1" indent="1"/>
      <protection locked="0"/>
    </xf>
    <xf numFmtId="0" fontId="42" fillId="25" borderId="0" xfId="0" applyFont="1" applyFill="1" applyBorder="1" applyAlignment="1" applyProtection="1">
      <alignment horizontal="left" vertical="top" wrapText="1" indent="1"/>
      <protection locked="0"/>
    </xf>
    <xf numFmtId="0" fontId="42" fillId="25" borderId="61" xfId="0" applyFont="1" applyFill="1" applyBorder="1" applyAlignment="1" applyProtection="1">
      <alignment horizontal="left" vertical="top" wrapText="1" indent="1"/>
      <protection locked="0"/>
    </xf>
    <xf numFmtId="0" fontId="42" fillId="25" borderId="62" xfId="0" applyFont="1" applyFill="1" applyBorder="1" applyAlignment="1" applyProtection="1">
      <alignment horizontal="left" vertical="top" wrapText="1" indent="1"/>
      <protection locked="0"/>
    </xf>
    <xf numFmtId="0" fontId="42" fillId="25" borderId="63" xfId="0" applyFont="1" applyFill="1" applyBorder="1" applyAlignment="1" applyProtection="1">
      <alignment horizontal="left" vertical="top" wrapText="1" indent="1"/>
      <protection locked="0"/>
    </xf>
    <xf numFmtId="0" fontId="42" fillId="25" borderId="64" xfId="0" applyFont="1" applyFill="1" applyBorder="1" applyAlignment="1" applyProtection="1">
      <alignment horizontal="left" vertical="top" wrapText="1" indent="1"/>
      <protection locked="0"/>
    </xf>
    <xf numFmtId="0" fontId="38" fillId="0" borderId="0" xfId="0" applyFont="1" applyFill="1" applyBorder="1" applyAlignment="1" applyProtection="1">
      <alignment horizontal="left" vertical="top" wrapText="1" indent="1"/>
      <protection locked="0"/>
    </xf>
    <xf numFmtId="0" fontId="42" fillId="25" borderId="15" xfId="0" applyFont="1" applyFill="1" applyBorder="1" applyAlignment="1" applyProtection="1">
      <alignment horizontal="left" vertical="top" wrapText="1" indent="1"/>
      <protection locked="0"/>
    </xf>
    <xf numFmtId="0" fontId="42" fillId="25" borderId="24" xfId="0" applyFont="1" applyFill="1" applyBorder="1" applyAlignment="1" applyProtection="1">
      <alignment horizontal="left" vertical="top" wrapText="1" indent="1"/>
      <protection locked="0"/>
    </xf>
    <xf numFmtId="0" fontId="42" fillId="25" borderId="24" xfId="0" applyFont="1" applyFill="1" applyBorder="1" applyAlignment="1" applyProtection="1">
      <alignment horizontal="center" vertical="top" wrapText="1"/>
      <protection locked="0"/>
    </xf>
    <xf numFmtId="0" fontId="42" fillId="25" borderId="26" xfId="0" applyFont="1" applyFill="1" applyBorder="1" applyAlignment="1" applyProtection="1">
      <alignment horizontal="center" vertical="top" wrapText="1"/>
      <protection locked="0"/>
    </xf>
    <xf numFmtId="0" fontId="42" fillId="25" borderId="33" xfId="0" applyFont="1" applyFill="1" applyBorder="1" applyAlignment="1" applyProtection="1">
      <alignment horizontal="left" vertical="top" wrapText="1" indent="1"/>
      <protection locked="0"/>
    </xf>
    <xf numFmtId="0" fontId="42" fillId="25" borderId="22" xfId="0" applyFont="1" applyFill="1" applyBorder="1" applyAlignment="1" applyProtection="1">
      <alignment horizontal="left" vertical="top" wrapText="1" indent="1"/>
      <protection locked="0"/>
    </xf>
    <xf numFmtId="0" fontId="42" fillId="25" borderId="22" xfId="0" applyFont="1" applyFill="1" applyBorder="1" applyAlignment="1" applyProtection="1">
      <alignment horizontal="center" vertical="top" wrapText="1"/>
      <protection locked="0"/>
    </xf>
    <xf numFmtId="0" fontId="42" fillId="25" borderId="29" xfId="0" applyFont="1" applyFill="1" applyBorder="1" applyAlignment="1" applyProtection="1">
      <alignment horizontal="center" vertical="top" wrapText="1"/>
      <protection locked="0"/>
    </xf>
    <xf numFmtId="0" fontId="36" fillId="0" borderId="10" xfId="0" applyFont="1" applyBorder="1" applyAlignment="1">
      <alignment horizontal="center" vertical="center" wrapText="1"/>
    </xf>
    <xf numFmtId="0" fontId="36" fillId="0" borderId="13" xfId="0" applyFont="1" applyBorder="1" applyAlignment="1">
      <alignment horizontal="center" vertical="center" wrapText="1"/>
    </xf>
    <xf numFmtId="0" fontId="36" fillId="0" borderId="17" xfId="0" applyFont="1" applyBorder="1" applyAlignment="1">
      <alignment horizontal="center" vertical="center" wrapText="1"/>
    </xf>
    <xf numFmtId="0" fontId="36" fillId="0" borderId="30" xfId="0" applyFont="1" applyBorder="1" applyAlignment="1">
      <alignment horizontal="center" vertical="center" wrapText="1"/>
    </xf>
    <xf numFmtId="0" fontId="36" fillId="0" borderId="50" xfId="0" applyFont="1" applyBorder="1" applyAlignment="1">
      <alignment horizontal="center" vertical="center" wrapText="1"/>
    </xf>
    <xf numFmtId="0" fontId="36" fillId="0" borderId="51" xfId="0" applyFont="1" applyBorder="1" applyAlignment="1">
      <alignment horizontal="center" vertical="center" wrapText="1"/>
    </xf>
    <xf numFmtId="0" fontId="39" fillId="0" borderId="35" xfId="0" applyFont="1" applyBorder="1" applyAlignment="1">
      <alignment horizontal="center" vertical="center" wrapText="1"/>
    </xf>
    <xf numFmtId="0" fontId="39" fillId="0" borderId="27" xfId="0" applyFont="1" applyBorder="1" applyAlignment="1">
      <alignment horizontal="center" vertical="center" wrapText="1"/>
    </xf>
    <xf numFmtId="0" fontId="39" fillId="0" borderId="36" xfId="0" applyFont="1" applyBorder="1" applyAlignment="1">
      <alignment horizontal="center" vertical="center" wrapText="1"/>
    </xf>
    <xf numFmtId="0" fontId="42" fillId="25" borderId="35" xfId="0" applyFont="1" applyFill="1" applyBorder="1" applyAlignment="1" applyProtection="1">
      <alignment horizontal="left" vertical="top" wrapText="1" indent="1"/>
      <protection locked="0"/>
    </xf>
    <xf numFmtId="0" fontId="42" fillId="25" borderId="27" xfId="0" applyFont="1" applyFill="1" applyBorder="1" applyAlignment="1" applyProtection="1">
      <alignment horizontal="left" vertical="top" wrapText="1" indent="1"/>
      <protection locked="0"/>
    </xf>
    <xf numFmtId="0" fontId="42" fillId="25" borderId="27" xfId="0" applyFont="1" applyFill="1" applyBorder="1" applyAlignment="1" applyProtection="1">
      <alignment horizontal="center" vertical="top" wrapText="1"/>
      <protection locked="0"/>
    </xf>
    <xf numFmtId="0" fontId="42" fillId="25" borderId="36" xfId="0" applyFont="1" applyFill="1" applyBorder="1" applyAlignment="1" applyProtection="1">
      <alignment horizontal="center" vertical="top" wrapText="1"/>
      <protection locked="0"/>
    </xf>
    <xf numFmtId="0" fontId="38" fillId="25" borderId="22" xfId="0" applyFont="1" applyFill="1" applyBorder="1" applyAlignment="1" applyProtection="1">
      <alignment horizontal="right" indent="1"/>
      <protection locked="0"/>
    </xf>
    <xf numFmtId="0" fontId="38" fillId="25" borderId="29" xfId="0" applyFont="1" applyFill="1" applyBorder="1" applyAlignment="1" applyProtection="1">
      <alignment horizontal="right" indent="1"/>
      <protection locked="0"/>
    </xf>
    <xf numFmtId="0" fontId="38" fillId="0" borderId="15" xfId="0" applyFont="1" applyBorder="1" applyAlignment="1">
      <alignment horizontal="left" vertical="center" wrapText="1" indent="1"/>
    </xf>
    <xf numFmtId="0" fontId="38" fillId="0" borderId="24" xfId="0" applyFont="1" applyBorder="1" applyAlignment="1">
      <alignment horizontal="left" vertical="center" wrapText="1" indent="1"/>
    </xf>
    <xf numFmtId="0" fontId="38" fillId="25" borderId="24" xfId="0" applyFont="1" applyFill="1" applyBorder="1" applyAlignment="1" applyProtection="1">
      <alignment horizontal="right" indent="1"/>
      <protection locked="0"/>
    </xf>
    <xf numFmtId="0" fontId="38" fillId="25" borderId="26" xfId="0" applyFont="1" applyFill="1" applyBorder="1" applyAlignment="1" applyProtection="1">
      <alignment horizontal="right" indent="1"/>
      <protection locked="0"/>
    </xf>
    <xf numFmtId="0" fontId="38" fillId="0" borderId="10" xfId="0" applyFont="1" applyBorder="1" applyAlignment="1">
      <alignment horizontal="left" indent="1"/>
    </xf>
    <xf numFmtId="0" fontId="38" fillId="0" borderId="13" xfId="0" applyFont="1" applyBorder="1" applyAlignment="1">
      <alignment horizontal="left" indent="1"/>
    </xf>
    <xf numFmtId="0" fontId="0" fillId="25" borderId="13" xfId="0" applyFill="1" applyBorder="1" applyAlignment="1" applyProtection="1">
      <alignment horizontal="right" indent="1"/>
      <protection locked="0"/>
    </xf>
    <xf numFmtId="0" fontId="0" fillId="25" borderId="17" xfId="0" applyFill="1" applyBorder="1" applyAlignment="1" applyProtection="1">
      <alignment horizontal="right" indent="1"/>
      <protection locked="0"/>
    </xf>
    <xf numFmtId="0" fontId="38" fillId="0" borderId="45" xfId="0" applyFont="1" applyBorder="1" applyAlignment="1">
      <alignment horizontal="left" vertical="center" wrapText="1" indent="1"/>
    </xf>
    <xf numFmtId="0" fontId="38" fillId="0" borderId="42" xfId="0" applyFont="1" applyBorder="1" applyAlignment="1">
      <alignment horizontal="left" vertical="center" wrapText="1" indent="1"/>
    </xf>
    <xf numFmtId="0" fontId="38" fillId="0" borderId="31" xfId="0" applyFont="1" applyBorder="1" applyAlignment="1">
      <alignment horizontal="left" vertical="center" wrapText="1" indent="1"/>
    </xf>
    <xf numFmtId="0" fontId="38" fillId="25" borderId="34" xfId="0" applyFont="1" applyFill="1" applyBorder="1" applyAlignment="1" applyProtection="1">
      <alignment horizontal="center"/>
      <protection locked="0"/>
    </xf>
    <xf numFmtId="0" fontId="38" fillId="25" borderId="42" xfId="0" applyFont="1" applyFill="1" applyBorder="1" applyAlignment="1" applyProtection="1">
      <alignment horizontal="center"/>
      <protection locked="0"/>
    </xf>
    <xf numFmtId="0" fontId="38" fillId="25" borderId="53" xfId="0" applyFont="1" applyFill="1" applyBorder="1" applyAlignment="1" applyProtection="1">
      <alignment horizontal="center"/>
      <protection locked="0"/>
    </xf>
    <xf numFmtId="0" fontId="38" fillId="0" borderId="46" xfId="0" applyFont="1" applyBorder="1" applyAlignment="1">
      <alignment horizontal="left" indent="1"/>
    </xf>
    <xf numFmtId="0" fontId="38" fillId="0" borderId="32" xfId="0" applyFont="1" applyBorder="1" applyAlignment="1">
      <alignment horizontal="left" indent="1"/>
    </xf>
    <xf numFmtId="0" fontId="38" fillId="25" borderId="37" xfId="0" applyFont="1" applyFill="1" applyBorder="1" applyAlignment="1" applyProtection="1">
      <alignment horizontal="center"/>
      <protection locked="0"/>
    </xf>
    <xf numFmtId="0" fontId="38" fillId="25" borderId="54" xfId="0" applyFont="1" applyFill="1" applyBorder="1" applyAlignment="1" applyProtection="1">
      <alignment horizontal="center"/>
      <protection locked="0"/>
    </xf>
    <xf numFmtId="0" fontId="38" fillId="0" borderId="0" xfId="0" applyFont="1" applyAlignment="1">
      <alignment horizontal="left" wrapText="1"/>
    </xf>
    <xf numFmtId="0" fontId="38" fillId="0" borderId="10" xfId="0" applyFont="1" applyBorder="1" applyAlignment="1">
      <alignment horizontal="left" wrapText="1" indent="1"/>
    </xf>
    <xf numFmtId="0" fontId="38" fillId="0" borderId="13" xfId="0" applyFont="1" applyBorder="1" applyAlignment="1">
      <alignment horizontal="left" wrapText="1" indent="1"/>
    </xf>
    <xf numFmtId="0" fontId="38" fillId="25" borderId="13" xfId="0" applyFont="1" applyFill="1" applyBorder="1" applyAlignment="1" applyProtection="1">
      <alignment horizontal="right" indent="1"/>
      <protection locked="0"/>
    </xf>
    <xf numFmtId="0" fontId="38" fillId="25" borderId="17" xfId="0" applyFont="1" applyFill="1" applyBorder="1" applyAlignment="1" applyProtection="1">
      <alignment horizontal="right" indent="1"/>
      <protection locked="0"/>
    </xf>
    <xf numFmtId="0" fontId="38" fillId="0" borderId="18" xfId="0" applyFont="1" applyBorder="1" applyAlignment="1">
      <alignment horizontal="left" vertical="center" wrapText="1" indent="1"/>
    </xf>
    <xf numFmtId="0" fontId="38" fillId="0" borderId="65" xfId="0" applyFont="1" applyBorder="1" applyAlignment="1">
      <alignment horizontal="left" vertical="center" wrapText="1" indent="1"/>
    </xf>
    <xf numFmtId="0" fontId="38" fillId="25" borderId="65" xfId="0" applyFont="1" applyFill="1" applyBorder="1" applyAlignment="1" applyProtection="1">
      <alignment horizontal="right" indent="1"/>
      <protection locked="0"/>
    </xf>
    <xf numFmtId="0" fontId="38" fillId="25" borderId="58" xfId="0" applyFont="1" applyFill="1" applyBorder="1" applyAlignment="1" applyProtection="1">
      <alignment horizontal="right" indent="1"/>
      <protection locked="0"/>
    </xf>
    <xf numFmtId="0" fontId="39" fillId="0" borderId="16" xfId="0" applyFont="1" applyBorder="1" applyAlignment="1">
      <alignment horizontal="left" indent="1"/>
    </xf>
    <xf numFmtId="0" fontId="39" fillId="0" borderId="47" xfId="0" applyFont="1" applyBorder="1" applyAlignment="1">
      <alignment horizontal="left" indent="1"/>
    </xf>
    <xf numFmtId="0" fontId="39" fillId="0" borderId="30" xfId="0" applyFont="1" applyBorder="1" applyAlignment="1">
      <alignment horizontal="center"/>
    </xf>
    <xf numFmtId="0" fontId="39" fillId="0" borderId="51" xfId="0" applyFont="1" applyBorder="1" applyAlignment="1">
      <alignment horizontal="center"/>
    </xf>
    <xf numFmtId="0" fontId="38" fillId="0" borderId="56" xfId="0" applyFont="1" applyBorder="1" applyAlignment="1">
      <alignment horizontal="left" indent="1"/>
    </xf>
    <xf numFmtId="0" fontId="38" fillId="0" borderId="66" xfId="0" applyFont="1" applyBorder="1" applyAlignment="1">
      <alignment horizontal="left" indent="1"/>
    </xf>
    <xf numFmtId="0" fontId="38" fillId="25" borderId="48" xfId="0" applyFont="1" applyFill="1" applyBorder="1" applyAlignment="1" applyProtection="1">
      <alignment horizontal="center"/>
      <protection locked="0"/>
    </xf>
    <xf numFmtId="0" fontId="38" fillId="25" borderId="74" xfId="0" applyFont="1" applyFill="1" applyBorder="1" applyAlignment="1" applyProtection="1">
      <alignment horizontal="center"/>
      <protection locked="0"/>
    </xf>
    <xf numFmtId="0" fontId="38" fillId="0" borderId="45" xfId="0" applyFont="1" applyBorder="1" applyAlignment="1">
      <alignment horizontal="left" indent="1"/>
    </xf>
    <xf numFmtId="0" fontId="38" fillId="0" borderId="31" xfId="0" applyFont="1" applyBorder="1" applyAlignment="1">
      <alignment horizontal="left" indent="1"/>
    </xf>
    <xf numFmtId="0" fontId="38" fillId="25" borderId="33" xfId="0" applyFont="1" applyFill="1" applyBorder="1" applyAlignment="1" applyProtection="1">
      <alignment horizontal="left" indent="1"/>
      <protection locked="0"/>
    </xf>
    <xf numFmtId="0" fontId="38" fillId="25" borderId="15" xfId="0" applyFont="1" applyFill="1" applyBorder="1" applyAlignment="1" applyProtection="1">
      <alignment horizontal="left" indent="1"/>
      <protection locked="0"/>
    </xf>
    <xf numFmtId="0" fontId="39" fillId="0" borderId="10" xfId="0" applyFont="1" applyBorder="1" applyAlignment="1">
      <alignment horizontal="left" indent="1"/>
    </xf>
    <xf numFmtId="0" fontId="39" fillId="0" borderId="13" xfId="0" applyFont="1" applyBorder="1" applyAlignment="1">
      <alignment horizontal="left" indent="1"/>
    </xf>
    <xf numFmtId="0" fontId="38" fillId="25" borderId="35" xfId="0" applyFont="1" applyFill="1" applyBorder="1" applyAlignment="1" applyProtection="1">
      <alignment horizontal="left" indent="1"/>
      <protection locked="0"/>
    </xf>
    <xf numFmtId="0" fontId="38" fillId="25" borderId="27" xfId="0" applyFont="1" applyFill="1" applyBorder="1" applyAlignment="1" applyProtection="1">
      <alignment horizontal="center"/>
      <protection locked="0"/>
    </xf>
    <xf numFmtId="0" fontId="38" fillId="0" borderId="15" xfId="0" applyFont="1" applyBorder="1" applyAlignment="1">
      <alignment horizontal="left" indent="1"/>
    </xf>
    <xf numFmtId="0" fontId="38" fillId="0" borderId="24" xfId="0" applyFont="1" applyBorder="1" applyAlignment="1">
      <alignment horizontal="left" indent="1"/>
    </xf>
    <xf numFmtId="0" fontId="38" fillId="0" borderId="16" xfId="0" applyFont="1" applyBorder="1" applyAlignment="1">
      <alignment horizontal="left" indent="1"/>
    </xf>
    <xf numFmtId="0" fontId="38" fillId="0" borderId="50" xfId="0" applyFont="1" applyBorder="1" applyAlignment="1">
      <alignment horizontal="left" indent="1"/>
    </xf>
    <xf numFmtId="0" fontId="38" fillId="0" borderId="47" xfId="0" applyFont="1" applyBorder="1" applyAlignment="1">
      <alignment horizontal="left" indent="1"/>
    </xf>
    <xf numFmtId="0" fontId="0" fillId="25" borderId="30" xfId="0" applyFill="1" applyBorder="1" applyAlignment="1" applyProtection="1">
      <alignment horizontal="right" indent="1"/>
      <protection locked="0"/>
    </xf>
    <xf numFmtId="0" fontId="0" fillId="25" borderId="50" xfId="0" applyFill="1" applyBorder="1" applyAlignment="1" applyProtection="1">
      <alignment horizontal="right" indent="1"/>
      <protection locked="0"/>
    </xf>
    <xf numFmtId="0" fontId="0" fillId="25" borderId="51" xfId="0" applyFill="1" applyBorder="1" applyAlignment="1" applyProtection="1">
      <alignment horizontal="right" indent="1"/>
      <protection locked="0"/>
    </xf>
    <xf numFmtId="0" fontId="38" fillId="0" borderId="44" xfId="0" applyFont="1" applyBorder="1" applyAlignment="1">
      <alignment horizontal="left" indent="1"/>
    </xf>
    <xf numFmtId="0" fontId="38" fillId="0" borderId="41" xfId="0" applyFont="1" applyBorder="1" applyAlignment="1">
      <alignment horizontal="left" indent="1"/>
    </xf>
    <xf numFmtId="0" fontId="38" fillId="0" borderId="49" xfId="0" applyFont="1" applyBorder="1" applyAlignment="1">
      <alignment horizontal="left" indent="1"/>
    </xf>
    <xf numFmtId="0" fontId="38" fillId="0" borderId="18" xfId="0" applyFont="1" applyBorder="1" applyAlignment="1">
      <alignment horizontal="left" indent="1"/>
    </xf>
    <xf numFmtId="0" fontId="38" fillId="0" borderId="65" xfId="0" applyFont="1" applyBorder="1" applyAlignment="1">
      <alignment horizontal="left" indent="1"/>
    </xf>
    <xf numFmtId="0" fontId="38" fillId="25" borderId="24" xfId="0" applyNumberFormat="1" applyFont="1" applyFill="1" applyBorder="1" applyAlignment="1" applyProtection="1">
      <alignment horizontal="right" indent="1"/>
      <protection locked="0"/>
    </xf>
    <xf numFmtId="0" fontId="38" fillId="25" borderId="26" xfId="0" applyNumberFormat="1" applyFont="1" applyFill="1" applyBorder="1" applyAlignment="1" applyProtection="1">
      <alignment horizontal="right" indent="1"/>
      <protection locked="0"/>
    </xf>
    <xf numFmtId="0" fontId="38" fillId="25" borderId="65" xfId="0" applyNumberFormat="1" applyFont="1" applyFill="1" applyBorder="1" applyAlignment="1" applyProtection="1">
      <alignment horizontal="right" indent="1"/>
      <protection locked="0"/>
    </xf>
    <xf numFmtId="0" fontId="38" fillId="25" borderId="58" xfId="0" applyNumberFormat="1" applyFont="1" applyFill="1" applyBorder="1" applyAlignment="1" applyProtection="1">
      <alignment horizontal="right" indent="1"/>
      <protection locked="0"/>
    </xf>
    <xf numFmtId="0" fontId="38" fillId="25" borderId="22" xfId="0" applyNumberFormat="1" applyFont="1" applyFill="1" applyBorder="1" applyAlignment="1" applyProtection="1">
      <alignment horizontal="right" indent="1"/>
      <protection locked="0"/>
    </xf>
    <xf numFmtId="0" fontId="38" fillId="25" borderId="29" xfId="0" applyNumberFormat="1" applyFont="1" applyFill="1" applyBorder="1" applyAlignment="1" applyProtection="1">
      <alignment horizontal="right" indent="1"/>
      <protection locked="0"/>
    </xf>
    <xf numFmtId="0" fontId="38" fillId="25" borderId="13" xfId="0" applyNumberFormat="1" applyFont="1" applyFill="1" applyBorder="1" applyAlignment="1" applyProtection="1">
      <alignment horizontal="right" indent="1"/>
      <protection locked="0"/>
    </xf>
    <xf numFmtId="0" fontId="38" fillId="25" borderId="17" xfId="0" applyNumberFormat="1" applyFont="1" applyFill="1" applyBorder="1" applyAlignment="1" applyProtection="1">
      <alignment horizontal="right" indent="1"/>
      <protection locked="0"/>
    </xf>
    <xf numFmtId="14" fontId="38" fillId="25" borderId="65" xfId="0" applyNumberFormat="1" applyFont="1" applyFill="1" applyBorder="1" applyAlignment="1" applyProtection="1">
      <alignment horizontal="right" indent="1"/>
      <protection locked="0"/>
    </xf>
    <xf numFmtId="14" fontId="38" fillId="25" borderId="58" xfId="0" applyNumberFormat="1" applyFont="1" applyFill="1" applyBorder="1" applyAlignment="1" applyProtection="1">
      <alignment horizontal="right" indent="1"/>
      <protection locked="0"/>
    </xf>
    <xf numFmtId="14" fontId="38" fillId="25" borderId="24" xfId="0" applyNumberFormat="1" applyFont="1" applyFill="1" applyBorder="1" applyAlignment="1" applyProtection="1">
      <alignment horizontal="right" indent="1"/>
      <protection locked="0"/>
    </xf>
    <xf numFmtId="14" fontId="38" fillId="25" borderId="26" xfId="0" applyNumberFormat="1" applyFont="1" applyFill="1" applyBorder="1" applyAlignment="1" applyProtection="1">
      <alignment horizontal="right" indent="1"/>
      <protection locked="0"/>
    </xf>
    <xf numFmtId="0" fontId="38" fillId="0" borderId="37" xfId="0" applyFont="1" applyBorder="1" applyAlignment="1">
      <alignment horizontal="left" indent="1"/>
    </xf>
    <xf numFmtId="0" fontId="38" fillId="25" borderId="15" xfId="0" applyFont="1" applyFill="1" applyBorder="1" applyAlignment="1" applyProtection="1">
      <alignment horizontal="center"/>
      <protection locked="0"/>
    </xf>
    <xf numFmtId="0" fontId="38" fillId="0" borderId="71" xfId="0" applyFont="1" applyBorder="1" applyAlignment="1">
      <alignment horizontal="center"/>
    </xf>
    <xf numFmtId="0" fontId="38" fillId="0" borderId="21" xfId="0" applyFont="1" applyBorder="1" applyAlignment="1">
      <alignment horizontal="center"/>
    </xf>
    <xf numFmtId="0" fontId="38" fillId="0" borderId="23" xfId="0" applyFont="1" applyBorder="1" applyAlignment="1">
      <alignment horizontal="center"/>
    </xf>
    <xf numFmtId="0" fontId="38" fillId="0" borderId="40" xfId="0" applyFont="1" applyBorder="1" applyAlignment="1">
      <alignment horizontal="left" indent="1"/>
    </xf>
    <xf numFmtId="0" fontId="38" fillId="25" borderId="18" xfId="0" applyFont="1" applyFill="1" applyBorder="1" applyAlignment="1" applyProtection="1">
      <alignment horizontal="center"/>
      <protection locked="0"/>
    </xf>
    <xf numFmtId="0" fontId="38" fillId="0" borderId="16" xfId="0" applyFont="1" applyBorder="1" applyAlignment="1">
      <alignment horizontal="left" vertical="center"/>
    </xf>
    <xf numFmtId="0" fontId="38" fillId="0" borderId="50" xfId="0" applyFont="1" applyBorder="1" applyAlignment="1">
      <alignment horizontal="left" vertical="center"/>
    </xf>
    <xf numFmtId="0" fontId="38" fillId="0" borderId="47" xfId="0" applyFont="1" applyBorder="1" applyAlignment="1">
      <alignment horizontal="left" vertical="center"/>
    </xf>
    <xf numFmtId="0" fontId="38" fillId="25" borderId="13" xfId="0" applyFont="1" applyFill="1" applyBorder="1" applyAlignment="1" applyProtection="1">
      <alignment horizontal="left"/>
      <protection locked="0"/>
    </xf>
    <xf numFmtId="0" fontId="38" fillId="25" borderId="17" xfId="0" applyFont="1" applyFill="1" applyBorder="1" applyAlignment="1" applyProtection="1">
      <alignment horizontal="left"/>
      <protection locked="0"/>
    </xf>
    <xf numFmtId="0" fontId="38" fillId="25" borderId="22" xfId="0" applyFont="1" applyFill="1" applyBorder="1" applyAlignment="1" applyProtection="1">
      <alignment horizontal="center" vertical="top" wrapText="1"/>
      <protection locked="0"/>
    </xf>
    <xf numFmtId="0" fontId="38" fillId="25" borderId="34" xfId="0" applyFont="1" applyFill="1" applyBorder="1" applyAlignment="1">
      <alignment horizontal="center" vertical="top" wrapText="1"/>
    </xf>
    <xf numFmtId="0" fontId="38" fillId="25" borderId="53" xfId="0" applyFont="1" applyFill="1" applyBorder="1" applyAlignment="1">
      <alignment horizontal="center" vertical="top" wrapText="1"/>
    </xf>
    <xf numFmtId="0" fontId="39" fillId="0" borderId="30" xfId="0" applyFont="1" applyFill="1" applyBorder="1" applyAlignment="1">
      <alignment horizontal="center" vertical="center"/>
    </xf>
    <xf numFmtId="0" fontId="39" fillId="0" borderId="51" xfId="0" applyFont="1" applyFill="1" applyBorder="1" applyAlignment="1">
      <alignment horizontal="center" vertical="center"/>
    </xf>
    <xf numFmtId="0" fontId="38" fillId="25" borderId="40" xfId="0" applyFont="1" applyFill="1" applyBorder="1" applyAlignment="1">
      <alignment horizontal="center" vertical="top" wrapText="1"/>
    </xf>
    <xf numFmtId="0" fontId="38" fillId="25" borderId="52" xfId="0" applyFont="1" applyFill="1" applyBorder="1" applyAlignment="1">
      <alignment horizontal="center" vertical="top" wrapText="1"/>
    </xf>
    <xf numFmtId="0" fontId="38" fillId="25" borderId="37" xfId="0" applyFont="1" applyFill="1" applyBorder="1" applyAlignment="1">
      <alignment horizontal="center" vertical="top" wrapText="1"/>
    </xf>
    <xf numFmtId="0" fontId="38" fillId="25" borderId="54" xfId="0" applyFont="1" applyFill="1" applyBorder="1" applyAlignment="1">
      <alignment horizontal="center" vertical="top" wrapText="1"/>
    </xf>
    <xf numFmtId="0" fontId="38" fillId="0" borderId="46" xfId="0" applyFont="1" applyBorder="1" applyAlignment="1">
      <alignment horizontal="left"/>
    </xf>
    <xf numFmtId="0" fontId="38" fillId="0" borderId="43" xfId="0" applyFont="1" applyBorder="1" applyAlignment="1">
      <alignment horizontal="left"/>
    </xf>
    <xf numFmtId="0" fontId="38" fillId="0" borderId="32" xfId="0" applyFont="1" applyBorder="1" applyAlignment="1">
      <alignment horizontal="left"/>
    </xf>
    <xf numFmtId="14" fontId="38" fillId="25" borderId="24" xfId="0" applyNumberFormat="1" applyFont="1" applyFill="1" applyBorder="1" applyAlignment="1" applyProtection="1">
      <alignment horizontal="left"/>
      <protection locked="0"/>
    </xf>
    <xf numFmtId="14" fontId="38" fillId="25" borderId="26" xfId="0" applyNumberFormat="1" applyFont="1" applyFill="1" applyBorder="1" applyAlignment="1" applyProtection="1">
      <alignment horizontal="left"/>
      <protection locked="0"/>
    </xf>
    <xf numFmtId="0" fontId="39" fillId="0" borderId="59" xfId="0" applyFont="1" applyBorder="1" applyAlignment="1">
      <alignment horizontal="center" vertical="top" wrapText="1"/>
    </xf>
    <xf numFmtId="0" fontId="39" fillId="0" borderId="28" xfId="0" applyFont="1" applyBorder="1" applyAlignment="1">
      <alignment horizontal="center" vertical="top" wrapText="1"/>
    </xf>
    <xf numFmtId="0" fontId="39" fillId="0" borderId="60" xfId="0" applyFont="1" applyBorder="1" applyAlignment="1">
      <alignment horizontal="center" vertical="top" wrapText="1"/>
    </xf>
    <xf numFmtId="0" fontId="38" fillId="25" borderId="34" xfId="0" applyFont="1" applyFill="1" applyBorder="1" applyAlignment="1" applyProtection="1">
      <alignment horizontal="center" vertical="top" wrapText="1"/>
      <protection locked="0"/>
    </xf>
    <xf numFmtId="0" fontId="38" fillId="25" borderId="24" xfId="0" applyFont="1" applyFill="1" applyBorder="1" applyAlignment="1" applyProtection="1">
      <alignment horizontal="center" vertical="top" wrapText="1"/>
      <protection locked="0"/>
    </xf>
    <xf numFmtId="0" fontId="38" fillId="25" borderId="37" xfId="0" applyFont="1" applyFill="1" applyBorder="1" applyAlignment="1" applyProtection="1">
      <alignment horizontal="center" vertical="top" wrapText="1"/>
      <protection locked="0"/>
    </xf>
    <xf numFmtId="0" fontId="38" fillId="25" borderId="59" xfId="0" applyFont="1" applyFill="1" applyBorder="1" applyAlignment="1" applyProtection="1">
      <alignment horizontal="left" vertical="top" indent="1"/>
      <protection locked="0"/>
    </xf>
    <xf numFmtId="0" fontId="38" fillId="25" borderId="28" xfId="0" applyFont="1" applyFill="1" applyBorder="1" applyAlignment="1" applyProtection="1">
      <alignment horizontal="left" vertical="top" indent="1"/>
      <protection locked="0"/>
    </xf>
    <xf numFmtId="0" fontId="38" fillId="25" borderId="60" xfId="0" applyFont="1" applyFill="1" applyBorder="1" applyAlignment="1" applyProtection="1">
      <alignment horizontal="left" vertical="top" indent="1"/>
      <protection locked="0"/>
    </xf>
    <xf numFmtId="0" fontId="38" fillId="25" borderId="57" xfId="0" applyFont="1" applyFill="1" applyBorder="1" applyAlignment="1" applyProtection="1">
      <alignment horizontal="left" vertical="top" indent="1"/>
      <protection locked="0"/>
    </xf>
    <xf numFmtId="0" fontId="38" fillId="25" borderId="0" xfId="0" applyFont="1" applyFill="1" applyBorder="1" applyAlignment="1" applyProtection="1">
      <alignment horizontal="left" vertical="top" indent="1"/>
      <protection locked="0"/>
    </xf>
    <xf numFmtId="0" fontId="38" fillId="25" borderId="61" xfId="0" applyFont="1" applyFill="1" applyBorder="1" applyAlignment="1" applyProtection="1">
      <alignment horizontal="left" vertical="top" indent="1"/>
      <protection locked="0"/>
    </xf>
    <xf numFmtId="0" fontId="38" fillId="25" borderId="62" xfId="0" applyFont="1" applyFill="1" applyBorder="1" applyAlignment="1" applyProtection="1">
      <alignment horizontal="left" vertical="top" indent="1"/>
      <protection locked="0"/>
    </xf>
    <xf numFmtId="0" fontId="38" fillId="25" borderId="63" xfId="0" applyFont="1" applyFill="1" applyBorder="1" applyAlignment="1" applyProtection="1">
      <alignment horizontal="left" vertical="top" indent="1"/>
      <protection locked="0"/>
    </xf>
    <xf numFmtId="0" fontId="38" fillId="25" borderId="64" xfId="0" applyFont="1" applyFill="1" applyBorder="1" applyAlignment="1" applyProtection="1">
      <alignment horizontal="left" vertical="top" indent="1"/>
      <protection locked="0"/>
    </xf>
    <xf numFmtId="0" fontId="38" fillId="0" borderId="0" xfId="0" applyFont="1" applyAlignment="1">
      <alignment vertical="top" wrapText="1"/>
    </xf>
    <xf numFmtId="0" fontId="38" fillId="0" borderId="18" xfId="0" applyFont="1" applyBorder="1" applyAlignment="1">
      <alignment horizontal="left"/>
    </xf>
    <xf numFmtId="0" fontId="38" fillId="0" borderId="65" xfId="0" applyFont="1" applyBorder="1" applyAlignment="1">
      <alignment horizontal="left"/>
    </xf>
    <xf numFmtId="0" fontId="38" fillId="0" borderId="40" xfId="0" applyFont="1" applyBorder="1" applyAlignment="1">
      <alignment horizontal="left"/>
    </xf>
    <xf numFmtId="0" fontId="38" fillId="24" borderId="40" xfId="0" applyFont="1" applyFill="1" applyBorder="1" applyAlignment="1">
      <alignment horizontal="center"/>
    </xf>
    <xf numFmtId="0" fontId="38" fillId="24" borderId="41" xfId="0" applyFont="1" applyFill="1" applyBorder="1" applyAlignment="1">
      <alignment horizontal="center"/>
    </xf>
    <xf numFmtId="0" fontId="38" fillId="24" borderId="52" xfId="0" applyFont="1" applyFill="1" applyBorder="1" applyAlignment="1">
      <alignment horizontal="center"/>
    </xf>
    <xf numFmtId="0" fontId="38" fillId="25" borderId="65" xfId="0" applyFont="1" applyFill="1" applyBorder="1" applyAlignment="1" applyProtection="1">
      <alignment horizontal="center" vertical="top" wrapText="1"/>
      <protection locked="0"/>
    </xf>
    <xf numFmtId="0" fontId="38" fillId="25" borderId="40" xfId="0" applyFont="1" applyFill="1" applyBorder="1" applyAlignment="1" applyProtection="1">
      <alignment horizontal="center" vertical="top" wrapText="1"/>
      <protection locked="0"/>
    </xf>
    <xf numFmtId="0" fontId="38" fillId="0" borderId="33" xfId="0" applyFont="1" applyBorder="1" applyAlignment="1">
      <alignment horizontal="left"/>
    </xf>
    <xf numFmtId="0" fontId="38" fillId="0" borderId="22" xfId="0" applyFont="1" applyBorder="1" applyAlignment="1">
      <alignment horizontal="left"/>
    </xf>
    <xf numFmtId="14" fontId="38" fillId="25" borderId="22" xfId="0" applyNumberFormat="1" applyFont="1" applyFill="1" applyBorder="1" applyAlignment="1" applyProtection="1">
      <alignment horizontal="left"/>
      <protection locked="0"/>
    </xf>
    <xf numFmtId="14" fontId="38" fillId="25" borderId="29" xfId="0" applyNumberFormat="1" applyFont="1" applyFill="1" applyBorder="1" applyAlignment="1" applyProtection="1">
      <alignment horizontal="left"/>
      <protection locked="0"/>
    </xf>
    <xf numFmtId="0" fontId="38" fillId="0" borderId="45" xfId="0" applyFont="1" applyBorder="1" applyAlignment="1">
      <alignment horizontal="left"/>
    </xf>
    <xf numFmtId="0" fontId="38" fillId="0" borderId="42" xfId="0" applyFont="1" applyBorder="1" applyAlignment="1">
      <alignment horizontal="left"/>
    </xf>
    <xf numFmtId="0" fontId="38" fillId="0" borderId="31" xfId="0" applyFont="1" applyBorder="1" applyAlignment="1">
      <alignment horizontal="left"/>
    </xf>
    <xf numFmtId="0" fontId="38" fillId="0" borderId="59" xfId="0" applyFont="1" applyBorder="1" applyAlignment="1">
      <alignment horizontal="left" vertical="top"/>
    </xf>
    <xf numFmtId="0" fontId="38" fillId="0" borderId="28" xfId="0" applyFont="1" applyBorder="1" applyAlignment="1">
      <alignment horizontal="left" vertical="top"/>
    </xf>
    <xf numFmtId="0" fontId="38" fillId="0" borderId="25" xfId="0" applyFont="1" applyBorder="1" applyAlignment="1">
      <alignment horizontal="left" vertical="top"/>
    </xf>
    <xf numFmtId="0" fontId="38" fillId="0" borderId="57" xfId="0" applyFont="1" applyBorder="1" applyAlignment="1">
      <alignment horizontal="left" vertical="top"/>
    </xf>
    <xf numFmtId="0" fontId="38" fillId="0" borderId="0" xfId="0" applyFont="1" applyBorder="1" applyAlignment="1">
      <alignment horizontal="left" vertical="top"/>
    </xf>
    <xf numFmtId="0" fontId="38" fillId="0" borderId="75" xfId="0" applyFont="1" applyBorder="1" applyAlignment="1">
      <alignment horizontal="left" vertical="top"/>
    </xf>
    <xf numFmtId="0" fontId="38" fillId="0" borderId="62" xfId="0" applyFont="1" applyBorder="1" applyAlignment="1">
      <alignment horizontal="left" vertical="top"/>
    </xf>
    <xf numFmtId="0" fontId="38" fillId="0" borderId="63" xfId="0" applyFont="1" applyBorder="1" applyAlignment="1">
      <alignment horizontal="left" vertical="top"/>
    </xf>
    <xf numFmtId="0" fontId="38" fillId="0" borderId="77" xfId="0" applyFont="1" applyBorder="1" applyAlignment="1">
      <alignment horizontal="left" vertical="top"/>
    </xf>
    <xf numFmtId="0" fontId="38" fillId="25" borderId="65" xfId="0" applyFont="1" applyFill="1" applyBorder="1" applyAlignment="1" applyProtection="1">
      <alignment horizontal="left"/>
      <protection locked="0"/>
    </xf>
    <xf numFmtId="0" fontId="38" fillId="25" borderId="58" xfId="0" applyFont="1" applyFill="1" applyBorder="1" applyAlignment="1" applyProtection="1">
      <alignment horizontal="left"/>
      <protection locked="0"/>
    </xf>
    <xf numFmtId="0" fontId="38" fillId="25" borderId="22" xfId="0" applyFont="1" applyFill="1" applyBorder="1" applyAlignment="1" applyProtection="1">
      <alignment horizontal="left"/>
      <protection locked="0"/>
    </xf>
    <xf numFmtId="0" fontId="38" fillId="25" borderId="29" xfId="0" applyFont="1" applyFill="1" applyBorder="1" applyAlignment="1" applyProtection="1">
      <alignment horizontal="left"/>
      <protection locked="0"/>
    </xf>
    <xf numFmtId="0" fontId="38" fillId="25" borderId="24" xfId="0" applyFont="1" applyFill="1" applyBorder="1" applyAlignment="1" applyProtection="1">
      <alignment horizontal="left"/>
      <protection locked="0"/>
    </xf>
    <xf numFmtId="0" fontId="38" fillId="25" borderId="26" xfId="0" applyFont="1" applyFill="1" applyBorder="1" applyAlignment="1" applyProtection="1">
      <alignment horizontal="left"/>
      <protection locked="0"/>
    </xf>
    <xf numFmtId="0" fontId="38" fillId="0" borderId="71" xfId="0" applyFont="1" applyBorder="1" applyAlignment="1">
      <alignment horizontal="center" vertical="top" wrapText="1"/>
    </xf>
    <xf numFmtId="0" fontId="38" fillId="0" borderId="78" xfId="0" applyFont="1" applyBorder="1" applyAlignment="1">
      <alignment horizontal="center" vertical="top" wrapText="1"/>
    </xf>
    <xf numFmtId="0" fontId="38" fillId="0" borderId="38" xfId="0" applyFont="1" applyBorder="1" applyAlignment="1">
      <alignment horizontal="center" vertical="top" wrapText="1"/>
    </xf>
    <xf numFmtId="0" fontId="38" fillId="25" borderId="65" xfId="0" applyFont="1" applyFill="1" applyBorder="1" applyAlignment="1" applyProtection="1">
      <alignment horizontal="center" wrapText="1"/>
      <protection locked="0"/>
    </xf>
    <xf numFmtId="0" fontId="38" fillId="25" borderId="58" xfId="0" applyFont="1" applyFill="1" applyBorder="1" applyAlignment="1" applyProtection="1">
      <alignment horizontal="center" wrapText="1"/>
      <protection locked="0"/>
    </xf>
    <xf numFmtId="0" fontId="38" fillId="25" borderId="22" xfId="0" applyFont="1" applyFill="1" applyBorder="1" applyAlignment="1" applyProtection="1">
      <alignment horizontal="center" wrapText="1"/>
      <protection locked="0"/>
    </xf>
    <xf numFmtId="0" fontId="38" fillId="25" borderId="29" xfId="0" applyFont="1" applyFill="1" applyBorder="1" applyAlignment="1" applyProtection="1">
      <alignment horizontal="center" wrapText="1"/>
      <protection locked="0"/>
    </xf>
    <xf numFmtId="0" fontId="38" fillId="25" borderId="24" xfId="0" applyFont="1" applyFill="1" applyBorder="1" applyAlignment="1" applyProtection="1">
      <alignment horizontal="center" wrapText="1"/>
      <protection locked="0"/>
    </xf>
    <xf numFmtId="0" fontId="38" fillId="25" borderId="26" xfId="0" applyFont="1" applyFill="1" applyBorder="1" applyAlignment="1" applyProtection="1">
      <alignment horizontal="center" wrapText="1"/>
      <protection locked="0"/>
    </xf>
    <xf numFmtId="0" fontId="38" fillId="0" borderId="35" xfId="0" applyFont="1" applyBorder="1" applyAlignment="1">
      <alignment horizontal="left" wrapText="1"/>
    </xf>
    <xf numFmtId="0" fontId="38" fillId="0" borderId="66" xfId="0" applyFont="1" applyBorder="1" applyAlignment="1">
      <alignment horizontal="left" wrapText="1"/>
    </xf>
    <xf numFmtId="0" fontId="38" fillId="0" borderId="27" xfId="0" applyFont="1" applyBorder="1" applyAlignment="1">
      <alignment horizontal="left" wrapText="1"/>
    </xf>
    <xf numFmtId="0" fontId="38" fillId="0" borderId="40" xfId="0" applyFont="1" applyBorder="1" applyAlignment="1">
      <alignment horizontal="center" wrapText="1"/>
    </xf>
    <xf numFmtId="0" fontId="38" fillId="0" borderId="49" xfId="0" applyFont="1" applyBorder="1" applyAlignment="1">
      <alignment horizontal="center" wrapText="1"/>
    </xf>
    <xf numFmtId="0" fontId="38" fillId="0" borderId="52" xfId="0" applyFont="1" applyBorder="1" applyAlignment="1">
      <alignment horizontal="center" wrapText="1"/>
    </xf>
    <xf numFmtId="0" fontId="38" fillId="0" borderId="33" xfId="0" applyFont="1" applyBorder="1" applyAlignment="1">
      <alignment horizontal="left" wrapText="1"/>
    </xf>
    <xf numFmtId="0" fontId="38" fillId="0" borderId="31" xfId="0" applyFont="1" applyBorder="1" applyAlignment="1">
      <alignment horizontal="left" wrapText="1"/>
    </xf>
    <xf numFmtId="0" fontId="38" fillId="0" borderId="22" xfId="0" applyFont="1" applyBorder="1" applyAlignment="1">
      <alignment horizontal="left" wrapText="1"/>
    </xf>
    <xf numFmtId="0" fontId="38" fillId="0" borderId="34" xfId="0" applyFont="1" applyBorder="1" applyAlignment="1">
      <alignment horizontal="center" wrapText="1"/>
    </xf>
    <xf numFmtId="0" fontId="38" fillId="0" borderId="31" xfId="0" applyFont="1" applyBorder="1" applyAlignment="1">
      <alignment horizontal="center" wrapText="1"/>
    </xf>
    <xf numFmtId="0" fontId="38" fillId="0" borderId="53" xfId="0" applyFont="1" applyBorder="1" applyAlignment="1">
      <alignment horizontal="center" wrapText="1"/>
    </xf>
    <xf numFmtId="0" fontId="38" fillId="0" borderId="15" xfId="0" applyFont="1" applyBorder="1" applyAlignment="1">
      <alignment horizontal="left" wrapText="1"/>
    </xf>
    <xf numFmtId="0" fontId="38" fillId="0" borderId="32" xfId="0" applyFont="1" applyBorder="1" applyAlignment="1">
      <alignment horizontal="left" wrapText="1"/>
    </xf>
    <xf numFmtId="0" fontId="38" fillId="0" borderId="24" xfId="0" applyFont="1" applyBorder="1" applyAlignment="1">
      <alignment horizontal="left" wrapText="1"/>
    </xf>
    <xf numFmtId="0" fontId="38" fillId="0" borderId="37" xfId="0" applyFont="1" applyBorder="1" applyAlignment="1">
      <alignment horizontal="center" wrapText="1"/>
    </xf>
    <xf numFmtId="0" fontId="38" fillId="0" borderId="32" xfId="0" applyFont="1" applyBorder="1" applyAlignment="1">
      <alignment horizontal="center" wrapText="1"/>
    </xf>
    <xf numFmtId="0" fontId="38" fillId="0" borderId="54" xfId="0" applyFont="1" applyBorder="1" applyAlignment="1">
      <alignment horizontal="center" wrapText="1"/>
    </xf>
    <xf numFmtId="0" fontId="38" fillId="0" borderId="24" xfId="0" applyFont="1" applyBorder="1" applyAlignment="1">
      <alignment horizontal="left"/>
    </xf>
    <xf numFmtId="0" fontId="38" fillId="0" borderId="26" xfId="0" applyFont="1" applyBorder="1" applyAlignment="1">
      <alignment horizontal="left"/>
    </xf>
    <xf numFmtId="0" fontId="38" fillId="0" borderId="24" xfId="0" applyFont="1" applyBorder="1" applyAlignment="1">
      <alignment horizontal="center" wrapText="1"/>
    </xf>
    <xf numFmtId="0" fontId="38" fillId="0" borderId="10" xfId="0" applyFont="1" applyBorder="1" applyAlignment="1">
      <alignment horizontal="left" wrapText="1"/>
    </xf>
    <xf numFmtId="0" fontId="38" fillId="0" borderId="47" xfId="0" applyFont="1" applyBorder="1" applyAlignment="1">
      <alignment horizontal="left" wrapText="1"/>
    </xf>
    <xf numFmtId="0" fontId="38" fillId="0" borderId="13" xfId="0" applyFont="1" applyBorder="1" applyAlignment="1">
      <alignment horizontal="left" wrapText="1"/>
    </xf>
    <xf numFmtId="0" fontId="38" fillId="0" borderId="30" xfId="0" applyFont="1" applyBorder="1" applyAlignment="1">
      <alignment horizontal="left" wrapText="1"/>
    </xf>
    <xf numFmtId="0" fontId="38" fillId="0" borderId="51" xfId="0" applyFont="1" applyBorder="1" applyAlignment="1">
      <alignment horizontal="left" wrapText="1"/>
    </xf>
    <xf numFmtId="0" fontId="38" fillId="0" borderId="29" xfId="0" applyFont="1" applyBorder="1" applyAlignment="1">
      <alignment horizontal="left"/>
    </xf>
    <xf numFmtId="0" fontId="38" fillId="0" borderId="22" xfId="0" applyFont="1" applyBorder="1" applyAlignment="1">
      <alignment horizontal="center" wrapText="1"/>
    </xf>
    <xf numFmtId="0" fontId="38" fillId="0" borderId="15" xfId="0" applyFont="1" applyBorder="1" applyAlignment="1">
      <alignment horizontal="center"/>
    </xf>
    <xf numFmtId="0" fontId="38" fillId="0" borderId="24" xfId="0" applyFont="1" applyBorder="1" applyAlignment="1">
      <alignment horizontal="center"/>
    </xf>
    <xf numFmtId="0" fontId="38" fillId="0" borderId="37" xfId="0" applyFont="1" applyBorder="1" applyAlignment="1">
      <alignment horizontal="center"/>
    </xf>
    <xf numFmtId="0" fontId="38" fillId="0" borderId="32" xfId="0" applyFont="1" applyBorder="1" applyAlignment="1">
      <alignment horizontal="center"/>
    </xf>
    <xf numFmtId="0" fontId="38" fillId="0" borderId="33" xfId="0" applyFont="1" applyBorder="1" applyAlignment="1">
      <alignment horizontal="center"/>
    </xf>
    <xf numFmtId="0" fontId="38" fillId="0" borderId="22" xfId="0" applyFont="1" applyBorder="1" applyAlignment="1">
      <alignment horizontal="center"/>
    </xf>
    <xf numFmtId="0" fontId="38" fillId="0" borderId="34" xfId="0" applyFont="1" applyBorder="1" applyAlignment="1">
      <alignment horizontal="center"/>
    </xf>
    <xf numFmtId="0" fontId="38" fillId="0" borderId="31" xfId="0" applyFont="1" applyBorder="1" applyAlignment="1">
      <alignment horizontal="center"/>
    </xf>
    <xf numFmtId="0" fontId="38" fillId="0" borderId="35" xfId="0" applyFont="1" applyBorder="1" applyAlignment="1">
      <alignment horizontal="center"/>
    </xf>
    <xf numFmtId="0" fontId="38" fillId="0" borderId="27" xfId="0" applyFont="1" applyBorder="1" applyAlignment="1">
      <alignment horizontal="center"/>
    </xf>
    <xf numFmtId="0" fontId="38" fillId="0" borderId="27" xfId="0" applyFont="1" applyBorder="1" applyAlignment="1">
      <alignment horizontal="left"/>
    </xf>
    <xf numFmtId="0" fontId="38" fillId="0" borderId="36" xfId="0" applyFont="1" applyBorder="1" applyAlignment="1">
      <alignment horizontal="left"/>
    </xf>
    <xf numFmtId="0" fontId="38" fillId="0" borderId="40" xfId="0" applyFont="1" applyBorder="1" applyAlignment="1">
      <alignment horizontal="center"/>
    </xf>
    <xf numFmtId="0" fontId="38" fillId="0" borderId="49" xfId="0" applyFont="1" applyBorder="1" applyAlignment="1">
      <alignment horizontal="center"/>
    </xf>
    <xf numFmtId="0" fontId="38" fillId="0" borderId="13" xfId="0" applyFont="1" applyBorder="1" applyAlignment="1">
      <alignment horizontal="left" vertical="center" wrapText="1"/>
    </xf>
    <xf numFmtId="0" fontId="38" fillId="0" borderId="17" xfId="0" applyFont="1" applyBorder="1" applyAlignment="1">
      <alignment horizontal="left" vertical="center" wrapText="1"/>
    </xf>
    <xf numFmtId="0" fontId="38" fillId="0" borderId="13" xfId="0" applyFont="1" applyBorder="1" applyAlignment="1">
      <alignment horizontal="left" vertical="center"/>
    </xf>
    <xf numFmtId="0" fontId="38" fillId="0" borderId="30" xfId="0" applyFont="1" applyBorder="1" applyAlignment="1">
      <alignment horizontal="left" vertical="center"/>
    </xf>
    <xf numFmtId="0" fontId="38" fillId="0" borderId="30" xfId="0" applyFont="1" applyBorder="1" applyAlignment="1">
      <alignment horizontal="left" vertical="center" wrapText="1"/>
    </xf>
    <xf numFmtId="0" fontId="38" fillId="0" borderId="47" xfId="0" applyFont="1" applyBorder="1" applyAlignment="1">
      <alignment horizontal="left" vertical="center" wrapText="1"/>
    </xf>
    <xf numFmtId="0" fontId="38" fillId="0" borderId="29" xfId="0" applyFont="1" applyBorder="1" applyAlignment="1">
      <alignment horizontal="center"/>
    </xf>
    <xf numFmtId="0" fontId="38" fillId="0" borderId="26" xfId="0" applyFont="1" applyBorder="1" applyAlignment="1">
      <alignment horizontal="center"/>
    </xf>
    <xf numFmtId="0" fontId="38" fillId="0" borderId="18" xfId="0" applyFont="1" applyBorder="1" applyAlignment="1">
      <alignment horizontal="center"/>
    </xf>
    <xf numFmtId="0" fontId="38" fillId="0" borderId="65" xfId="0" applyFont="1" applyBorder="1" applyAlignment="1">
      <alignment horizontal="center"/>
    </xf>
    <xf numFmtId="0" fontId="38" fillId="0" borderId="58" xfId="0" applyFont="1" applyBorder="1" applyAlignment="1">
      <alignment horizontal="center"/>
    </xf>
    <xf numFmtId="0" fontId="38" fillId="0" borderId="68" xfId="0" applyFont="1" applyBorder="1" applyAlignment="1">
      <alignment horizontal="center"/>
    </xf>
    <xf numFmtId="0" fontId="38" fillId="0" borderId="73" xfId="0" applyFont="1" applyBorder="1" applyAlignment="1">
      <alignment horizontal="center"/>
    </xf>
    <xf numFmtId="0" fontId="38" fillId="0" borderId="62" xfId="0" applyFont="1" applyBorder="1" applyAlignment="1">
      <alignment horizontal="center"/>
    </xf>
    <xf numFmtId="0" fontId="38" fillId="0" borderId="64" xfId="0" applyFont="1" applyBorder="1" applyAlignment="1">
      <alignment horizontal="center"/>
    </xf>
    <xf numFmtId="0" fontId="38" fillId="0" borderId="0" xfId="0" applyFont="1" applyBorder="1" applyAlignment="1">
      <alignment horizontal="center"/>
    </xf>
    <xf numFmtId="0" fontId="38" fillId="0" borderId="59" xfId="0" applyFont="1" applyBorder="1" applyAlignment="1">
      <alignment horizontal="center"/>
    </xf>
    <xf numFmtId="0" fontId="38" fillId="0" borderId="28" xfId="0" applyFont="1" applyBorder="1" applyAlignment="1">
      <alignment horizontal="center"/>
    </xf>
    <xf numFmtId="0" fontId="38" fillId="0" borderId="60" xfId="0" applyFont="1" applyBorder="1" applyAlignment="1">
      <alignment horizontal="center"/>
    </xf>
    <xf numFmtId="0" fontId="38" fillId="0" borderId="56" xfId="0" applyFont="1" applyBorder="1" applyAlignment="1">
      <alignment horizontal="center"/>
    </xf>
    <xf numFmtId="0" fontId="38" fillId="0" borderId="55" xfId="0" applyFont="1" applyBorder="1" applyAlignment="1">
      <alignment horizontal="center"/>
    </xf>
    <xf numFmtId="0" fontId="38" fillId="0" borderId="74" xfId="0" applyFont="1" applyBorder="1" applyAlignment="1">
      <alignment horizontal="center"/>
    </xf>
    <xf numFmtId="0" fontId="38" fillId="0" borderId="42" xfId="0" applyFont="1" applyBorder="1" applyAlignment="1">
      <alignment horizontal="center"/>
    </xf>
    <xf numFmtId="0" fontId="38" fillId="0" borderId="56" xfId="0" applyFont="1" applyBorder="1" applyAlignment="1">
      <alignment horizontal="left"/>
    </xf>
    <xf numFmtId="0" fontId="38" fillId="0" borderId="55" xfId="0" applyFont="1" applyBorder="1" applyAlignment="1">
      <alignment horizontal="left"/>
    </xf>
    <xf numFmtId="0" fontId="38" fillId="0" borderId="66" xfId="0" applyFont="1" applyBorder="1" applyAlignment="1">
      <alignment horizontal="left"/>
    </xf>
    <xf numFmtId="0" fontId="38" fillId="0" borderId="48" xfId="0" applyFont="1" applyBorder="1" applyAlignment="1">
      <alignment horizontal="center"/>
    </xf>
    <xf numFmtId="0" fontId="38" fillId="0" borderId="66" xfId="0" applyFont="1" applyBorder="1" applyAlignment="1">
      <alignment horizontal="center"/>
    </xf>
    <xf numFmtId="0" fontId="38" fillId="0" borderId="48" xfId="0" applyFont="1" applyBorder="1" applyAlignment="1">
      <alignment horizontal="center" wrapText="1"/>
    </xf>
    <xf numFmtId="0" fontId="38" fillId="0" borderId="74" xfId="0" applyFont="1" applyBorder="1" applyAlignment="1">
      <alignment horizontal="center" wrapText="1"/>
    </xf>
    <xf numFmtId="0" fontId="38" fillId="0" borderId="15" xfId="0" applyFont="1" applyBorder="1" applyAlignment="1">
      <alignment horizontal="left"/>
    </xf>
    <xf numFmtId="0" fontId="38" fillId="0" borderId="10" xfId="0" applyFont="1" applyBorder="1" applyAlignment="1">
      <alignment horizontal="left"/>
    </xf>
    <xf numFmtId="0" fontId="38" fillId="0" borderId="50" xfId="0" applyFont="1" applyBorder="1" applyAlignment="1">
      <alignment horizontal="left"/>
    </xf>
    <xf numFmtId="0" fontId="38" fillId="0" borderId="17" xfId="0" applyFont="1" applyBorder="1" applyAlignment="1">
      <alignment horizontal="left"/>
    </xf>
    <xf numFmtId="0" fontId="38" fillId="0" borderId="53" xfId="0" applyFont="1" applyBorder="1" applyAlignment="1">
      <alignment horizontal="left"/>
    </xf>
    <xf numFmtId="0" fontId="38" fillId="0" borderId="54" xfId="0" applyFont="1" applyBorder="1" applyAlignment="1">
      <alignment horizontal="left"/>
    </xf>
    <xf numFmtId="0" fontId="38" fillId="0" borderId="41" xfId="0" applyFont="1" applyBorder="1" applyAlignment="1">
      <alignment horizontal="left"/>
    </xf>
    <xf numFmtId="0" fontId="38" fillId="0" borderId="58" xfId="0" applyFont="1" applyBorder="1" applyAlignment="1">
      <alignment horizontal="left"/>
    </xf>
    <xf numFmtId="0" fontId="38" fillId="0" borderId="30" xfId="0" applyFont="1" applyBorder="1" applyAlignment="1">
      <alignment vertical="center"/>
    </xf>
    <xf numFmtId="0" fontId="38" fillId="0" borderId="50" xfId="0" applyFont="1" applyBorder="1" applyAlignment="1">
      <alignment vertical="center"/>
    </xf>
    <xf numFmtId="0" fontId="38" fillId="0" borderId="47" xfId="0" applyFont="1" applyBorder="1" applyAlignment="1">
      <alignment vertical="center"/>
    </xf>
    <xf numFmtId="0" fontId="38" fillId="0" borderId="51" xfId="0" applyFont="1" applyBorder="1" applyAlignment="1">
      <alignment horizontal="left" vertical="center" wrapText="1"/>
    </xf>
    <xf numFmtId="0" fontId="38" fillId="0" borderId="34" xfId="0" applyFont="1" applyBorder="1" applyAlignment="1">
      <alignment horizontal="left"/>
    </xf>
    <xf numFmtId="0" fontId="38" fillId="0" borderId="13" xfId="0" applyFont="1" applyBorder="1" applyAlignment="1">
      <alignment horizontal="left"/>
    </xf>
    <xf numFmtId="0" fontId="38" fillId="0" borderId="17" xfId="0" applyFont="1" applyBorder="1" applyAlignment="1">
      <alignment horizontal="left" wrapText="1"/>
    </xf>
    <xf numFmtId="0" fontId="38" fillId="0" borderId="37" xfId="0" applyFont="1" applyBorder="1" applyAlignment="1">
      <alignment horizontal="left"/>
    </xf>
    <xf numFmtId="0" fontId="38" fillId="0" borderId="16" xfId="0" applyFont="1" applyBorder="1" applyAlignment="1">
      <alignment horizontal="left"/>
    </xf>
    <xf numFmtId="0" fontId="38" fillId="0" borderId="47" xfId="0" applyFont="1" applyBorder="1" applyAlignment="1">
      <alignment horizontal="left"/>
    </xf>
    <xf numFmtId="0" fontId="38" fillId="0" borderId="30" xfId="0" applyFont="1" applyBorder="1" applyAlignment="1">
      <alignment horizontal="left"/>
    </xf>
    <xf numFmtId="0" fontId="38" fillId="0" borderId="51" xfId="0" applyFont="1" applyBorder="1" applyAlignment="1">
      <alignment horizontal="left"/>
    </xf>
    <xf numFmtId="0" fontId="38" fillId="0" borderId="16" xfId="0" applyFont="1" applyBorder="1" applyAlignment="1">
      <alignment horizontal="center"/>
    </xf>
    <xf numFmtId="0" fontId="38" fillId="0" borderId="51" xfId="0" applyFont="1" applyBorder="1" applyAlignment="1">
      <alignment horizontal="center"/>
    </xf>
    <xf numFmtId="0" fontId="38" fillId="0" borderId="49" xfId="0" applyFont="1" applyBorder="1" applyAlignment="1">
      <alignment horizontal="left"/>
    </xf>
    <xf numFmtId="0" fontId="38" fillId="0" borderId="36" xfId="0" applyFont="1" applyBorder="1" applyAlignment="1">
      <alignment horizontal="center"/>
    </xf>
    <xf numFmtId="0" fontId="38" fillId="0" borderId="50" xfId="0" applyFont="1" applyBorder="1" applyAlignment="1">
      <alignment horizontal="center"/>
    </xf>
    <xf numFmtId="0" fontId="38" fillId="0" borderId="10" xfId="0" applyFont="1" applyBorder="1" applyAlignment="1">
      <alignment horizontal="center"/>
    </xf>
    <xf numFmtId="0" fontId="38" fillId="0" borderId="17" xfId="0" applyFont="1" applyBorder="1" applyAlignment="1">
      <alignment horizontal="center"/>
    </xf>
    <xf numFmtId="0" fontId="38" fillId="0" borderId="48" xfId="0" applyFont="1" applyBorder="1" applyAlignment="1">
      <alignment horizontal="left"/>
    </xf>
    <xf numFmtId="0" fontId="38" fillId="0" borderId="74" xfId="0" applyFont="1" applyBorder="1" applyAlignment="1">
      <alignment horizontal="left"/>
    </xf>
    <xf numFmtId="0" fontId="38" fillId="0" borderId="54" xfId="0" applyFont="1" applyBorder="1" applyAlignment="1">
      <alignment horizontal="center"/>
    </xf>
    <xf numFmtId="0" fontId="38" fillId="0" borderId="52" xfId="0" applyFont="1" applyBorder="1" applyAlignment="1">
      <alignment horizontal="center"/>
    </xf>
    <xf numFmtId="0" fontId="38" fillId="0" borderId="53" xfId="0" applyFont="1" applyBorder="1" applyAlignment="1">
      <alignment horizontal="center"/>
    </xf>
    <xf numFmtId="0" fontId="38" fillId="0" borderId="46" xfId="0" applyFont="1" applyBorder="1" applyAlignment="1">
      <alignment horizontal="center"/>
    </xf>
    <xf numFmtId="0" fontId="38" fillId="0" borderId="43" xfId="0" applyFont="1" applyBorder="1" applyAlignment="1">
      <alignment horizontal="center"/>
    </xf>
    <xf numFmtId="0" fontId="38" fillId="0" borderId="59" xfId="0" applyFont="1" applyBorder="1" applyAlignment="1">
      <alignment horizontal="left"/>
    </xf>
    <xf numFmtId="0" fontId="38" fillId="0" borderId="28" xfId="0" applyFont="1" applyBorder="1" applyAlignment="1">
      <alignment horizontal="left"/>
    </xf>
    <xf numFmtId="0" fontId="38" fillId="0" borderId="60" xfId="0" applyFont="1" applyBorder="1" applyAlignment="1">
      <alignment horizontal="left"/>
    </xf>
    <xf numFmtId="0" fontId="38" fillId="0" borderId="57" xfId="0" applyFont="1" applyBorder="1" applyAlignment="1">
      <alignment horizontal="left"/>
    </xf>
    <xf numFmtId="0" fontId="38" fillId="0" borderId="0" xfId="0" applyFont="1" applyBorder="1" applyAlignment="1">
      <alignment horizontal="left"/>
    </xf>
    <xf numFmtId="0" fontId="38" fillId="0" borderId="61" xfId="0" applyFont="1" applyBorder="1" applyAlignment="1">
      <alignment horizontal="left"/>
    </xf>
    <xf numFmtId="0" fontId="38" fillId="0" borderId="62" xfId="0" applyFont="1" applyBorder="1" applyAlignment="1">
      <alignment horizontal="left"/>
    </xf>
    <xf numFmtId="0" fontId="38" fillId="0" borderId="63" xfId="0" applyFont="1" applyBorder="1" applyAlignment="1">
      <alignment horizontal="left"/>
    </xf>
    <xf numFmtId="0" fontId="38" fillId="0" borderId="64" xfId="0" applyFont="1" applyBorder="1" applyAlignment="1">
      <alignment horizontal="left"/>
    </xf>
    <xf numFmtId="0" fontId="38" fillId="0" borderId="35" xfId="0" applyFont="1" applyBorder="1" applyAlignment="1">
      <alignment horizontal="left"/>
    </xf>
    <xf numFmtId="0" fontId="38" fillId="0" borderId="13" xfId="0" applyFont="1" applyBorder="1" applyAlignment="1"/>
    <xf numFmtId="0" fontId="38" fillId="0" borderId="17" xfId="0" applyFont="1" applyBorder="1" applyAlignment="1"/>
    <xf numFmtId="0" fontId="38" fillId="0" borderId="24" xfId="0" applyFont="1" applyBorder="1" applyAlignment="1"/>
    <xf numFmtId="0" fontId="38" fillId="0" borderId="26" xfId="0" applyFont="1" applyBorder="1" applyAlignment="1"/>
    <xf numFmtId="0" fontId="38" fillId="0" borderId="22" xfId="0" applyFont="1" applyBorder="1" applyAlignment="1"/>
    <xf numFmtId="0" fontId="38" fillId="0" borderId="29" xfId="0" applyFont="1" applyBorder="1" applyAlignment="1"/>
    <xf numFmtId="0" fontId="38" fillId="0" borderId="30" xfId="0" applyFont="1" applyBorder="1" applyAlignment="1"/>
    <xf numFmtId="0" fontId="38" fillId="0" borderId="50" xfId="0" applyFont="1" applyBorder="1" applyAlignment="1"/>
    <xf numFmtId="0" fontId="38" fillId="0" borderId="47" xfId="0" applyFont="1" applyBorder="1" applyAlignment="1"/>
    <xf numFmtId="0" fontId="38" fillId="0" borderId="27" xfId="0" applyFont="1" applyBorder="1" applyAlignment="1"/>
    <xf numFmtId="0" fontId="38" fillId="0" borderId="36" xfId="0" applyFont="1" applyBorder="1" applyAlignment="1"/>
    <xf numFmtId="0" fontId="38" fillId="0" borderId="41" xfId="0" applyFont="1" applyBorder="1" applyAlignment="1">
      <alignment horizontal="center"/>
    </xf>
    <xf numFmtId="0" fontId="38" fillId="0" borderId="45" xfId="0" applyFont="1" applyBorder="1" applyAlignment="1">
      <alignment horizontal="center"/>
    </xf>
    <xf numFmtId="0" fontId="38" fillId="0" borderId="44" xfId="0" applyFont="1" applyBorder="1" applyAlignment="1">
      <alignment horizontal="center"/>
    </xf>
    <xf numFmtId="0" fontId="38" fillId="0" borderId="16" xfId="0" applyFont="1" applyBorder="1" applyAlignment="1">
      <alignment horizontal="left" wrapText="1"/>
    </xf>
    <xf numFmtId="0" fontId="38" fillId="0" borderId="50" xfId="0" applyFont="1" applyBorder="1" applyAlignment="1">
      <alignment horizontal="left" wrapText="1"/>
    </xf>
    <xf numFmtId="0" fontId="38" fillId="0" borderId="30" xfId="0" applyFont="1" applyBorder="1" applyAlignment="1">
      <alignment horizontal="center" wrapText="1"/>
    </xf>
    <xf numFmtId="0" fontId="38" fillId="0" borderId="47" xfId="0" applyFont="1" applyBorder="1" applyAlignment="1">
      <alignment horizontal="center" wrapText="1"/>
    </xf>
    <xf numFmtId="0" fontId="38" fillId="0" borderId="51" xfId="0" applyFont="1" applyBorder="1" applyAlignment="1">
      <alignment horizontal="center" wrapText="1"/>
    </xf>
    <xf numFmtId="0" fontId="0" fillId="0" borderId="16" xfId="0" applyBorder="1" applyAlignment="1">
      <alignment horizontal="center"/>
    </xf>
    <xf numFmtId="0" fontId="0" fillId="0" borderId="50" xfId="0" applyBorder="1" applyAlignment="1">
      <alignment horizontal="center"/>
    </xf>
    <xf numFmtId="0" fontId="38" fillId="0" borderId="10" xfId="0" applyFont="1" applyBorder="1" applyAlignment="1">
      <alignment horizontal="left" vertical="center" wrapText="1"/>
    </xf>
    <xf numFmtId="0" fontId="38" fillId="0" borderId="27" xfId="0" applyFont="1" applyBorder="1" applyAlignment="1">
      <alignment horizontal="center" wrapText="1"/>
    </xf>
    <xf numFmtId="0" fontId="39" fillId="29" borderId="10" xfId="0" applyFont="1" applyFill="1" applyBorder="1" applyAlignment="1" applyProtection="1">
      <alignment horizontal="center" vertical="center"/>
    </xf>
    <xf numFmtId="0" fontId="39" fillId="29" borderId="17" xfId="0" applyFont="1" applyFill="1" applyBorder="1" applyAlignment="1" applyProtection="1">
      <alignment horizontal="center" vertical="center"/>
    </xf>
    <xf numFmtId="0" fontId="39" fillId="29" borderId="18" xfId="0" applyFont="1" applyFill="1" applyBorder="1" applyAlignment="1" applyProtection="1">
      <alignment horizontal="center" vertical="center" wrapText="1"/>
    </xf>
    <xf numFmtId="0" fontId="49" fillId="29" borderId="40" xfId="0" applyFont="1" applyFill="1" applyBorder="1" applyAlignment="1" applyProtection="1">
      <alignment horizontal="center" vertical="center" wrapText="1"/>
    </xf>
    <xf numFmtId="0" fontId="49" fillId="29" borderId="18" xfId="0" applyFont="1" applyFill="1" applyBorder="1" applyAlignment="1" applyProtection="1">
      <alignment horizontal="center" vertical="center" wrapText="1"/>
    </xf>
    <xf numFmtId="0" fontId="49" fillId="29" borderId="65" xfId="0" applyFont="1" applyFill="1" applyBorder="1" applyAlignment="1" applyProtection="1">
      <alignment horizontal="center" vertical="center" wrapText="1"/>
    </xf>
    <xf numFmtId="0" fontId="49" fillId="29" borderId="58" xfId="0" applyFont="1" applyFill="1" applyBorder="1" applyAlignment="1" applyProtection="1">
      <alignment horizontal="center" vertical="center" wrapText="1"/>
    </xf>
    <xf numFmtId="0" fontId="39" fillId="29" borderId="78" xfId="0" applyFont="1" applyFill="1" applyBorder="1" applyAlignment="1" applyProtection="1">
      <alignment horizontal="center" vertical="center" wrapText="1"/>
    </xf>
    <xf numFmtId="0" fontId="39" fillId="29" borderId="79" xfId="0" applyFont="1" applyFill="1" applyBorder="1" applyAlignment="1" applyProtection="1">
      <alignment horizontal="center" vertical="center" wrapText="1"/>
    </xf>
    <xf numFmtId="0" fontId="39" fillId="29" borderId="69" xfId="0" applyFont="1" applyFill="1" applyBorder="1" applyAlignment="1" applyProtection="1">
      <alignment horizontal="center" vertical="center" wrapText="1"/>
    </xf>
    <xf numFmtId="0" fontId="49" fillId="29" borderId="14" xfId="0" applyFont="1" applyFill="1" applyBorder="1" applyAlignment="1" applyProtection="1">
      <alignment horizontal="center" vertical="center" wrapText="1"/>
    </xf>
    <xf numFmtId="0" fontId="49" fillId="29" borderId="12" xfId="0" applyFont="1" applyFill="1" applyBorder="1" applyAlignment="1" applyProtection="1">
      <alignment horizontal="center" vertical="center" wrapText="1"/>
    </xf>
    <xf numFmtId="0" fontId="49" fillId="29" borderId="11" xfId="0" applyFont="1" applyFill="1" applyBorder="1" applyAlignment="1" applyProtection="1">
      <alignment horizontal="center" vertical="center" wrapText="1"/>
    </xf>
    <xf numFmtId="0" fontId="49" fillId="29" borderId="70" xfId="0" applyFont="1" applyFill="1" applyBorder="1" applyAlignment="1" applyProtection="1">
      <alignment horizontal="center" vertical="center" wrapText="1"/>
    </xf>
    <xf numFmtId="0" fontId="49" fillId="29" borderId="16" xfId="0" applyFont="1" applyFill="1" applyBorder="1" applyAlignment="1" applyProtection="1">
      <alignment horizontal="center" vertical="center" wrapText="1"/>
    </xf>
    <xf numFmtId="0" fontId="49" fillId="29" borderId="19" xfId="0" applyFont="1" applyFill="1" applyBorder="1" applyAlignment="1" applyProtection="1">
      <alignment horizontal="center" vertical="center" wrapText="1"/>
    </xf>
    <xf numFmtId="0" fontId="52" fillId="0" borderId="0" xfId="0" applyFont="1" applyFill="1" applyBorder="1" applyAlignment="1">
      <alignment horizontal="left"/>
    </xf>
    <xf numFmtId="0" fontId="51" fillId="0" borderId="0" xfId="0" applyFont="1" applyFill="1" applyBorder="1" applyAlignment="1" applyProtection="1">
      <alignment horizontal="left"/>
    </xf>
    <xf numFmtId="0" fontId="39" fillId="30" borderId="80" xfId="0" applyFont="1" applyFill="1" applyBorder="1" applyAlignment="1" applyProtection="1">
      <alignment horizontal="center" vertical="center"/>
    </xf>
    <xf numFmtId="0" fontId="39" fillId="30" borderId="79" xfId="0" applyFont="1" applyFill="1" applyBorder="1" applyAlignment="1" applyProtection="1">
      <alignment horizontal="center" vertical="center"/>
    </xf>
    <xf numFmtId="0" fontId="49" fillId="29" borderId="19" xfId="0" applyFont="1" applyFill="1" applyBorder="1" applyAlignment="1">
      <alignment horizontal="center" vertical="center" wrapText="1"/>
    </xf>
    <xf numFmtId="0" fontId="49" fillId="29" borderId="82" xfId="0" applyFont="1" applyFill="1" applyBorder="1" applyAlignment="1" applyProtection="1">
      <alignment horizontal="center" vertical="center" wrapText="1"/>
    </xf>
    <xf numFmtId="0" fontId="49" fillId="29" borderId="16" xfId="0" applyFont="1" applyFill="1" applyBorder="1" applyAlignment="1">
      <alignment horizontal="center" vertical="center" wrapText="1"/>
    </xf>
    <xf numFmtId="0" fontId="49" fillId="29" borderId="51" xfId="0" applyFont="1" applyFill="1" applyBorder="1" applyAlignment="1">
      <alignment horizontal="center" vertical="center" wrapText="1"/>
    </xf>
    <xf numFmtId="0" fontId="49" fillId="29" borderId="51" xfId="0" applyFont="1" applyFill="1" applyBorder="1" applyAlignment="1" applyProtection="1">
      <alignment horizontal="center" vertical="center" wrapText="1"/>
    </xf>
    <xf numFmtId="0" fontId="38" fillId="31" borderId="16" xfId="0" applyFont="1" applyFill="1" applyBorder="1" applyAlignment="1" applyProtection="1">
      <alignment horizontal="left" vertical="top" wrapText="1" indent="1"/>
      <protection locked="0"/>
    </xf>
    <xf numFmtId="0" fontId="0" fillId="31" borderId="50" xfId="0" applyFill="1" applyBorder="1" applyAlignment="1">
      <alignment horizontal="left" vertical="top" wrapText="1"/>
    </xf>
    <xf numFmtId="0" fontId="0" fillId="31" borderId="51" xfId="0" applyFill="1" applyBorder="1" applyAlignment="1">
      <alignment horizontal="left" vertical="top" wrapText="1"/>
    </xf>
    <xf numFmtId="0" fontId="38" fillId="31" borderId="16" xfId="0" applyFont="1" applyFill="1" applyBorder="1" applyAlignment="1" applyProtection="1">
      <alignment horizontal="left" vertical="top" wrapText="1"/>
      <protection locked="0"/>
    </xf>
    <xf numFmtId="0" fontId="38" fillId="31" borderId="50" xfId="0" applyFont="1" applyFill="1" applyBorder="1" applyAlignment="1" applyProtection="1">
      <alignment horizontal="left" vertical="top" wrapText="1"/>
      <protection locked="0"/>
    </xf>
    <xf numFmtId="0" fontId="38" fillId="31" borderId="51" xfId="0" applyFont="1" applyFill="1" applyBorder="1" applyAlignment="1" applyProtection="1">
      <alignment horizontal="left" vertical="top" wrapText="1"/>
      <protection locked="0"/>
    </xf>
    <xf numFmtId="0" fontId="0" fillId="31" borderId="50" xfId="0" applyFill="1" applyBorder="1" applyAlignment="1">
      <alignment horizontal="left" vertical="top" wrapText="1" indent="1"/>
    </xf>
    <xf numFmtId="0" fontId="0" fillId="31" borderId="51" xfId="0" applyFill="1" applyBorder="1" applyAlignment="1">
      <alignment horizontal="left" vertical="top" wrapText="1" indent="1"/>
    </xf>
    <xf numFmtId="0" fontId="0" fillId="31" borderId="50" xfId="0" applyFill="1" applyBorder="1" applyAlignment="1"/>
    <xf numFmtId="0" fontId="0" fillId="31" borderId="51" xfId="0" applyFill="1" applyBorder="1" applyAlignment="1"/>
    <xf numFmtId="0" fontId="39" fillId="29" borderId="19" xfId="0" applyFont="1" applyFill="1" applyBorder="1" applyAlignment="1">
      <alignment horizontal="center" vertical="center" wrapText="1"/>
    </xf>
    <xf numFmtId="0" fontId="39" fillId="29" borderId="19" xfId="0" applyFont="1" applyFill="1" applyBorder="1" applyAlignment="1" applyProtection="1">
      <alignment horizontal="center" vertical="center" wrapText="1"/>
    </xf>
    <xf numFmtId="0" fontId="39" fillId="29" borderId="51" xfId="0" applyFont="1" applyFill="1" applyBorder="1" applyAlignment="1" applyProtection="1">
      <alignment horizontal="center" vertical="center" wrapText="1"/>
    </xf>
    <xf numFmtId="0" fontId="39" fillId="29" borderId="51" xfId="0" applyFont="1" applyFill="1" applyBorder="1" applyAlignment="1">
      <alignment horizontal="center" vertical="center" wrapText="1"/>
    </xf>
    <xf numFmtId="0" fontId="39" fillId="30" borderId="19" xfId="0" applyFont="1" applyFill="1" applyBorder="1" applyAlignment="1">
      <alignment horizontal="center" vertical="center" wrapText="1"/>
    </xf>
    <xf numFmtId="0" fontId="39" fillId="29" borderId="13" xfId="0" applyFont="1" applyFill="1" applyBorder="1" applyAlignment="1" applyProtection="1">
      <alignment horizontal="center" vertical="center" wrapText="1"/>
    </xf>
    <xf numFmtId="0" fontId="39" fillId="29" borderId="47" xfId="0" applyFont="1" applyFill="1" applyBorder="1" applyAlignment="1" applyProtection="1">
      <alignment horizontal="center" vertical="center" wrapText="1"/>
    </xf>
    <xf numFmtId="0" fontId="39" fillId="29" borderId="30" xfId="0" applyFont="1" applyFill="1" applyBorder="1" applyAlignment="1" applyProtection="1">
      <alignment horizontal="center" vertical="center" wrapText="1"/>
    </xf>
    <xf numFmtId="0" fontId="39" fillId="30" borderId="10" xfId="0" applyFont="1" applyFill="1" applyBorder="1" applyAlignment="1" applyProtection="1">
      <alignment horizontal="center" vertical="center" wrapText="1"/>
    </xf>
    <xf numFmtId="0" fontId="39" fillId="30" borderId="19" xfId="0" applyFont="1" applyFill="1" applyBorder="1" applyAlignment="1" applyProtection="1">
      <alignment horizontal="center" vertical="center" wrapText="1"/>
    </xf>
    <xf numFmtId="0" fontId="49" fillId="30" borderId="16" xfId="0" applyFont="1" applyFill="1" applyBorder="1" applyAlignment="1" applyProtection="1">
      <alignment horizontal="center" vertical="center"/>
    </xf>
    <xf numFmtId="0" fontId="39" fillId="29" borderId="16" xfId="0" applyFont="1" applyFill="1" applyBorder="1" applyAlignment="1" applyProtection="1">
      <alignment horizontal="center" vertical="center" wrapText="1"/>
    </xf>
    <xf numFmtId="0" fontId="39" fillId="29" borderId="59" xfId="0" applyFont="1" applyFill="1" applyBorder="1" applyAlignment="1" applyProtection="1">
      <alignment horizontal="center" vertical="center" wrapText="1"/>
    </xf>
    <xf numFmtId="0" fontId="39" fillId="29" borderId="72" xfId="0" applyFont="1" applyFill="1" applyBorder="1" applyAlignment="1" applyProtection="1">
      <alignment horizontal="center" vertical="center" wrapText="1"/>
    </xf>
    <xf numFmtId="0" fontId="39" fillId="29" borderId="23" xfId="0" applyFont="1" applyFill="1" applyBorder="1" applyAlignment="1" applyProtection="1">
      <alignment horizontal="center" vertical="center" wrapText="1"/>
    </xf>
    <xf numFmtId="0" fontId="39" fillId="29" borderId="17" xfId="0" applyFont="1" applyFill="1" applyBorder="1" applyAlignment="1" applyProtection="1">
      <alignment horizontal="center" vertical="center" wrapText="1"/>
    </xf>
    <xf numFmtId="0" fontId="39" fillId="30" borderId="16" xfId="0" applyFont="1" applyFill="1" applyBorder="1" applyAlignment="1" applyProtection="1">
      <alignment horizontal="center" vertical="center" wrapText="1"/>
    </xf>
    <xf numFmtId="0" fontId="39" fillId="30" borderId="19" xfId="0" applyFont="1" applyFill="1" applyBorder="1" applyAlignment="1" applyProtection="1">
      <alignment horizontal="center"/>
    </xf>
    <xf numFmtId="0" fontId="50" fillId="29" borderId="19" xfId="0" applyFont="1" applyFill="1" applyBorder="1" applyAlignment="1" applyProtection="1">
      <alignment horizontal="center" vertical="center" wrapText="1"/>
    </xf>
    <xf numFmtId="0" fontId="50" fillId="29" borderId="51" xfId="0" applyFont="1" applyFill="1" applyBorder="1" applyAlignment="1" applyProtection="1">
      <alignment horizontal="center" vertical="center" wrapText="1"/>
    </xf>
    <xf numFmtId="0" fontId="39" fillId="30" borderId="80" xfId="0" applyFont="1" applyFill="1" applyBorder="1" applyAlignment="1" applyProtection="1">
      <alignment horizontal="center" vertical="center" wrapText="1"/>
    </xf>
    <xf numFmtId="0" fontId="39" fillId="29" borderId="80" xfId="0" applyFont="1" applyFill="1" applyBorder="1" applyAlignment="1" applyProtection="1">
      <alignment horizontal="center" vertical="center" wrapText="1"/>
    </xf>
    <xf numFmtId="0" fontId="49" fillId="29" borderId="80" xfId="0" applyFont="1" applyFill="1" applyBorder="1" applyAlignment="1" applyProtection="1">
      <alignment horizontal="center" vertical="center" wrapText="1"/>
    </xf>
    <xf numFmtId="0" fontId="49" fillId="29" borderId="69" xfId="0" applyFont="1" applyFill="1" applyBorder="1" applyAlignment="1" applyProtection="1">
      <alignment horizontal="center" vertical="center" wrapText="1"/>
    </xf>
    <xf numFmtId="0" fontId="49" fillId="29" borderId="19" xfId="0" applyFont="1" applyFill="1" applyBorder="1" applyAlignment="1" applyProtection="1">
      <alignment horizontal="center" vertical="top" wrapText="1"/>
    </xf>
    <xf numFmtId="0" fontId="49" fillId="30" borderId="19" xfId="0" applyFont="1" applyFill="1" applyBorder="1" applyAlignment="1" applyProtection="1">
      <alignment horizontal="center" vertical="center" wrapText="1"/>
    </xf>
    <xf numFmtId="0" fontId="36" fillId="30" borderId="19" xfId="0" applyFont="1" applyFill="1" applyBorder="1" applyAlignment="1" applyProtection="1">
      <alignment horizontal="center" vertical="center" wrapText="1"/>
    </xf>
    <xf numFmtId="0" fontId="36" fillId="29" borderId="19" xfId="0" applyFont="1" applyFill="1" applyBorder="1" applyAlignment="1" applyProtection="1">
      <alignment horizontal="center" vertical="center" wrapText="1"/>
    </xf>
    <xf numFmtId="0" fontId="36" fillId="29" borderId="51" xfId="0" applyFont="1" applyFill="1" applyBorder="1" applyAlignment="1" applyProtection="1">
      <alignment horizontal="center" vertical="center" wrapText="1"/>
    </xf>
    <xf numFmtId="0" fontId="50" fillId="30" borderId="19" xfId="0" applyFont="1" applyFill="1" applyBorder="1" applyAlignment="1" applyProtection="1">
      <alignment horizontal="center" vertical="center" wrapText="1"/>
    </xf>
    <xf numFmtId="0" fontId="39" fillId="30" borderId="19" xfId="0" applyFont="1" applyFill="1" applyBorder="1" applyAlignment="1" applyProtection="1">
      <alignment horizontal="center" vertical="center"/>
    </xf>
    <xf numFmtId="0" fontId="50" fillId="29" borderId="47" xfId="0" applyFont="1" applyFill="1" applyBorder="1" applyAlignment="1" applyProtection="1">
      <alignment horizontal="center" vertical="center" wrapText="1"/>
    </xf>
    <xf numFmtId="0" fontId="36" fillId="30" borderId="19" xfId="0" applyFont="1" applyFill="1" applyBorder="1" applyAlignment="1" applyProtection="1">
      <alignment horizontal="center" vertical="center"/>
    </xf>
    <xf numFmtId="0" fontId="38" fillId="0" borderId="27" xfId="0" applyFont="1" applyFill="1" applyBorder="1" applyAlignment="1" applyProtection="1">
      <alignment horizontal="center" vertical="center"/>
      <protection locked="0"/>
    </xf>
    <xf numFmtId="0" fontId="38" fillId="0" borderId="36" xfId="0" applyFont="1" applyFill="1" applyBorder="1" applyAlignment="1" applyProtection="1">
      <alignment horizontal="center" vertical="center"/>
      <protection locked="0"/>
    </xf>
    <xf numFmtId="0" fontId="38" fillId="0" borderId="22" xfId="0" applyFont="1" applyFill="1" applyBorder="1" applyAlignment="1" applyProtection="1">
      <alignment horizontal="center" vertical="center"/>
      <protection locked="0"/>
    </xf>
    <xf numFmtId="0" fontId="38" fillId="0" borderId="29" xfId="0" applyFont="1" applyFill="1" applyBorder="1" applyAlignment="1" applyProtection="1">
      <alignment horizontal="center" vertical="center"/>
      <protection locked="0"/>
    </xf>
    <xf numFmtId="0" fontId="38" fillId="0" borderId="24" xfId="0" applyFont="1" applyFill="1" applyBorder="1" applyAlignment="1" applyProtection="1">
      <alignment horizontal="center" vertical="center"/>
      <protection locked="0"/>
    </xf>
    <xf numFmtId="0" fontId="38" fillId="0" borderId="26" xfId="0" applyFont="1" applyFill="1" applyBorder="1" applyAlignment="1" applyProtection="1">
      <alignment horizontal="center" vertical="center"/>
      <protection locked="0"/>
    </xf>
    <xf numFmtId="0" fontId="38" fillId="0" borderId="24" xfId="0" applyFont="1" applyFill="1" applyBorder="1" applyAlignment="1" applyProtection="1">
      <alignment horizontal="center"/>
      <protection locked="0"/>
    </xf>
    <xf numFmtId="0" fontId="38" fillId="0" borderId="26" xfId="0" applyFont="1" applyFill="1" applyBorder="1" applyAlignment="1" applyProtection="1">
      <alignment horizontal="center"/>
      <protection locked="0"/>
    </xf>
    <xf numFmtId="0" fontId="38" fillId="0" borderId="0" xfId="0" applyFont="1" applyFill="1" applyBorder="1" applyAlignment="1" applyProtection="1">
      <alignment horizontal="left" vertical="center" wrapText="1" indent="2"/>
      <protection locked="0"/>
    </xf>
    <xf numFmtId="0" fontId="38" fillId="31" borderId="44" xfId="0" applyFont="1" applyFill="1" applyBorder="1" applyAlignment="1" applyProtection="1">
      <alignment horizontal="left" vertical="center" wrapText="1" indent="2"/>
      <protection locked="0"/>
    </xf>
    <xf numFmtId="0" fontId="0" fillId="31" borderId="41" xfId="0" applyFill="1" applyBorder="1" applyAlignment="1">
      <alignment horizontal="left" vertical="center" wrapText="1" indent="2"/>
    </xf>
    <xf numFmtId="0" fontId="0" fillId="31" borderId="52" xfId="0" applyFill="1" applyBorder="1" applyAlignment="1">
      <alignment horizontal="left" vertical="center" wrapText="1" indent="2"/>
    </xf>
    <xf numFmtId="0" fontId="38" fillId="31" borderId="46" xfId="0" applyFont="1" applyFill="1" applyBorder="1" applyAlignment="1" applyProtection="1">
      <alignment horizontal="left" vertical="center" wrapText="1" indent="2"/>
      <protection locked="0"/>
    </xf>
    <xf numFmtId="0" fontId="0" fillId="31" borderId="43" xfId="0" applyFill="1" applyBorder="1" applyAlignment="1">
      <alignment horizontal="left" vertical="center" wrapText="1" indent="2"/>
    </xf>
    <xf numFmtId="0" fontId="0" fillId="31" borderId="54" xfId="0" applyFill="1" applyBorder="1" applyAlignment="1">
      <alignment horizontal="left" vertical="center" wrapText="1" indent="2"/>
    </xf>
    <xf numFmtId="0" fontId="51" fillId="0" borderId="44" xfId="0" applyFont="1" applyBorder="1" applyAlignment="1" applyProtection="1">
      <alignment horizontal="left" vertical="top" wrapText="1"/>
    </xf>
    <xf numFmtId="0" fontId="38" fillId="0" borderId="46" xfId="0" applyFont="1" applyBorder="1" applyAlignment="1" applyProtection="1">
      <alignment horizontal="left" vertical="top" wrapText="1"/>
    </xf>
    <xf numFmtId="0" fontId="51" fillId="31" borderId="16" xfId="0" applyFont="1" applyFill="1" applyBorder="1" applyAlignment="1" applyProtection="1">
      <alignment horizontal="left" vertical="top" wrapText="1"/>
    </xf>
    <xf numFmtId="0" fontId="51" fillId="31" borderId="50" xfId="0" applyFont="1" applyFill="1" applyBorder="1" applyAlignment="1" applyProtection="1">
      <alignment horizontal="left" vertical="top" wrapText="1"/>
    </xf>
    <xf numFmtId="0" fontId="51" fillId="31" borderId="51" xfId="0" applyFont="1" applyFill="1" applyBorder="1" applyAlignment="1" applyProtection="1">
      <alignment horizontal="left" vertical="top" wrapText="1"/>
    </xf>
    <xf numFmtId="0" fontId="38" fillId="31" borderId="16" xfId="0" applyFont="1" applyFill="1" applyBorder="1" applyAlignment="1" applyProtection="1">
      <alignment horizontal="left" vertical="top" wrapText="1"/>
    </xf>
    <xf numFmtId="0" fontId="38" fillId="31" borderId="50" xfId="0" applyFont="1" applyFill="1" applyBorder="1" applyAlignment="1" applyProtection="1">
      <alignment horizontal="left" vertical="top" wrapText="1"/>
    </xf>
    <xf numFmtId="0" fontId="38" fillId="31" borderId="51" xfId="0" applyFont="1" applyFill="1" applyBorder="1" applyAlignment="1" applyProtection="1">
      <alignment horizontal="left" vertical="top" wrapText="1"/>
    </xf>
    <xf numFmtId="0" fontId="38" fillId="0" borderId="0" xfId="0" applyFont="1" applyFill="1" applyBorder="1" applyAlignment="1" applyProtection="1">
      <alignment horizontal="left" vertical="distributed" wrapText="1"/>
      <protection locked="0"/>
    </xf>
    <xf numFmtId="0" fontId="38" fillId="31" borderId="16" xfId="0" applyFont="1" applyFill="1" applyBorder="1" applyAlignment="1" applyProtection="1"/>
    <xf numFmtId="0" fontId="38" fillId="31" borderId="50" xfId="0" applyFont="1" applyFill="1" applyBorder="1" applyAlignment="1" applyProtection="1"/>
    <xf numFmtId="0" fontId="38" fillId="31" borderId="51" xfId="0" applyFont="1" applyFill="1" applyBorder="1" applyAlignment="1" applyProtection="1"/>
    <xf numFmtId="0" fontId="39" fillId="30" borderId="13" xfId="0" applyFont="1" applyFill="1" applyBorder="1" applyAlignment="1" applyProtection="1">
      <alignment horizontal="center" vertical="center" wrapText="1"/>
    </xf>
    <xf numFmtId="0" fontId="39" fillId="30" borderId="17" xfId="0" applyFont="1" applyFill="1" applyBorder="1" applyAlignment="1" applyProtection="1">
      <alignment horizontal="center" vertical="center" wrapText="1"/>
    </xf>
    <xf numFmtId="0" fontId="37" fillId="0" borderId="0" xfId="0" applyFont="1" applyFill="1" applyBorder="1" applyAlignment="1" applyProtection="1">
      <alignment horizontal="left" vertical="top"/>
    </xf>
    <xf numFmtId="0" fontId="37" fillId="0" borderId="0" xfId="0" applyFont="1" applyBorder="1" applyAlignment="1" applyProtection="1">
      <alignment horizontal="left"/>
    </xf>
    <xf numFmtId="49" fontId="51" fillId="0" borderId="65" xfId="0" applyNumberFormat="1" applyFont="1" applyFill="1" applyBorder="1" applyAlignment="1" applyProtection="1">
      <alignment horizontal="center" vertical="center" wrapText="1"/>
      <protection locked="0"/>
    </xf>
    <xf numFmtId="0" fontId="51" fillId="0" borderId="65" xfId="0" applyFont="1" applyFill="1" applyBorder="1" applyAlignment="1" applyProtection="1">
      <alignment horizontal="center" vertical="center" wrapText="1"/>
      <protection locked="0"/>
    </xf>
    <xf numFmtId="0" fontId="51" fillId="0" borderId="58" xfId="0" applyFont="1" applyFill="1" applyBorder="1" applyAlignment="1" applyProtection="1">
      <alignment horizontal="center" vertical="center" wrapText="1"/>
      <protection locked="0"/>
    </xf>
    <xf numFmtId="49" fontId="51" fillId="0" borderId="22" xfId="0" applyNumberFormat="1" applyFont="1" applyFill="1" applyBorder="1" applyAlignment="1" applyProtection="1">
      <alignment horizontal="center" vertical="center" wrapText="1"/>
      <protection locked="0"/>
    </xf>
    <xf numFmtId="0" fontId="51" fillId="0" borderId="11" xfId="0" applyFont="1" applyFill="1" applyBorder="1" applyAlignment="1" applyProtection="1">
      <alignment horizontal="center" vertical="center" wrapText="1"/>
      <protection locked="0"/>
    </xf>
    <xf numFmtId="0" fontId="51" fillId="0" borderId="36" xfId="0" applyFont="1" applyFill="1" applyBorder="1" applyAlignment="1" applyProtection="1">
      <alignment horizontal="center" vertical="center" wrapText="1"/>
      <protection locked="0"/>
    </xf>
    <xf numFmtId="0" fontId="51" fillId="0" borderId="22" xfId="0" applyFont="1" applyFill="1" applyBorder="1" applyAlignment="1" applyProtection="1">
      <alignment horizontal="center" vertical="center" wrapText="1"/>
      <protection locked="0"/>
    </xf>
    <xf numFmtId="0" fontId="51" fillId="0" borderId="29" xfId="0" applyFont="1" applyFill="1" applyBorder="1" applyAlignment="1" applyProtection="1">
      <alignment horizontal="center" vertical="center" wrapText="1"/>
      <protection locked="0"/>
    </xf>
    <xf numFmtId="49" fontId="51" fillId="0" borderId="22" xfId="0" applyNumberFormat="1" applyFont="1" applyFill="1" applyBorder="1" applyAlignment="1" applyProtection="1">
      <alignment horizontal="center" vertical="center"/>
      <protection locked="0"/>
    </xf>
    <xf numFmtId="49" fontId="51" fillId="0" borderId="24" xfId="0" applyNumberFormat="1" applyFont="1" applyFill="1" applyBorder="1" applyAlignment="1" applyProtection="1">
      <alignment horizontal="center" vertical="center"/>
      <protection locked="0"/>
    </xf>
    <xf numFmtId="0" fontId="51" fillId="0" borderId="24" xfId="0" applyFont="1" applyFill="1" applyBorder="1" applyAlignment="1" applyProtection="1">
      <alignment horizontal="center" vertical="center" wrapText="1"/>
      <protection locked="0"/>
    </xf>
    <xf numFmtId="0" fontId="51" fillId="0" borderId="26" xfId="0" applyFont="1" applyFill="1" applyBorder="1" applyAlignment="1" applyProtection="1">
      <alignment horizontal="center" vertical="center" wrapText="1"/>
      <protection locked="0"/>
    </xf>
    <xf numFmtId="49" fontId="39" fillId="30" borderId="13" xfId="0" applyNumberFormat="1" applyFont="1" applyFill="1" applyBorder="1" applyAlignment="1" applyProtection="1">
      <alignment horizontal="center" vertical="center" wrapText="1"/>
    </xf>
    <xf numFmtId="0" fontId="39" fillId="29" borderId="69" xfId="0" applyFont="1" applyFill="1" applyBorder="1" applyAlignment="1" applyProtection="1">
      <alignment horizontal="center" vertical="center" wrapText="1"/>
    </xf>
    <xf numFmtId="14" fontId="51" fillId="0" borderId="44" xfId="0" applyNumberFormat="1" applyFont="1" applyFill="1" applyBorder="1" applyAlignment="1" applyProtection="1">
      <alignment horizontal="left" vertical="center" wrapText="1"/>
      <protection locked="0"/>
    </xf>
    <xf numFmtId="14" fontId="51" fillId="0" borderId="68" xfId="0" applyNumberFormat="1" applyFont="1" applyFill="1" applyBorder="1" applyAlignment="1" applyProtection="1">
      <alignment horizontal="left" vertical="center" wrapText="1"/>
      <protection locked="0"/>
    </xf>
    <xf numFmtId="14" fontId="51" fillId="0" borderId="45" xfId="0" applyNumberFormat="1" applyFont="1" applyFill="1" applyBorder="1" applyAlignment="1" applyProtection="1">
      <alignment horizontal="left" vertical="center" wrapText="1"/>
      <protection locked="0"/>
    </xf>
    <xf numFmtId="14" fontId="51" fillId="0" borderId="33" xfId="0" applyNumberFormat="1" applyFont="1" applyFill="1" applyBorder="1" applyAlignment="1" applyProtection="1">
      <alignment horizontal="left" vertical="center" wrapText="1"/>
      <protection locked="0"/>
    </xf>
    <xf numFmtId="14" fontId="51" fillId="0" borderId="15" xfId="0" applyNumberFormat="1" applyFont="1" applyFill="1" applyBorder="1" applyAlignment="1" applyProtection="1">
      <alignment horizontal="left" vertical="center" wrapText="1"/>
      <protection locked="0"/>
    </xf>
    <xf numFmtId="0" fontId="50" fillId="29" borderId="10" xfId="0" applyFont="1" applyFill="1" applyBorder="1" applyAlignment="1" applyProtection="1">
      <alignment horizontal="center" vertical="center"/>
    </xf>
    <xf numFmtId="0" fontId="38" fillId="0" borderId="27" xfId="0" applyFont="1" applyFill="1" applyBorder="1" applyAlignment="1" applyProtection="1">
      <alignment vertical="center"/>
      <protection locked="0"/>
    </xf>
    <xf numFmtId="0" fontId="38" fillId="0" borderId="36" xfId="0" applyFont="1" applyFill="1" applyBorder="1" applyAlignment="1" applyProtection="1">
      <alignment horizontal="center"/>
      <protection locked="0"/>
    </xf>
    <xf numFmtId="0" fontId="38" fillId="0" borderId="22" xfId="0" applyFont="1" applyFill="1" applyBorder="1" applyAlignment="1" applyProtection="1">
      <alignment vertical="center"/>
      <protection locked="0"/>
    </xf>
    <xf numFmtId="0" fontId="38" fillId="0" borderId="29" xfId="0" applyFont="1" applyFill="1" applyBorder="1" applyAlignment="1" applyProtection="1">
      <alignment horizontal="center"/>
      <protection locked="0"/>
    </xf>
    <xf numFmtId="0" fontId="38" fillId="0" borderId="24" xfId="0" applyFont="1" applyFill="1" applyBorder="1" applyAlignment="1" applyProtection="1">
      <alignment vertical="center"/>
      <protection locked="0"/>
    </xf>
    <xf numFmtId="0" fontId="6" fillId="0" borderId="18" xfId="0" applyFont="1" applyFill="1" applyBorder="1" applyAlignment="1" applyProtection="1">
      <alignment horizontal="center" vertical="center"/>
      <protection locked="0"/>
    </xf>
    <xf numFmtId="0" fontId="6" fillId="0" borderId="65" xfId="0" applyFont="1" applyFill="1" applyBorder="1" applyAlignment="1" applyProtection="1">
      <alignment horizontal="center" vertical="center"/>
      <protection locked="0"/>
    </xf>
    <xf numFmtId="0" fontId="6" fillId="0" borderId="58" xfId="0" applyFont="1" applyFill="1" applyBorder="1" applyAlignment="1" applyProtection="1">
      <alignment horizontal="center" vertical="center"/>
      <protection locked="0"/>
    </xf>
    <xf numFmtId="0" fontId="6" fillId="0" borderId="15" xfId="0" applyFont="1" applyFill="1" applyBorder="1" applyAlignment="1" applyProtection="1">
      <alignment horizontal="center" vertical="center"/>
      <protection locked="0"/>
    </xf>
    <xf numFmtId="0" fontId="6" fillId="0" borderId="24" xfId="0" applyFont="1" applyFill="1" applyBorder="1" applyAlignment="1" applyProtection="1">
      <alignment horizontal="center" vertical="center"/>
      <protection locked="0"/>
    </xf>
    <xf numFmtId="0" fontId="6" fillId="0" borderId="26" xfId="0" applyFont="1" applyFill="1" applyBorder="1" applyAlignment="1" applyProtection="1">
      <alignment horizontal="center" vertical="center"/>
      <protection locked="0"/>
    </xf>
    <xf numFmtId="0" fontId="39" fillId="29" borderId="19" xfId="0" applyFont="1" applyFill="1" applyBorder="1" applyAlignment="1">
      <alignment horizontal="left" vertical="center"/>
    </xf>
    <xf numFmtId="0" fontId="49" fillId="30" borderId="10" xfId="0" applyFont="1" applyFill="1" applyBorder="1" applyAlignment="1" applyProtection="1">
      <alignment horizontal="center" vertical="center"/>
    </xf>
    <xf numFmtId="0" fontId="64" fillId="0" borderId="0" xfId="92" applyFont="1" applyFill="1" applyAlignment="1" applyProtection="1">
      <alignment horizontal="left" vertical="top"/>
    </xf>
    <xf numFmtId="0" fontId="38" fillId="0" borderId="19" xfId="0" applyFont="1" applyFill="1" applyBorder="1" applyAlignment="1" applyProtection="1">
      <alignment horizontal="left" vertical="top"/>
      <protection locked="0"/>
    </xf>
    <xf numFmtId="0" fontId="38" fillId="0" borderId="45" xfId="0" applyFont="1" applyFill="1" applyBorder="1" applyAlignment="1" applyProtection="1">
      <alignment horizontal="center" vertical="top"/>
      <protection locked="0"/>
    </xf>
    <xf numFmtId="0" fontId="38" fillId="0" borderId="53" xfId="0" applyFont="1" applyFill="1" applyBorder="1" applyAlignment="1" applyProtection="1">
      <alignment horizontal="center" vertical="top"/>
      <protection locked="0"/>
    </xf>
    <xf numFmtId="0" fontId="38" fillId="0" borderId="33" xfId="0" applyFont="1" applyFill="1" applyBorder="1" applyAlignment="1" applyProtection="1">
      <alignment horizontal="left" vertical="top"/>
      <protection locked="0"/>
    </xf>
    <xf numFmtId="0" fontId="38" fillId="0" borderId="29" xfId="0" applyFont="1" applyFill="1" applyBorder="1" applyAlignment="1" applyProtection="1">
      <alignment horizontal="left" vertical="top"/>
      <protection locked="0"/>
    </xf>
    <xf numFmtId="0" fontId="38" fillId="0" borderId="46" xfId="0" applyFont="1" applyFill="1" applyBorder="1" applyAlignment="1" applyProtection="1">
      <alignment horizontal="left" vertical="top"/>
      <protection locked="0"/>
    </xf>
    <xf numFmtId="0" fontId="38" fillId="0" borderId="54" xfId="0" applyFont="1" applyFill="1" applyBorder="1" applyAlignment="1" applyProtection="1">
      <alignment horizontal="left" vertical="top"/>
      <protection locked="0"/>
    </xf>
    <xf numFmtId="0" fontId="0" fillId="0" borderId="18" xfId="0" applyFill="1" applyBorder="1" applyAlignment="1" applyProtection="1">
      <alignment horizontal="left" vertical="top"/>
      <protection locked="0"/>
    </xf>
    <xf numFmtId="10" fontId="38" fillId="0" borderId="65" xfId="85" applyNumberFormat="1" applyFont="1" applyFill="1" applyBorder="1" applyAlignment="1" applyProtection="1">
      <alignment horizontal="left" vertical="top"/>
      <protection locked="0"/>
    </xf>
    <xf numFmtId="0" fontId="38" fillId="0" borderId="58" xfId="0" applyFont="1" applyFill="1" applyBorder="1" applyAlignment="1" applyProtection="1">
      <alignment horizontal="left" vertical="top"/>
      <protection locked="0"/>
    </xf>
    <xf numFmtId="0" fontId="0" fillId="0" borderId="18" xfId="0" applyFont="1" applyFill="1" applyBorder="1" applyAlignment="1" applyProtection="1">
      <alignment horizontal="left" vertical="top"/>
      <protection locked="0"/>
    </xf>
    <xf numFmtId="10" fontId="38" fillId="0" borderId="58" xfId="85" applyNumberFormat="1" applyFont="1" applyFill="1" applyBorder="1" applyAlignment="1" applyProtection="1">
      <alignment horizontal="left" vertical="top"/>
      <protection locked="0"/>
    </xf>
    <xf numFmtId="0" fontId="38" fillId="0" borderId="65" xfId="0" applyFont="1" applyFill="1" applyBorder="1" applyAlignment="1" applyProtection="1">
      <alignment horizontal="left" vertical="top"/>
      <protection locked="0"/>
    </xf>
    <xf numFmtId="0" fontId="0" fillId="0" borderId="35" xfId="0" applyFill="1" applyBorder="1" applyAlignment="1" applyProtection="1">
      <alignment horizontal="left" vertical="top"/>
      <protection locked="0"/>
    </xf>
    <xf numFmtId="10" fontId="38" fillId="0" borderId="27" xfId="85" applyNumberFormat="1" applyFont="1" applyFill="1" applyBorder="1" applyAlignment="1" applyProtection="1">
      <alignment horizontal="left" vertical="top"/>
      <protection locked="0"/>
    </xf>
    <xf numFmtId="0" fontId="38" fillId="0" borderId="36" xfId="0" applyFont="1" applyFill="1" applyBorder="1" applyAlignment="1" applyProtection="1">
      <alignment horizontal="left" vertical="top"/>
      <protection locked="0"/>
    </xf>
    <xf numFmtId="0" fontId="0" fillId="0" borderId="35" xfId="0" applyFont="1" applyFill="1" applyBorder="1" applyAlignment="1" applyProtection="1">
      <alignment horizontal="left" vertical="top"/>
      <protection locked="0"/>
    </xf>
    <xf numFmtId="10" fontId="38" fillId="0" borderId="36" xfId="85" applyNumberFormat="1" applyFont="1" applyFill="1" applyBorder="1" applyAlignment="1" applyProtection="1">
      <alignment horizontal="left" vertical="top"/>
      <protection locked="0"/>
    </xf>
    <xf numFmtId="0" fontId="38" fillId="0" borderId="27" xfId="0" applyFont="1" applyFill="1" applyBorder="1" applyAlignment="1" applyProtection="1">
      <alignment horizontal="left" vertical="top"/>
      <protection locked="0"/>
    </xf>
    <xf numFmtId="0" fontId="38" fillId="0" borderId="33" xfId="0" applyFont="1" applyFill="1" applyBorder="1" applyAlignment="1" applyProtection="1">
      <alignment horizontal="left" vertical="top"/>
      <protection locked="0"/>
    </xf>
    <xf numFmtId="10" fontId="38" fillId="0" borderId="22" xfId="85" applyNumberFormat="1" applyFont="1" applyFill="1" applyBorder="1" applyAlignment="1" applyProtection="1">
      <alignment horizontal="left" vertical="top"/>
      <protection locked="0"/>
    </xf>
    <xf numFmtId="0" fontId="38" fillId="0" borderId="29" xfId="0" applyFont="1" applyFill="1" applyBorder="1" applyAlignment="1" applyProtection="1">
      <alignment horizontal="left" vertical="top"/>
      <protection locked="0"/>
    </xf>
    <xf numFmtId="10" fontId="38" fillId="0" borderId="29" xfId="85" applyNumberFormat="1" applyFont="1" applyFill="1" applyBorder="1" applyAlignment="1" applyProtection="1">
      <alignment horizontal="left" vertical="top"/>
      <protection locked="0"/>
    </xf>
    <xf numFmtId="0" fontId="38" fillId="0" borderId="22" xfId="0" applyFont="1" applyFill="1" applyBorder="1" applyAlignment="1" applyProtection="1">
      <alignment horizontal="left" vertical="top"/>
      <protection locked="0"/>
    </xf>
    <xf numFmtId="0" fontId="38" fillId="0" borderId="15" xfId="0" applyFont="1" applyFill="1" applyBorder="1" applyAlignment="1" applyProtection="1">
      <alignment horizontal="left" vertical="top"/>
      <protection locked="0"/>
    </xf>
    <xf numFmtId="0" fontId="38" fillId="0" borderId="24" xfId="0" applyFont="1" applyFill="1" applyBorder="1" applyAlignment="1" applyProtection="1">
      <alignment horizontal="left" vertical="top"/>
      <protection locked="0"/>
    </xf>
    <xf numFmtId="0" fontId="38" fillId="0" borderId="26" xfId="0" applyFont="1" applyFill="1" applyBorder="1" applyAlignment="1" applyProtection="1">
      <alignment horizontal="left" vertical="top"/>
      <protection locked="0"/>
    </xf>
    <xf numFmtId="0" fontId="46" fillId="0" borderId="0" xfId="0" applyFont="1" applyFill="1" applyBorder="1" applyAlignment="1" applyProtection="1">
      <alignment horizontal="left" vertical="top"/>
    </xf>
    <xf numFmtId="0" fontId="38" fillId="0" borderId="17" xfId="0" applyFont="1" applyFill="1" applyBorder="1" applyAlignment="1" applyProtection="1">
      <alignment horizontal="left" vertical="top"/>
      <protection locked="0"/>
    </xf>
    <xf numFmtId="0" fontId="38" fillId="0" borderId="24" xfId="0" applyNumberFormat="1" applyFont="1" applyFill="1" applyBorder="1" applyAlignment="1" applyProtection="1">
      <alignment horizontal="left" vertical="top"/>
      <protection locked="0"/>
    </xf>
    <xf numFmtId="0" fontId="38" fillId="29" borderId="10" xfId="0" applyFont="1" applyFill="1" applyBorder="1" applyAlignment="1" applyProtection="1">
      <alignment horizontal="left" vertical="top"/>
    </xf>
    <xf numFmtId="0" fontId="38" fillId="29" borderId="13" xfId="0" applyFont="1" applyFill="1" applyBorder="1" applyAlignment="1" applyProtection="1">
      <alignment horizontal="left" vertical="top"/>
    </xf>
    <xf numFmtId="0" fontId="36" fillId="0" borderId="0" xfId="0" applyFont="1" applyFill="1" applyAlignment="1" applyProtection="1">
      <alignment horizontal="center" vertical="center"/>
    </xf>
    <xf numFmtId="0" fontId="0" fillId="0" borderId="0" xfId="0" applyFill="1" applyAlignment="1" applyProtection="1">
      <alignment horizontal="center" vertical="center"/>
    </xf>
    <xf numFmtId="0" fontId="39" fillId="0" borderId="18" xfId="0" applyFont="1" applyFill="1" applyBorder="1" applyAlignment="1" applyProtection="1">
      <alignment horizontal="center" vertical="center"/>
    </xf>
    <xf numFmtId="0" fontId="39" fillId="0" borderId="58" xfId="0" applyFont="1" applyFill="1" applyBorder="1" applyAlignment="1" applyProtection="1">
      <alignment horizontal="center" vertical="center"/>
    </xf>
    <xf numFmtId="0" fontId="36" fillId="29" borderId="16" xfId="0" applyFont="1" applyFill="1" applyBorder="1" applyAlignment="1" applyProtection="1">
      <alignment horizontal="center" vertical="center"/>
    </xf>
    <xf numFmtId="0" fontId="38" fillId="29" borderId="50" xfId="0" applyFont="1" applyFill="1" applyBorder="1" applyAlignment="1" applyProtection="1">
      <alignment horizontal="center" vertical="center"/>
    </xf>
    <xf numFmtId="0" fontId="38" fillId="29" borderId="51" xfId="0" applyFont="1" applyFill="1" applyBorder="1" applyAlignment="1" applyProtection="1">
      <alignment horizontal="center" vertical="center"/>
    </xf>
    <xf numFmtId="0" fontId="39" fillId="29" borderId="80" xfId="0" applyFont="1" applyFill="1" applyBorder="1" applyAlignment="1" applyProtection="1">
      <alignment horizontal="left" vertical="top"/>
    </xf>
    <xf numFmtId="0" fontId="39" fillId="29" borderId="81" xfId="0" applyFont="1" applyFill="1" applyBorder="1" applyAlignment="1" applyProtection="1">
      <alignment horizontal="left" vertical="top"/>
    </xf>
    <xf numFmtId="0" fontId="39" fillId="29" borderId="79" xfId="0" applyFont="1" applyFill="1" applyBorder="1" applyAlignment="1" applyProtection="1">
      <alignment horizontal="left" vertical="top"/>
    </xf>
    <xf numFmtId="0" fontId="38" fillId="31" borderId="16" xfId="0" applyFont="1" applyFill="1" applyBorder="1" applyAlignment="1" applyProtection="1">
      <alignment horizontal="left" vertical="top"/>
      <protection locked="0"/>
    </xf>
    <xf numFmtId="0" fontId="38" fillId="31" borderId="50" xfId="0" applyFont="1" applyFill="1" applyBorder="1" applyAlignment="1" applyProtection="1">
      <alignment horizontal="left" vertical="top"/>
      <protection locked="0"/>
    </xf>
    <xf numFmtId="0" fontId="38" fillId="31" borderId="51" xfId="0" applyFont="1" applyFill="1" applyBorder="1" applyAlignment="1" applyProtection="1">
      <alignment horizontal="left" vertical="top"/>
      <protection locked="0"/>
    </xf>
    <xf numFmtId="0" fontId="70" fillId="0" borderId="0" xfId="0" applyFont="1" applyFill="1" applyAlignment="1" applyProtection="1">
      <alignment horizontal="left" vertical="top"/>
    </xf>
    <xf numFmtId="0" fontId="38" fillId="0" borderId="51" xfId="0" applyFont="1" applyFill="1" applyBorder="1" applyAlignment="1" applyProtection="1">
      <alignment horizontal="left" vertical="top"/>
      <protection locked="0"/>
    </xf>
    <xf numFmtId="0" fontId="38" fillId="0" borderId="49" xfId="0" applyFont="1" applyFill="1" applyBorder="1" applyAlignment="1" applyProtection="1">
      <alignment horizontal="left" vertical="top"/>
    </xf>
    <xf numFmtId="0" fontId="38" fillId="0" borderId="42" xfId="0" applyFont="1" applyFill="1" applyBorder="1" applyAlignment="1" applyProtection="1">
      <alignment horizontal="center" vertical="top"/>
      <protection locked="0"/>
    </xf>
    <xf numFmtId="0" fontId="38" fillId="0" borderId="31" xfId="0" applyFont="1" applyFill="1" applyBorder="1" applyAlignment="1" applyProtection="1">
      <alignment horizontal="left" vertical="top"/>
      <protection locked="0"/>
    </xf>
    <xf numFmtId="0" fontId="38" fillId="0" borderId="43" xfId="0" applyFont="1" applyFill="1" applyBorder="1" applyAlignment="1" applyProtection="1">
      <alignment horizontal="left" vertical="top"/>
      <protection locked="0"/>
    </xf>
    <xf numFmtId="0" fontId="38" fillId="29" borderId="17" xfId="0" applyFont="1" applyFill="1" applyBorder="1" applyAlignment="1" applyProtection="1">
      <alignment horizontal="left" vertical="top"/>
    </xf>
    <xf numFmtId="0" fontId="38" fillId="29" borderId="16" xfId="0" applyFont="1" applyFill="1" applyBorder="1" applyAlignment="1" applyProtection="1">
      <alignment horizontal="left" vertical="top"/>
    </xf>
    <xf numFmtId="0" fontId="38" fillId="29" borderId="50" xfId="0" applyFont="1" applyFill="1" applyBorder="1" applyAlignment="1" applyProtection="1">
      <alignment horizontal="left" vertical="top"/>
    </xf>
    <xf numFmtId="0" fontId="38" fillId="29" borderId="47" xfId="0" applyFont="1" applyFill="1" applyBorder="1" applyAlignment="1" applyProtection="1">
      <alignment horizontal="left" vertical="top"/>
    </xf>
    <xf numFmtId="0" fontId="38" fillId="29" borderId="51" xfId="0" applyFont="1" applyFill="1" applyBorder="1" applyAlignment="1" applyProtection="1">
      <alignment horizontal="left" vertical="top"/>
    </xf>
    <xf numFmtId="0" fontId="36" fillId="31" borderId="16" xfId="0" applyFont="1" applyFill="1" applyBorder="1" applyAlignment="1" applyProtection="1">
      <alignment horizontal="center" vertical="center"/>
    </xf>
  </cellXfs>
  <cellStyles count="93">
    <cellStyle name="20% - Accent1 2" xfId="1"/>
    <cellStyle name="20% - Accent1 3" xfId="2"/>
    <cellStyle name="20% - Accent2 2" xfId="3"/>
    <cellStyle name="20% - Accent2 3" xfId="4"/>
    <cellStyle name="20% - Accent3 2" xfId="5"/>
    <cellStyle name="20% - Accent3 3" xfId="6"/>
    <cellStyle name="20% - Accent4 2" xfId="7"/>
    <cellStyle name="20% - Accent4 3" xfId="8"/>
    <cellStyle name="20% - Accent5 2" xfId="9"/>
    <cellStyle name="20% - Accent5 3" xfId="10"/>
    <cellStyle name="20% - Accent6 2" xfId="11"/>
    <cellStyle name="20% - Accent6 3" xfId="12"/>
    <cellStyle name="40% - Accent1 2" xfId="13"/>
    <cellStyle name="40% - Accent1 3" xfId="14"/>
    <cellStyle name="40% - Accent2 2" xfId="15"/>
    <cellStyle name="40% - Accent2 3" xfId="16"/>
    <cellStyle name="40% - Accent3 2" xfId="17"/>
    <cellStyle name="40% - Accent3 3" xfId="18"/>
    <cellStyle name="40% - Accent4 2" xfId="19"/>
    <cellStyle name="40% - Accent4 3" xfId="20"/>
    <cellStyle name="40% - Accent5 2" xfId="21"/>
    <cellStyle name="40% - Accent5 3" xfId="22"/>
    <cellStyle name="40% - Accent6 2" xfId="23"/>
    <cellStyle name="40% - Accent6 3" xfId="24"/>
    <cellStyle name="60% - Accent1 2" xfId="25"/>
    <cellStyle name="60% - Accent1 3" xfId="26"/>
    <cellStyle name="60% - Accent2 2" xfId="27"/>
    <cellStyle name="60% - Accent2 3" xfId="28"/>
    <cellStyle name="60% - Accent3 2" xfId="29"/>
    <cellStyle name="60% - Accent3 3" xfId="30"/>
    <cellStyle name="60% - Accent4 2" xfId="31"/>
    <cellStyle name="60% - Accent4 3" xfId="32"/>
    <cellStyle name="60% - Accent5 2" xfId="33"/>
    <cellStyle name="60% - Accent5 3" xfId="34"/>
    <cellStyle name="60% - Accent6 2" xfId="35"/>
    <cellStyle name="60% - Accent6 3" xfId="36"/>
    <cellStyle name="Accent1 2" xfId="37"/>
    <cellStyle name="Accent1 3" xfId="38"/>
    <cellStyle name="Accent2 2" xfId="39"/>
    <cellStyle name="Accent2 3" xfId="40"/>
    <cellStyle name="Accent3 2" xfId="41"/>
    <cellStyle name="Accent3 3" xfId="42"/>
    <cellStyle name="Accent4 2" xfId="43"/>
    <cellStyle name="Accent4 3" xfId="44"/>
    <cellStyle name="Accent5 2" xfId="45"/>
    <cellStyle name="Accent5 3" xfId="46"/>
    <cellStyle name="Accent6 2" xfId="47"/>
    <cellStyle name="Accent6 3" xfId="48"/>
    <cellStyle name="Bad 2" xfId="49"/>
    <cellStyle name="Bad 3" xfId="50"/>
    <cellStyle name="Calculation 2" xfId="51"/>
    <cellStyle name="Calculation 3" xfId="52"/>
    <cellStyle name="Check Cell 2" xfId="53"/>
    <cellStyle name="Check Cell 3" xfId="54"/>
    <cellStyle name="Currency" xfId="55" builtinId="4"/>
    <cellStyle name="Currency 2" xfId="56"/>
    <cellStyle name="Currency 3" xfId="57"/>
    <cellStyle name="Currency 4" xfId="58"/>
    <cellStyle name="Explanatory Text 2" xfId="59"/>
    <cellStyle name="Explanatory Text 3" xfId="60"/>
    <cellStyle name="Good 2" xfId="61"/>
    <cellStyle name="Good 3" xfId="62"/>
    <cellStyle name="Heading 1 2" xfId="63"/>
    <cellStyle name="Heading 1 3" xfId="64"/>
    <cellStyle name="Heading 2 2" xfId="65"/>
    <cellStyle name="Heading 2 3" xfId="66"/>
    <cellStyle name="Heading 3 2" xfId="67"/>
    <cellStyle name="Heading 3 3" xfId="68"/>
    <cellStyle name="Heading 4 2" xfId="69"/>
    <cellStyle name="Heading 4 3" xfId="70"/>
    <cellStyle name="Hyperlink" xfId="92" builtinId="8"/>
    <cellStyle name="Hyperlink 2" xfId="71"/>
    <cellStyle name="Input 2" xfId="72"/>
    <cellStyle name="Input 3" xfId="73"/>
    <cellStyle name="Linked Cell 2" xfId="74"/>
    <cellStyle name="Linked Cell 3" xfId="75"/>
    <cellStyle name="Neutral 2" xfId="76"/>
    <cellStyle name="Neutral 3" xfId="77"/>
    <cellStyle name="Normal" xfId="0" builtinId="0"/>
    <cellStyle name="Normal 2" xfId="78"/>
    <cellStyle name="Normal 3" xfId="79"/>
    <cellStyle name="Normal 4" xfId="80"/>
    <cellStyle name="Note 2" xfId="81"/>
    <cellStyle name="Note 3" xfId="82"/>
    <cellStyle name="Output 2" xfId="83"/>
    <cellStyle name="Output 3" xfId="84"/>
    <cellStyle name="Percent" xfId="85" builtinId="5"/>
    <cellStyle name="Title 2" xfId="86"/>
    <cellStyle name="Title 3" xfId="87"/>
    <cellStyle name="Total 2" xfId="88"/>
    <cellStyle name="Total 3" xfId="89"/>
    <cellStyle name="Warning Text 2" xfId="90"/>
    <cellStyle name="Warning Text 3" xfId="91"/>
  </cellStyles>
  <dxfs count="0"/>
  <tableStyles count="0" defaultTableStyle="TableStyleMedium2" defaultPivotStyle="PivotStyleLight16"/>
  <colors>
    <mruColors>
      <color rgb="FFF88C2A"/>
      <color rgb="FF00B0F0"/>
      <color rgb="FF00A3E4"/>
      <color rgb="FF0070C0"/>
      <color rgb="FF223C7A"/>
      <color rgb="FF26357A"/>
      <color rgb="FFFBC5F3"/>
      <color rgb="FFD7E4BC"/>
      <color rgb="FFFFFF99"/>
      <color rgb="FFFAC09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Documents%20and%20Settings\Annaclark\Local%20Settings\Temporary%20Internet%20Files\Content.Outlook\YS0GQXTM\Calculation%20Specification%20V1.6%20OLDE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ClientData\Users\Sheheryar.Haq\AppData\Roaming\Microsoft\Excel\Calculation%20Specification%20final.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ITM\Project%20Office\Archive\Project%20File%20Library\Legacy%20&amp;%20Calculation%20Automation%20Docs\Calculations%20Template%20files\Calculation%20Specifications\PSL%20New%20Specs\PSL%20Standard%20Elements%20&amp;%20Salaries%20V1.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Change History"/>
      <sheetName val="Change-History"/>
      <sheetName val="Contents"/>
      <sheetName val="Scheme Definitions"/>
      <sheetName val="Factors"/>
      <sheetName val="Benefit Statements"/>
      <sheetName val="Active to Deferred"/>
      <sheetName val="Active to Retirement"/>
      <sheetName val="Deferred to Retirement"/>
      <sheetName val="Death Calculations"/>
      <sheetName val="Pension Increases"/>
      <sheetName val="Errors &amp; Warnings"/>
      <sheetName val="Standard Calc Prints"/>
      <sheetName val="Standard Definitions &amp; Elements"/>
      <sheetName val="Salary Type"/>
      <sheetName val="Final Pensionable Salary"/>
      <sheetName val="Deferred Elements"/>
      <sheetName val="Pensioner Elements"/>
      <sheetName val="Factor Nam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ow r="26">
          <cell r="D26" t="str">
            <v>The highest average basic salary over 3 consecutive years of service during 10 years</v>
          </cell>
        </row>
        <row r="27">
          <cell r="D27" t="str">
            <v>The highest average basic salary over 3 consecutive years of service during 10 years, plus the average of bonuses paid in the 3 years ending on the last day of the period over which the members salary is averaged</v>
          </cell>
        </row>
      </sheetData>
      <sheetData sheetId="14" refreshError="1"/>
      <sheetData sheetId="15" refreshError="1"/>
      <sheetData sheetId="16" refreshError="1"/>
      <sheetData sheetId="17" refreshError="1"/>
      <sheetData sheetId="18"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Change History"/>
      <sheetName val="Change-History"/>
      <sheetName val="Contents"/>
      <sheetName val="Scheme Definitions"/>
      <sheetName val="Factors"/>
      <sheetName val="Benefit Statements"/>
      <sheetName val="Active to Deferred"/>
      <sheetName val="Active to Retirement"/>
      <sheetName val="Deferred to Retirement"/>
      <sheetName val="Death Calculations"/>
      <sheetName val="Pension Increases"/>
      <sheetName val="Errors &amp; Warnings"/>
      <sheetName val="Standard Calc Prints"/>
      <sheetName val="Standard Definitions &amp; Elements"/>
      <sheetName val="Salary Type"/>
      <sheetName val="Final Pensionable Salary"/>
      <sheetName val="Deferred Elements"/>
      <sheetName val="Pensioner Elements"/>
      <sheetName val="Factor Names"/>
      <sheetName val="Calculation Specification final"/>
    </sheetNames>
    <definedNames>
      <definedName name="Button81_Click"/>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FPS"/>
      <sheetName val="Salary Type"/>
      <sheetName val="Deferred Elements"/>
      <sheetName val="Pensioner Elements"/>
      <sheetName val="Pension Increases Rates"/>
      <sheetName val="PSL Standard Elements &amp; Salarie"/>
    </sheetNames>
    <sheetDataSet>
      <sheetData sheetId="0">
        <row r="2">
          <cell r="A2">
            <v>1</v>
          </cell>
          <cell r="B2" t="str">
            <v>The average of the highest three consecutive figures in the previous 10 years, minimum 3 tax years</v>
          </cell>
        </row>
        <row r="3">
          <cell r="A3">
            <v>2</v>
          </cell>
          <cell r="B3" t="str">
            <v>The best figure in 3 years with a maximum of 3 years</v>
          </cell>
        </row>
        <row r="4">
          <cell r="A4">
            <v>3</v>
          </cell>
          <cell r="B4" t="str">
            <v>The average of the highest three consecutive figures in the previous 10 years, minimum 3 years</v>
          </cell>
        </row>
        <row r="5">
          <cell r="A5">
            <v>4</v>
          </cell>
          <cell r="B5" t="str">
            <v>The average of the highest three tax years consecutive figures in the previous 10 years, minimum 3 tax years</v>
          </cell>
        </row>
        <row r="6">
          <cell r="A6">
            <v>5</v>
          </cell>
          <cell r="B6" t="str">
            <v>The average of the highest three DOL anniversary years in the previous 10 years, minimum 4 years</v>
          </cell>
        </row>
        <row r="7">
          <cell r="A7">
            <v>6</v>
          </cell>
          <cell r="B7" t="str">
            <v>The average of the highest 36 months in the previous 360 months, minimum 3 years</v>
          </cell>
        </row>
        <row r="8">
          <cell r="A8">
            <v>7</v>
          </cell>
          <cell r="B8" t="str">
            <v>The best figure in the last five years, minimum of 1 year</v>
          </cell>
        </row>
        <row r="9">
          <cell r="A9">
            <v>8</v>
          </cell>
          <cell r="B9" t="str">
            <v>The last figure, minimum 1 salary</v>
          </cell>
        </row>
        <row r="10">
          <cell r="A10">
            <v>9</v>
          </cell>
          <cell r="B10" t="str">
            <v>The current salary</v>
          </cell>
        </row>
        <row r="11">
          <cell r="A11">
            <v>10</v>
          </cell>
          <cell r="B11" t="str">
            <v>The average of the highest three consecutive figures in the previous 13 years, minimum of 3 salaries</v>
          </cell>
        </row>
        <row r="12">
          <cell r="A12">
            <v>11</v>
          </cell>
          <cell r="B12" t="str">
            <v>The average of the figures in the previous 2 years, minimum of 2 salaries, maximum of 3 salaries</v>
          </cell>
        </row>
        <row r="13">
          <cell r="A13">
            <v>12</v>
          </cell>
          <cell r="B13" t="str">
            <v>The best 12 months in the last 36 months, miminum of 12 months</v>
          </cell>
        </row>
        <row r="14">
          <cell r="A14">
            <v>13</v>
          </cell>
          <cell r="B14" t="str">
            <v>The best years figure in last 3 years, pro rated with no fixed review date, minimum 1 year</v>
          </cell>
        </row>
        <row r="15">
          <cell r="A15">
            <v>14</v>
          </cell>
          <cell r="B15" t="str">
            <v>The best figure (excluding emoluments) in the last five years plus the average emoluments over the previous 3 years, minimum of 12 months</v>
          </cell>
        </row>
        <row r="16">
          <cell r="A16">
            <v>15</v>
          </cell>
          <cell r="B16" t="str">
            <v>The average three figures including emoluments in the last ten years, minimum of 12 months</v>
          </cell>
        </row>
        <row r="17">
          <cell r="A17">
            <v>16</v>
          </cell>
          <cell r="B17" t="str">
            <v>The best figure in the last three years</v>
          </cell>
        </row>
        <row r="18">
          <cell r="A18">
            <v>17</v>
          </cell>
          <cell r="B18" t="str">
            <v>Last 12 months earnings, pro rated by days, with no review date, miminum 12 months</v>
          </cell>
        </row>
        <row r="19">
          <cell r="A19">
            <v>18</v>
          </cell>
          <cell r="B19" t="str">
            <v>Last 12 months, minimum of 12 months</v>
          </cell>
        </row>
        <row r="20">
          <cell r="A20">
            <v>19</v>
          </cell>
          <cell r="B20" t="str">
            <v>Last 12 months, pro rated by months, with no review date, minimum 12 months</v>
          </cell>
        </row>
        <row r="21">
          <cell r="A21">
            <v>20</v>
          </cell>
          <cell r="B21" t="str">
            <v>Last 12 months, pro rated by weeks, with no review date, minimum of 52 weeks</v>
          </cell>
        </row>
        <row r="22">
          <cell r="A22">
            <v>21</v>
          </cell>
          <cell r="B22" t="str">
            <v>The average of the figures in the previous 3 years</v>
          </cell>
        </row>
        <row r="23">
          <cell r="A23">
            <v>22</v>
          </cell>
          <cell r="B23" t="str">
            <v>The best 12 months in the previous 36 months, minimum of 12 months, maximum of 36</v>
          </cell>
        </row>
        <row r="24">
          <cell r="A24">
            <v>23</v>
          </cell>
          <cell r="B24" t="str">
            <v>The best figure in the last 5 years, minimum of 1 year</v>
          </cell>
        </row>
        <row r="25">
          <cell r="A25">
            <v>24</v>
          </cell>
          <cell r="B25" t="str">
            <v>The best figure in the last 5 years</v>
          </cell>
        </row>
        <row r="26">
          <cell r="A26">
            <v>25</v>
          </cell>
          <cell r="B26" t="str">
            <v>The best figure in the last 5 years plus the average bonus over the previous 3 years, minimum of 1 year</v>
          </cell>
        </row>
        <row r="27">
          <cell r="A27">
            <v>26</v>
          </cell>
          <cell r="B27" t="str">
            <v>The best figure in the last four years</v>
          </cell>
        </row>
        <row r="28">
          <cell r="A28">
            <v>27</v>
          </cell>
          <cell r="B28" t="str">
            <v>The best figure in the last four salaries</v>
          </cell>
        </row>
        <row r="29">
          <cell r="A29">
            <v>28</v>
          </cell>
          <cell r="B29" t="str">
            <v>The last 12 months pro rated by days up to 1 year where the members service is less than 1 year</v>
          </cell>
        </row>
        <row r="30">
          <cell r="A30">
            <v>29</v>
          </cell>
          <cell r="B30" t="str">
            <v>The last 12 months pro rated by months up to 1 year where the members service is less than 1 year</v>
          </cell>
        </row>
        <row r="31">
          <cell r="A31">
            <v>30</v>
          </cell>
          <cell r="B31" t="str">
            <v>The last 12 months pro rated by weeks up to 1 year where the members service is less than 1 year</v>
          </cell>
        </row>
        <row r="32">
          <cell r="A32">
            <v>31</v>
          </cell>
          <cell r="B32" t="str">
            <v>The average of the highest 2 consecutive figures in the previous 10 years, minimum 2 years</v>
          </cell>
        </row>
        <row r="33">
          <cell r="A33">
            <v>32</v>
          </cell>
          <cell r="B33" t="str">
            <v>The average of the highest 3 non-consecutive figures in the previous 10 years, minimum 3 years</v>
          </cell>
        </row>
        <row r="34">
          <cell r="A34">
            <v>33</v>
          </cell>
          <cell r="B34" t="str">
            <v>The best figure in the last ten years, minimum 1 year</v>
          </cell>
        </row>
        <row r="35">
          <cell r="A35">
            <v>34</v>
          </cell>
          <cell r="B35" t="str">
            <v>Average of the highest 36 months in last 120 months, pro rated by months, with no review date, minimum of 36 months</v>
          </cell>
        </row>
        <row r="36">
          <cell r="A36">
            <v>35</v>
          </cell>
          <cell r="B36" t="str">
            <v>The average of the figures in the previous 36 months, minimum of 36 months</v>
          </cell>
        </row>
        <row r="37">
          <cell r="A37">
            <v>36</v>
          </cell>
          <cell r="B37" t="str">
            <v>The highest figure, minimum of 12 months</v>
          </cell>
        </row>
        <row r="38">
          <cell r="A38">
            <v>37</v>
          </cell>
          <cell r="B38" t="str">
            <v>The average figure over a period less than 3 years of service, plus the average of bonuses paid in that period</v>
          </cell>
        </row>
        <row r="39">
          <cell r="A39">
            <v>38</v>
          </cell>
          <cell r="B39" t="str">
            <v>The figure 1 year before, minimum of 2 years</v>
          </cell>
        </row>
        <row r="40">
          <cell r="A40">
            <v>39</v>
          </cell>
          <cell r="B40" t="str">
            <v>The highest 365 days in the last 5 years, minimum of 1 years</v>
          </cell>
        </row>
        <row r="41">
          <cell r="A41">
            <v>40</v>
          </cell>
          <cell r="B41" t="str">
            <v>The highest average figure over 3 consecutive years of service during 10 years, minimum of 3 years</v>
          </cell>
        </row>
        <row r="42">
          <cell r="A42">
            <v>41</v>
          </cell>
          <cell r="B42" t="str">
            <v>The last figure, minimum 1 salary, maximum 2 salaries</v>
          </cell>
        </row>
        <row r="43">
          <cell r="A43">
            <v>42</v>
          </cell>
          <cell r="B43" t="str">
            <v>The average three figures including emoluments in the last ten years, minimum of 3 tax years</v>
          </cell>
        </row>
        <row r="44">
          <cell r="A44">
            <v>43</v>
          </cell>
          <cell r="B44" t="str">
            <v>The average of the pensionable salaries in the previous 3 years</v>
          </cell>
        </row>
        <row r="45">
          <cell r="A45">
            <v>44</v>
          </cell>
          <cell r="B45" t="str">
            <v>The average of the highest three consecutive pensionable salaries in the previous 13 years with earnings cap</v>
          </cell>
        </row>
        <row r="46">
          <cell r="A46">
            <v>45</v>
          </cell>
          <cell r="B46" t="str">
            <v>The average of the highest three consecutive pensionable salaries in the previous 13 years with fixed cap of £50000</v>
          </cell>
        </row>
      </sheetData>
      <sheetData sheetId="1">
        <row r="2">
          <cell r="A2" t="str">
            <v>Abated</v>
          </cell>
        </row>
        <row r="3">
          <cell r="A3" t="str">
            <v>Bank Account Value</v>
          </cell>
        </row>
        <row r="4">
          <cell r="A4" t="str">
            <v>Basic</v>
          </cell>
        </row>
        <row r="5">
          <cell r="A5" t="str">
            <v>Basic (FTE)</v>
          </cell>
        </row>
        <row r="6">
          <cell r="A6" t="str">
            <v>Basic (PTE)</v>
          </cell>
        </row>
        <row r="7">
          <cell r="A7" t="str">
            <v>Basic plus P11D</v>
          </cell>
        </row>
        <row r="8">
          <cell r="A8" t="str">
            <v>Basic+ave 3yrs P11D</v>
          </cell>
        </row>
        <row r="9">
          <cell r="A9" t="str">
            <v>Basic12mth+av3YBonus</v>
          </cell>
        </row>
        <row r="10">
          <cell r="A10" t="str">
            <v>Basic12mths</v>
          </cell>
        </row>
        <row r="11">
          <cell r="A11" t="str">
            <v>BasicTaxYr</v>
          </cell>
        </row>
        <row r="12">
          <cell r="A12" t="str">
            <v>Bonus</v>
          </cell>
        </row>
        <row r="13">
          <cell r="A13" t="str">
            <v>Capped Exc Bonus</v>
          </cell>
        </row>
        <row r="14">
          <cell r="A14" t="str">
            <v>CARE Earnings</v>
          </cell>
        </row>
        <row r="15">
          <cell r="A15" t="str">
            <v>CARE Salary</v>
          </cell>
        </row>
        <row r="16">
          <cell r="A16" t="str">
            <v>Commission</v>
          </cell>
        </row>
        <row r="17">
          <cell r="A17" t="str">
            <v>Crystallised Salary</v>
          </cell>
        </row>
        <row r="18">
          <cell r="A18" t="str">
            <v>EARNINGS</v>
          </cell>
        </row>
        <row r="19">
          <cell r="A19" t="str">
            <v>Earnings Adjustment</v>
          </cell>
        </row>
        <row r="20">
          <cell r="A20" t="str">
            <v>Employee Expenses</v>
          </cell>
        </row>
        <row r="21">
          <cell r="A21" t="str">
            <v>Employer Expenses</v>
          </cell>
        </row>
        <row r="22">
          <cell r="A22" t="str">
            <v>Fluctuating Emols</v>
          </cell>
        </row>
        <row r="23">
          <cell r="A23" t="str">
            <v>FPS</v>
          </cell>
        </row>
        <row r="24">
          <cell r="A24" t="str">
            <v>Fuel Allowance</v>
          </cell>
        </row>
        <row r="25">
          <cell r="A25" t="str">
            <v>Gross</v>
          </cell>
        </row>
        <row r="26">
          <cell r="A26" t="str">
            <v>Gross excl overtime</v>
          </cell>
        </row>
        <row r="27">
          <cell r="A27" t="str">
            <v>Gross (FTE)</v>
          </cell>
        </row>
        <row r="28">
          <cell r="A28" t="str">
            <v>Higher Band Earnings</v>
          </cell>
        </row>
        <row r="29">
          <cell r="A29" t="str">
            <v>LA Bonus</v>
          </cell>
        </row>
        <row r="30">
          <cell r="A30" t="str">
            <v>LASalary</v>
          </cell>
        </row>
        <row r="31">
          <cell r="A31" t="str">
            <v>LSDB Earnings</v>
          </cell>
        </row>
        <row r="32">
          <cell r="A32" t="str">
            <v>Market</v>
          </cell>
        </row>
        <row r="33">
          <cell r="A33" t="str">
            <v>Middle Band Earnings</v>
          </cell>
        </row>
        <row r="34">
          <cell r="A34" t="str">
            <v>Monthly Basic</v>
          </cell>
        </row>
        <row r="35">
          <cell r="A35" t="str">
            <v>Monthly Gross</v>
          </cell>
        </row>
        <row r="36">
          <cell r="A36" t="str">
            <v>Monthly Pensionable</v>
          </cell>
        </row>
        <row r="37">
          <cell r="A37" t="str">
            <v>Mthly Fluct Emols</v>
          </cell>
        </row>
        <row r="38">
          <cell r="A38" t="str">
            <v>Old Basic</v>
          </cell>
        </row>
        <row r="39">
          <cell r="A39" t="str">
            <v>On Target Earnings</v>
          </cell>
        </row>
        <row r="40">
          <cell r="A40" t="str">
            <v>Other Pay</v>
          </cell>
        </row>
        <row r="41">
          <cell r="A41" t="str">
            <v>PAYE</v>
          </cell>
        </row>
        <row r="42">
          <cell r="A42" t="str">
            <v>PDI</v>
          </cell>
        </row>
        <row r="43">
          <cell r="A43" t="str">
            <v>Pensionable</v>
          </cell>
        </row>
        <row r="44">
          <cell r="A44" t="str">
            <v>Pensionable (capped)</v>
          </cell>
        </row>
        <row r="45">
          <cell r="A45" t="str">
            <v>Pensionable (FTE)</v>
          </cell>
        </row>
        <row r="46">
          <cell r="A46" t="str">
            <v>Pensionable Bonus</v>
          </cell>
        </row>
        <row r="47">
          <cell r="A47" t="str">
            <v>Pensionable ExcBonus</v>
          </cell>
        </row>
        <row r="48">
          <cell r="A48" t="str">
            <v>Pensionable IncBonus</v>
          </cell>
        </row>
        <row r="49">
          <cell r="A49" t="str">
            <v>Reckonable Pay</v>
          </cell>
        </row>
        <row r="50">
          <cell r="A50" t="str">
            <v>Ref Pen Pay (no LEL)</v>
          </cell>
        </row>
        <row r="51">
          <cell r="A51" t="str">
            <v>Reference Pen Pay</v>
          </cell>
        </row>
        <row r="52">
          <cell r="A52" t="str">
            <v>Salary</v>
          </cell>
        </row>
        <row r="53">
          <cell r="A53" t="str">
            <v>Salary (PTE)</v>
          </cell>
        </row>
        <row r="54">
          <cell r="A54" t="str">
            <v>Salary Sacrifice</v>
          </cell>
        </row>
        <row r="55">
          <cell r="A55" t="str">
            <v>Uncapped Exc Bonus</v>
          </cell>
        </row>
        <row r="56">
          <cell r="A56" t="str">
            <v>Weekly Basic</v>
          </cell>
        </row>
        <row r="58">
          <cell r="A58">
            <v>0</v>
          </cell>
        </row>
      </sheetData>
      <sheetData sheetId="2">
        <row r="2">
          <cell r="A2" t="str">
            <v>2000 to 2003 Increasing Pension</v>
          </cell>
          <cell r="B2" t="str">
            <v>Pre 88 Barber GMP</v>
          </cell>
          <cell r="C2" t="str">
            <v>88 to Barber GMP</v>
          </cell>
          <cell r="D2" t="str">
            <v>2000 to 2003 Increasing Pension</v>
          </cell>
        </row>
        <row r="3">
          <cell r="A3" t="str">
            <v>2001 to 2007 Increasing Pension</v>
          </cell>
          <cell r="B3" t="str">
            <v>Pre 88 GMP</v>
          </cell>
          <cell r="C3" t="str">
            <v>Barber to Equalisation GMP</v>
          </cell>
          <cell r="D3" t="str">
            <v>2001 to 2007 Increasing Pension</v>
          </cell>
        </row>
        <row r="4">
          <cell r="A4" t="str">
            <v>2002 to 2006 Increasing Pension</v>
          </cell>
          <cell r="B4" t="str">
            <v>Pre 88 GMP at SPA</v>
          </cell>
          <cell r="C4" t="str">
            <v>Equalisation to 97 GMP</v>
          </cell>
          <cell r="D4" t="str">
            <v>2002 to 2006 Increasing Pension</v>
          </cell>
        </row>
        <row r="5">
          <cell r="A5" t="str">
            <v>2003 to 2005 Increasing Pension</v>
          </cell>
          <cell r="B5" t="str">
            <v>Pre 88 Non Barber GMP</v>
          </cell>
          <cell r="C5" t="str">
            <v>Post 88 Barber GMP</v>
          </cell>
          <cell r="D5" t="str">
            <v>2003 to 2005 Increasing Pension</v>
          </cell>
        </row>
        <row r="6">
          <cell r="A6" t="str">
            <v>2003 to 2006 Increasing Pension</v>
          </cell>
          <cell r="C6" t="str">
            <v>Post 88 GMP</v>
          </cell>
          <cell r="D6" t="str">
            <v>2003 to 2006 Increasing Pension</v>
          </cell>
        </row>
        <row r="7">
          <cell r="A7" t="str">
            <v>2003 to 2009 Increasing Pension</v>
          </cell>
          <cell r="C7" t="str">
            <v>Post 88 GMP at SPA</v>
          </cell>
          <cell r="D7" t="str">
            <v>2003 to 2009 Increasing Pension</v>
          </cell>
        </row>
        <row r="8">
          <cell r="A8" t="str">
            <v>2004 to 2005 Increasing Pension</v>
          </cell>
          <cell r="C8" t="str">
            <v>Post 88 Non Barber GMP</v>
          </cell>
          <cell r="D8" t="str">
            <v>2004 to 2005 Increasing Pension</v>
          </cell>
        </row>
        <row r="9">
          <cell r="A9" t="str">
            <v>2005 to 2006 Increasing Pension</v>
          </cell>
          <cell r="D9" t="str">
            <v>2005 to 2006 Increasing Pension</v>
          </cell>
        </row>
        <row r="10">
          <cell r="A10" t="str">
            <v>2005 to 2008 Increasing Pension</v>
          </cell>
          <cell r="D10" t="str">
            <v>2005 to 2008 Increasing Pension</v>
          </cell>
        </row>
        <row r="11">
          <cell r="A11" t="str">
            <v>2005 to 2009 Increasing Pension</v>
          </cell>
          <cell r="D11" t="str">
            <v>2005 to 2009 Increasing Pension</v>
          </cell>
        </row>
        <row r="12">
          <cell r="A12" t="str">
            <v>2006 to 2007 Increasing Pension</v>
          </cell>
          <cell r="D12" t="str">
            <v>2006 to 2007 Increasing Pension</v>
          </cell>
        </row>
        <row r="13">
          <cell r="A13" t="str">
            <v>2006 to 2008 Increasing Pension</v>
          </cell>
          <cell r="D13" t="str">
            <v>2006 to 2008 Increasing Pension</v>
          </cell>
        </row>
        <row r="14">
          <cell r="A14" t="str">
            <v>2006 to 2009 Increasing Pension</v>
          </cell>
          <cell r="D14" t="str">
            <v>2006 to 2009 Increasing Pension</v>
          </cell>
        </row>
        <row r="15">
          <cell r="A15" t="str">
            <v>2007 to 2009 Increasing Pension</v>
          </cell>
          <cell r="D15" t="str">
            <v>2007 to 2009 Increasing Pension</v>
          </cell>
        </row>
        <row r="16">
          <cell r="A16" t="str">
            <v>2008 to 2009 Increasing Pension</v>
          </cell>
          <cell r="D16" t="str">
            <v>2008 to 2009 Increasing Pension</v>
          </cell>
        </row>
        <row r="17">
          <cell r="A17" t="str">
            <v>85 to 89 Increasing Excess</v>
          </cell>
          <cell r="D17" t="str">
            <v>85 to 89 Increasing Excess</v>
          </cell>
        </row>
        <row r="18">
          <cell r="A18" t="str">
            <v>85 to 91 Increasing Excess</v>
          </cell>
          <cell r="D18" t="str">
            <v>85 to 91 Increasing Excess</v>
          </cell>
        </row>
        <row r="19">
          <cell r="A19" t="str">
            <v>85 to 97 Increasing Excess</v>
          </cell>
          <cell r="D19" t="str">
            <v>85 to 97 Increasing Excess</v>
          </cell>
        </row>
        <row r="20">
          <cell r="A20" t="str">
            <v>87 to 97 Increasing Excess</v>
          </cell>
          <cell r="D20" t="str">
            <v>87 to 97 Increasing Excess</v>
          </cell>
        </row>
        <row r="21">
          <cell r="A21" t="str">
            <v>87 to 99 Increasing Excess</v>
          </cell>
          <cell r="D21" t="str">
            <v>87 to 99 Increasing Excess</v>
          </cell>
        </row>
        <row r="22">
          <cell r="A22" t="str">
            <v>89 to 94 Increasing Excess</v>
          </cell>
          <cell r="D22" t="str">
            <v>88 to Barber GMP</v>
          </cell>
        </row>
        <row r="23">
          <cell r="A23" t="str">
            <v>90 to 94 Increasing Excess</v>
          </cell>
          <cell r="D23" t="str">
            <v>89 to 94 Increasing Excess</v>
          </cell>
        </row>
        <row r="24">
          <cell r="A24" t="str">
            <v>90 to 95 Increasing Excess</v>
          </cell>
          <cell r="D24" t="str">
            <v>90 to 94 Increasing Excess</v>
          </cell>
        </row>
        <row r="25">
          <cell r="A25" t="str">
            <v>91 to 97 Increasing Excess</v>
          </cell>
          <cell r="D25" t="str">
            <v>90 to 95 Increasing Excess</v>
          </cell>
        </row>
        <row r="26">
          <cell r="A26" t="str">
            <v>94 to 97 Increasing Excess</v>
          </cell>
          <cell r="D26" t="str">
            <v>91 to 97 Increasing Excess</v>
          </cell>
        </row>
        <row r="27">
          <cell r="A27" t="str">
            <v>95 to 97 Increasing Excess</v>
          </cell>
          <cell r="D27" t="str">
            <v>94 to 97 Increasing Excess</v>
          </cell>
        </row>
        <row r="28">
          <cell r="A28" t="str">
            <v>97 to 2000 Increasing Pension</v>
          </cell>
          <cell r="D28" t="str">
            <v>95 to 97 Increasing Excess</v>
          </cell>
        </row>
        <row r="29">
          <cell r="A29" t="str">
            <v>97 to 2001 Increasing Pension</v>
          </cell>
          <cell r="D29" t="str">
            <v>97 to 2000 Increasing Pension</v>
          </cell>
        </row>
        <row r="30">
          <cell r="A30" t="str">
            <v>97 to 2002 Increasing Pension</v>
          </cell>
          <cell r="D30" t="str">
            <v>97 to 2001 Increasing Pension</v>
          </cell>
        </row>
        <row r="31">
          <cell r="A31" t="str">
            <v>97 to 2003 Increasing Pension</v>
          </cell>
          <cell r="D31" t="str">
            <v>97 to 2002 Increasing Pension</v>
          </cell>
        </row>
        <row r="32">
          <cell r="A32" t="str">
            <v>97 to 2004 Increasing Pension</v>
          </cell>
          <cell r="D32" t="str">
            <v>97 to 2003 Increasing Pension</v>
          </cell>
        </row>
        <row r="33">
          <cell r="A33" t="str">
            <v>97 to 2005 Increasing Pension</v>
          </cell>
          <cell r="D33" t="str">
            <v>97 to 2004 Increasing Pension</v>
          </cell>
        </row>
        <row r="34">
          <cell r="A34" t="str">
            <v>97 to 2006 Increasing Pension</v>
          </cell>
          <cell r="D34" t="str">
            <v>97 to 2005 Increasing Pension</v>
          </cell>
        </row>
        <row r="35">
          <cell r="A35" t="str">
            <v>97 to 99 Increasing Pension</v>
          </cell>
          <cell r="D35" t="str">
            <v>97 to 2006 Increasing Pension</v>
          </cell>
        </row>
        <row r="36">
          <cell r="A36" t="str">
            <v>97 to Equalisation Increasing Pension</v>
          </cell>
          <cell r="D36" t="str">
            <v>97 to 99 Increasing Pension</v>
          </cell>
        </row>
        <row r="37">
          <cell r="A37" t="str">
            <v>99 to 2005 Increasing Pension</v>
          </cell>
          <cell r="D37" t="str">
            <v>97 to Equalisation Increasing Pension</v>
          </cell>
        </row>
        <row r="38">
          <cell r="A38" t="str">
            <v>Accrued Lump Sum</v>
          </cell>
          <cell r="D38" t="str">
            <v>99 to 2005 Increasing Pension</v>
          </cell>
        </row>
        <row r="39">
          <cell r="A39" t="str">
            <v>AVC Pension</v>
          </cell>
          <cell r="D39" t="str">
            <v>Accrued Lump Sum</v>
          </cell>
        </row>
        <row r="40">
          <cell r="A40" t="str">
            <v>Barber to Equalisation Increasing Excess</v>
          </cell>
          <cell r="D40" t="str">
            <v>AVC Pension</v>
          </cell>
        </row>
        <row r="41">
          <cell r="A41" t="str">
            <v>Bridging Pension</v>
          </cell>
          <cell r="D41" t="str">
            <v>Barber to Equalisation GMP</v>
          </cell>
        </row>
        <row r="42">
          <cell r="A42" t="str">
            <v>BSP Offset at DOL</v>
          </cell>
          <cell r="D42" t="str">
            <v>Barber to Equalisation Increasing Excess</v>
          </cell>
        </row>
        <row r="43">
          <cell r="A43" t="str">
            <v>EPB Amount</v>
          </cell>
          <cell r="D43" t="str">
            <v>Bridging Pension</v>
          </cell>
        </row>
        <row r="44">
          <cell r="A44" t="str">
            <v>Equalisation to 2006 Increasing Excess</v>
          </cell>
          <cell r="D44" t="str">
            <v>BSP Offset at DOL</v>
          </cell>
        </row>
        <row r="45">
          <cell r="A45" t="str">
            <v>Equalisation to 97 Increasing Excess</v>
          </cell>
          <cell r="D45" t="str">
            <v>EPB Amount</v>
          </cell>
        </row>
        <row r="46">
          <cell r="A46" t="str">
            <v>Fixed Excess</v>
          </cell>
          <cell r="D46" t="str">
            <v>Equalisation to 2006 Increasing Excess</v>
          </cell>
        </row>
        <row r="47">
          <cell r="A47" t="str">
            <v>Fixed Uplift at DOL</v>
          </cell>
          <cell r="D47" t="str">
            <v>Equalisation to 97 GMP</v>
          </cell>
        </row>
        <row r="48">
          <cell r="A48" t="str">
            <v>Post 2000 Increasing Pension</v>
          </cell>
          <cell r="D48" t="str">
            <v>Equalisation to 97 Increasing Excess</v>
          </cell>
        </row>
        <row r="49">
          <cell r="A49" t="str">
            <v>Post 2001 Increasing Pension</v>
          </cell>
          <cell r="D49" t="str">
            <v>Fixed Excess</v>
          </cell>
        </row>
        <row r="50">
          <cell r="A50" t="str">
            <v>Post 2002 Increasing Pension</v>
          </cell>
          <cell r="D50" t="str">
            <v>Fixed Uplift at DOL</v>
          </cell>
        </row>
        <row r="51">
          <cell r="A51" t="str">
            <v>Post 2004 Increasing Pension</v>
          </cell>
          <cell r="D51" t="str">
            <v>Post 2000 Increasing Pension</v>
          </cell>
        </row>
        <row r="52">
          <cell r="A52" t="str">
            <v>Post 2005 Increasing Pension</v>
          </cell>
          <cell r="D52" t="str">
            <v>Post 2001 Increasing Pension</v>
          </cell>
        </row>
        <row r="53">
          <cell r="A53" t="str">
            <v>Post 2006 CARE Increasing Pension</v>
          </cell>
          <cell r="D53" t="str">
            <v>Post 2002 Increasing Pension</v>
          </cell>
        </row>
        <row r="54">
          <cell r="A54" t="str">
            <v>Post 2006 FS Increasing Pension</v>
          </cell>
          <cell r="D54" t="str">
            <v>Post 2004 Increasing Pension</v>
          </cell>
        </row>
        <row r="55">
          <cell r="A55" t="str">
            <v>Post 2006 Increasing Pension</v>
          </cell>
          <cell r="D55" t="str">
            <v>Post 2005 Increasing Pension</v>
          </cell>
        </row>
        <row r="56">
          <cell r="A56" t="str">
            <v>Post 2007 Increasing Pension</v>
          </cell>
          <cell r="D56" t="str">
            <v>Post 2006 CARE Increasing Pension</v>
          </cell>
        </row>
        <row r="57">
          <cell r="A57" t="str">
            <v>Post 2008 Increasing Pension</v>
          </cell>
          <cell r="D57" t="str">
            <v>Post 2006 FS Increasing Pension</v>
          </cell>
        </row>
        <row r="58">
          <cell r="A58" t="str">
            <v>Post 2009 CARE Increasing Pension</v>
          </cell>
          <cell r="D58" t="str">
            <v>Post 2006 Increasing Pension</v>
          </cell>
        </row>
        <row r="59">
          <cell r="A59" t="str">
            <v>Post 2009 Increasing Pension</v>
          </cell>
          <cell r="D59" t="str">
            <v>Post 2007 Increasing Pension</v>
          </cell>
        </row>
        <row r="60">
          <cell r="A60" t="str">
            <v>Post 78 Fixed Excess</v>
          </cell>
          <cell r="D60" t="str">
            <v>Post 2008 Increasing Pension</v>
          </cell>
        </row>
        <row r="61">
          <cell r="A61" t="str">
            <v>Post 85 Excess</v>
          </cell>
          <cell r="D61" t="str">
            <v>Post 2009 CARE Increasing Pension</v>
          </cell>
        </row>
        <row r="62">
          <cell r="A62" t="str">
            <v>Post 97 Increasing Pension</v>
          </cell>
          <cell r="D62" t="str">
            <v>Post 2009 Increasing Pension</v>
          </cell>
        </row>
        <row r="63">
          <cell r="A63" t="str">
            <v>Post 97 Non Barber Increasing Pension</v>
          </cell>
          <cell r="D63" t="str">
            <v>Post 78 Fixed Excess</v>
          </cell>
        </row>
        <row r="64">
          <cell r="A64" t="str">
            <v>Post 97 State Pension Deductions</v>
          </cell>
          <cell r="D64" t="str">
            <v>Post 85 Excess</v>
          </cell>
        </row>
        <row r="65">
          <cell r="A65" t="str">
            <v>Post 97 Value for Money</v>
          </cell>
          <cell r="D65" t="str">
            <v>Post 88 Barber GMP</v>
          </cell>
        </row>
        <row r="66">
          <cell r="A66" t="str">
            <v>Post 98 Increasing Pension</v>
          </cell>
          <cell r="D66" t="str">
            <v>Post 88 GMP</v>
          </cell>
        </row>
        <row r="67">
          <cell r="A67" t="str">
            <v>Post 99 Increasing Pension</v>
          </cell>
          <cell r="D67" t="str">
            <v>Post 88 GMP at SPA</v>
          </cell>
        </row>
        <row r="68">
          <cell r="A68" t="str">
            <v>Pre 78 Fixed Excess</v>
          </cell>
          <cell r="D68" t="str">
            <v>Post 88 Non Barber GMP</v>
          </cell>
        </row>
        <row r="69">
          <cell r="A69" t="str">
            <v>Pre 78 Increasing Pension</v>
          </cell>
          <cell r="B69">
            <v>0</v>
          </cell>
          <cell r="D69" t="str">
            <v>Post 97 Increasing Pension</v>
          </cell>
        </row>
        <row r="70">
          <cell r="A70" t="str">
            <v>Pre 82 Increasing Excess</v>
          </cell>
          <cell r="D70" t="str">
            <v>Post 97 Non Barber Increasing Pension</v>
          </cell>
        </row>
        <row r="71">
          <cell r="A71" t="str">
            <v>Pre 85 Excess</v>
          </cell>
          <cell r="D71" t="str">
            <v>Post 97 State Pension Deductions</v>
          </cell>
        </row>
        <row r="72">
          <cell r="A72" t="str">
            <v>Pre 85 Fixed Excess</v>
          </cell>
          <cell r="D72" t="str">
            <v>Post 97 Value for Money</v>
          </cell>
        </row>
        <row r="73">
          <cell r="A73" t="str">
            <v>Pre 85 Non increasing Excess</v>
          </cell>
          <cell r="D73" t="str">
            <v>Post 98 Increasing Pension</v>
          </cell>
        </row>
        <row r="74">
          <cell r="A74" t="str">
            <v>Pre 87 Increasing Excess</v>
          </cell>
          <cell r="D74" t="str">
            <v>Post 99 Increasing Pension</v>
          </cell>
        </row>
        <row r="75">
          <cell r="A75" t="str">
            <v>Pre 90 Increasing Excess</v>
          </cell>
          <cell r="D75" t="str">
            <v>Pre 78 Fixed Excess</v>
          </cell>
        </row>
        <row r="76">
          <cell r="A76" t="str">
            <v>Pre 90 Non Barber Excess</v>
          </cell>
          <cell r="D76" t="str">
            <v>Pre 78 Increasing Pension</v>
          </cell>
        </row>
        <row r="77">
          <cell r="A77" t="str">
            <v>Pre 91 Increasing Excess</v>
          </cell>
          <cell r="D77" t="str">
            <v>Pre 82 Increasing Excess</v>
          </cell>
        </row>
        <row r="78">
          <cell r="A78" t="str">
            <v>Pre 92 Increasing Excess</v>
          </cell>
          <cell r="D78" t="str">
            <v>Pre 85 Excess</v>
          </cell>
        </row>
        <row r="79">
          <cell r="A79" t="str">
            <v>Pre 97 Barber Increasing Excess</v>
          </cell>
          <cell r="D79" t="str">
            <v>Pre 85 Fixed Excess</v>
          </cell>
        </row>
        <row r="80">
          <cell r="A80" t="str">
            <v>Pre 97 Increasing Excess</v>
          </cell>
          <cell r="D80" t="str">
            <v>Pre 85 Non increasing Excess</v>
          </cell>
        </row>
        <row r="81">
          <cell r="A81" t="str">
            <v>Pre 97 Non Barber Increasing Excess</v>
          </cell>
          <cell r="D81" t="str">
            <v>Pre 87 Increasing Excess</v>
          </cell>
        </row>
        <row r="82">
          <cell r="A82" t="str">
            <v>Pre 97 State Pension Deductions</v>
          </cell>
          <cell r="D82" t="str">
            <v>Pre 88 Barber GMP</v>
          </cell>
        </row>
        <row r="83">
          <cell r="A83" t="str">
            <v>Pre Barber Increasing Excess</v>
          </cell>
          <cell r="D83" t="str">
            <v>Pre 88 GMP</v>
          </cell>
        </row>
        <row r="84">
          <cell r="A84" t="str">
            <v>State Pension Deductions</v>
          </cell>
          <cell r="D84" t="str">
            <v>Pre 88 GMP at SPA</v>
          </cell>
        </row>
        <row r="85">
          <cell r="A85" t="str">
            <v>Step Up at SPA</v>
          </cell>
          <cell r="D85" t="str">
            <v>Pre 88 Non Barber GMP</v>
          </cell>
        </row>
        <row r="86">
          <cell r="A86" t="str">
            <v>Transferred in PUP</v>
          </cell>
          <cell r="D86" t="str">
            <v>Pre 90 Increasing Excess</v>
          </cell>
        </row>
        <row r="87">
          <cell r="A87" t="str">
            <v>Transferred-in 97 to 2005 Increasing Pension</v>
          </cell>
          <cell r="D87" t="str">
            <v>Pre 90 Non Barber Excess</v>
          </cell>
        </row>
        <row r="88">
          <cell r="A88" t="str">
            <v>Transferred-in Added Service</v>
          </cell>
          <cell r="D88" t="str">
            <v>Pre 91 Increasing Excess</v>
          </cell>
        </row>
        <row r="89">
          <cell r="A89" t="str">
            <v>Transferred-in Added Service Post 2006</v>
          </cell>
          <cell r="D89" t="str">
            <v>Pre 92 Increasing Excess</v>
          </cell>
        </row>
        <row r="90">
          <cell r="A90" t="str">
            <v>Transferred-in Added Service Post 97</v>
          </cell>
          <cell r="D90" t="str">
            <v>Pre 97 Barber Increasing Excess</v>
          </cell>
        </row>
        <row r="91">
          <cell r="A91" t="str">
            <v>Transferred-in Added Service Pre 97</v>
          </cell>
          <cell r="D91" t="str">
            <v>Pre 97 Increasing Excess</v>
          </cell>
        </row>
        <row r="92">
          <cell r="A92" t="str">
            <v>Transferred-in Fixed Excess</v>
          </cell>
          <cell r="D92" t="str">
            <v>Pre 97 Non Barber Increasing Excess</v>
          </cell>
        </row>
        <row r="93">
          <cell r="A93" t="str">
            <v>Transferred-in Fixed Pension</v>
          </cell>
          <cell r="D93" t="str">
            <v>Pre 97 State Pension Deductions</v>
          </cell>
        </row>
        <row r="94">
          <cell r="A94" t="str">
            <v>Transferred-in Fixed Pension at NRD</v>
          </cell>
          <cell r="D94" t="str">
            <v>Pre Barber Increasing Excess</v>
          </cell>
        </row>
        <row r="95">
          <cell r="A95" t="str">
            <v>Transferred-in Increasing Pension</v>
          </cell>
          <cell r="D95" t="str">
            <v>State Pension Deductions</v>
          </cell>
        </row>
        <row r="96">
          <cell r="A96" t="str">
            <v>Transferred-in Increasing Pension at NRD</v>
          </cell>
          <cell r="D96" t="str">
            <v>Step Up at SPA</v>
          </cell>
        </row>
        <row r="97">
          <cell r="A97" t="str">
            <v>Transferred-in Post 2005 Increasing Pension</v>
          </cell>
          <cell r="D97" t="str">
            <v>Transferred in PUP</v>
          </cell>
        </row>
        <row r="98">
          <cell r="A98" t="str">
            <v>Transferred-in Post 97 Fixed Pension</v>
          </cell>
          <cell r="D98" t="str">
            <v>Transferred-in 97 to 2005 Increasing Pension</v>
          </cell>
        </row>
        <row r="99">
          <cell r="A99" t="str">
            <v>Transferred-in Post 97 Increasing Pension</v>
          </cell>
          <cell r="D99" t="str">
            <v>Transferred-in Added Service</v>
          </cell>
        </row>
        <row r="100">
          <cell r="A100" t="str">
            <v>Transferred-in Pre 97 Fixed Excess</v>
          </cell>
          <cell r="D100" t="str">
            <v>Transferred-in Added Service Post 2006</v>
          </cell>
        </row>
        <row r="101">
          <cell r="A101" t="str">
            <v>Transferred-in Pre 97 Increasing Excess</v>
          </cell>
          <cell r="D101" t="str">
            <v>Transferred-in Added Service Post 97</v>
          </cell>
        </row>
        <row r="102">
          <cell r="A102" t="str">
            <v>Value for Money</v>
          </cell>
          <cell r="D102" t="str">
            <v>Transferred-in Added Service Pre 97</v>
          </cell>
        </row>
        <row r="103">
          <cell r="A103">
            <v>0</v>
          </cell>
          <cell r="D103" t="str">
            <v>Transferred-in Fixed Excess</v>
          </cell>
        </row>
        <row r="104">
          <cell r="D104" t="str">
            <v>Transferred-in Fixed Pension</v>
          </cell>
        </row>
        <row r="105">
          <cell r="D105" t="str">
            <v>Transferred-in Fixed Pension at NRD</v>
          </cell>
        </row>
        <row r="106">
          <cell r="D106" t="str">
            <v>Transferred-in Increasing Pension</v>
          </cell>
        </row>
        <row r="107">
          <cell r="D107" t="str">
            <v>Transferred-in Increasing Pension at NRD</v>
          </cell>
        </row>
        <row r="108">
          <cell r="D108" t="str">
            <v>Transferred-in Post 2005 Increasing Pension</v>
          </cell>
        </row>
        <row r="109">
          <cell r="D109" t="str">
            <v>Transferred-in Post 97 Fixed Pension</v>
          </cell>
        </row>
        <row r="110">
          <cell r="D110" t="str">
            <v>Transferred-in Post 97 Increasing Pension</v>
          </cell>
        </row>
        <row r="111">
          <cell r="D111" t="str">
            <v>Transferred-in Pre 97 Fixed Excess</v>
          </cell>
        </row>
        <row r="112">
          <cell r="D112" t="str">
            <v>Transferred-in Pre 97 Increasing Excess</v>
          </cell>
        </row>
        <row r="113">
          <cell r="D113">
            <v>0</v>
          </cell>
        </row>
      </sheetData>
      <sheetData sheetId="3">
        <row r="2">
          <cell r="A2" t="str">
            <v>2001 to 2007 Pension</v>
          </cell>
          <cell r="B2" t="str">
            <v>Notional Pre 88 GMP</v>
          </cell>
          <cell r="C2" t="str">
            <v>Notional Post 88 GMP</v>
          </cell>
          <cell r="D2" t="str">
            <v>2001 to 2007 Pension</v>
          </cell>
        </row>
        <row r="3">
          <cell r="A3" t="str">
            <v>2003 to 2005 Pension</v>
          </cell>
          <cell r="B3" t="str">
            <v>Pre 88 GMP</v>
          </cell>
          <cell r="C3" t="str">
            <v>Post 88 GMP</v>
          </cell>
          <cell r="D3" t="str">
            <v>2003 to 2005 Pension</v>
          </cell>
        </row>
        <row r="4">
          <cell r="A4" t="str">
            <v>2005 to 2006 Pension</v>
          </cell>
          <cell r="B4" t="str">
            <v>Pre 88 GMP at SPA</v>
          </cell>
          <cell r="C4" t="str">
            <v>Post 88 GMP at SPA</v>
          </cell>
          <cell r="D4" t="str">
            <v>2005 to 2006 Pension</v>
          </cell>
        </row>
        <row r="5">
          <cell r="A5" t="str">
            <v>2005 to 2009 Pension</v>
          </cell>
          <cell r="B5" t="str">
            <v xml:space="preserve"> </v>
          </cell>
          <cell r="D5" t="str">
            <v>2005 to 2009 Pension</v>
          </cell>
        </row>
        <row r="6">
          <cell r="A6" t="str">
            <v>2005 to 2011 Pension</v>
          </cell>
          <cell r="D6" t="str">
            <v>2005 to 2011 Pension</v>
          </cell>
        </row>
        <row r="7">
          <cell r="A7" t="str">
            <v>2006 to 2007 Pension</v>
          </cell>
          <cell r="B7" t="str">
            <v xml:space="preserve"> </v>
          </cell>
          <cell r="D7" t="str">
            <v>2006 to 2007 Pension</v>
          </cell>
        </row>
        <row r="8">
          <cell r="A8" t="str">
            <v>2006 to 2008 Pension</v>
          </cell>
          <cell r="D8" t="str">
            <v>2006 to 2008 Pension</v>
          </cell>
        </row>
        <row r="9">
          <cell r="A9" t="str">
            <v>2006 to 2009 Pension</v>
          </cell>
          <cell r="D9" t="str">
            <v>2006 to 2009 Pension</v>
          </cell>
        </row>
        <row r="10">
          <cell r="A10" t="str">
            <v>85 to 92 Excess</v>
          </cell>
          <cell r="D10" t="str">
            <v>85 to 92 Excess</v>
          </cell>
        </row>
        <row r="11">
          <cell r="A11" t="str">
            <v>85 to 97 Excess</v>
          </cell>
          <cell r="D11" t="str">
            <v>85 to 97 Excess</v>
          </cell>
        </row>
        <row r="12">
          <cell r="A12" t="str">
            <v>90 to 97 Excess</v>
          </cell>
          <cell r="D12" t="str">
            <v>90 to 97 Excess</v>
          </cell>
        </row>
        <row r="13">
          <cell r="A13" t="str">
            <v>92 to 97 Excess</v>
          </cell>
          <cell r="D13" t="str">
            <v>92 to 97 Excess</v>
          </cell>
        </row>
        <row r="14">
          <cell r="A14" t="str">
            <v>94 to 97 Excess</v>
          </cell>
          <cell r="D14" t="str">
            <v>94 to 97 Excess</v>
          </cell>
        </row>
        <row r="15">
          <cell r="A15" t="str">
            <v>96 to 97 Excess</v>
          </cell>
          <cell r="D15" t="str">
            <v>96 to 97 Excess</v>
          </cell>
        </row>
        <row r="16">
          <cell r="A16" t="str">
            <v>97 to 2000 Pension</v>
          </cell>
          <cell r="D16" t="str">
            <v>97 to 2000 Pension</v>
          </cell>
        </row>
        <row r="17">
          <cell r="A17" t="str">
            <v>97 to 2001 Pension</v>
          </cell>
          <cell r="D17" t="str">
            <v>97 to 2001 Pension</v>
          </cell>
        </row>
        <row r="18">
          <cell r="A18" t="str">
            <v>97 to 2002 Pension</v>
          </cell>
          <cell r="D18" t="str">
            <v>97 to 2002 Pension</v>
          </cell>
        </row>
        <row r="19">
          <cell r="A19" t="str">
            <v>97 to 2003 Pension</v>
          </cell>
          <cell r="D19" t="str">
            <v>97 to 2003 Pension</v>
          </cell>
        </row>
        <row r="20">
          <cell r="A20" t="str">
            <v>97 to 2004 Pension</v>
          </cell>
          <cell r="D20" t="str">
            <v>97 to 2004 Pension</v>
          </cell>
        </row>
        <row r="21">
          <cell r="A21" t="str">
            <v>97 to 2005 Pension</v>
          </cell>
          <cell r="D21" t="str">
            <v>97 to 2005 Pension</v>
          </cell>
        </row>
        <row r="22">
          <cell r="A22" t="str">
            <v>97 to 2006 Pension</v>
          </cell>
          <cell r="D22" t="str">
            <v>97 to 2006 Pension</v>
          </cell>
        </row>
        <row r="23">
          <cell r="A23" t="str">
            <v>97 to 2007 Pension</v>
          </cell>
          <cell r="D23" t="str">
            <v>97 to 2007 Pension</v>
          </cell>
        </row>
        <row r="24">
          <cell r="A24" t="str">
            <v>97 to 99 Pension</v>
          </cell>
          <cell r="D24" t="str">
            <v>97 to 99 Pension</v>
          </cell>
        </row>
        <row r="25">
          <cell r="A25" t="str">
            <v>Annuity Elsewhere</v>
          </cell>
          <cell r="D25" t="str">
            <v>Annuity Elsewhere</v>
          </cell>
        </row>
        <row r="26">
          <cell r="A26" t="str">
            <v>AVC Pension</v>
          </cell>
          <cell r="D26" t="str">
            <v>AVC Pension</v>
          </cell>
        </row>
        <row r="27">
          <cell r="A27" t="str">
            <v>Bridging Pension</v>
          </cell>
          <cell r="D27" t="str">
            <v>Bridging Pension</v>
          </cell>
        </row>
        <row r="28">
          <cell r="A28" t="str">
            <v>DC Pension</v>
          </cell>
          <cell r="D28" t="str">
            <v>DC Pension</v>
          </cell>
        </row>
        <row r="29">
          <cell r="A29" t="str">
            <v>EPB Amount</v>
          </cell>
          <cell r="D29" t="str">
            <v>EPB Amount</v>
          </cell>
        </row>
        <row r="30">
          <cell r="A30" t="str">
            <v>Equalisation Addition</v>
          </cell>
          <cell r="D30" t="str">
            <v>Equalisation Addition</v>
          </cell>
        </row>
        <row r="31">
          <cell r="A31" t="str">
            <v>Fixed Excess</v>
          </cell>
          <cell r="D31" t="str">
            <v>Fixed Excess</v>
          </cell>
        </row>
        <row r="32">
          <cell r="A32" t="str">
            <v>Insured Pension</v>
          </cell>
          <cell r="D32" t="str">
            <v>Insured Pension</v>
          </cell>
        </row>
        <row r="33">
          <cell r="A33" t="str">
            <v>Non Increasing Pension</v>
          </cell>
          <cell r="D33" t="str">
            <v>Non Increasing Pension</v>
          </cell>
        </row>
        <row r="34">
          <cell r="A34" t="str">
            <v>Notional AVC pension</v>
          </cell>
          <cell r="D34" t="str">
            <v>Notional AVC pension</v>
          </cell>
        </row>
        <row r="35">
          <cell r="A35" t="str">
            <v>Notional Excess</v>
          </cell>
          <cell r="D35" t="str">
            <v>Notional Excess</v>
          </cell>
        </row>
        <row r="36">
          <cell r="A36" t="str">
            <v>Post 2000 Pension</v>
          </cell>
          <cell r="D36" t="str">
            <v>Notional Post 88 GMP</v>
          </cell>
        </row>
        <row r="37">
          <cell r="A37" t="str">
            <v>Post 2001 Pension</v>
          </cell>
          <cell r="D37" t="str">
            <v>Notional Pre 88 GMP</v>
          </cell>
        </row>
        <row r="38">
          <cell r="A38" t="str">
            <v>Post 2002 Pension</v>
          </cell>
          <cell r="D38" t="str">
            <v>Post 2000 Pension</v>
          </cell>
        </row>
        <row r="39">
          <cell r="A39" t="str">
            <v>Post 2003 Pension</v>
          </cell>
          <cell r="D39" t="str">
            <v>Post 2001 Pension</v>
          </cell>
        </row>
        <row r="40">
          <cell r="A40" t="str">
            <v>Post 2004 Pension</v>
          </cell>
          <cell r="D40" t="str">
            <v>Post 2002 Pension</v>
          </cell>
        </row>
        <row r="41">
          <cell r="A41" t="str">
            <v>Post 2005 Pension</v>
          </cell>
          <cell r="D41" t="str">
            <v>Post 2003 Pension</v>
          </cell>
        </row>
        <row r="42">
          <cell r="A42" t="str">
            <v>Post 2006 Pension</v>
          </cell>
          <cell r="D42" t="str">
            <v>Post 2004 Pension</v>
          </cell>
        </row>
        <row r="43">
          <cell r="A43" t="str">
            <v>Post 2007 Pension</v>
          </cell>
          <cell r="D43" t="str">
            <v>Post 2005 Pension</v>
          </cell>
        </row>
        <row r="44">
          <cell r="A44" t="str">
            <v>Post 2008 Pension</v>
          </cell>
          <cell r="D44" t="str">
            <v>Post 2006 Pension</v>
          </cell>
        </row>
        <row r="45">
          <cell r="A45" t="str">
            <v>Post 2009 Pension</v>
          </cell>
          <cell r="D45" t="str">
            <v>Post 2007 Pension</v>
          </cell>
        </row>
        <row r="46">
          <cell r="A46" t="str">
            <v>Post 97 Pension</v>
          </cell>
          <cell r="D46" t="str">
            <v>Post 2008 Pension</v>
          </cell>
        </row>
        <row r="47">
          <cell r="A47" t="str">
            <v>Post 97 Transfer-in Pension</v>
          </cell>
          <cell r="D47" t="str">
            <v>Post 2009 Pension</v>
          </cell>
        </row>
        <row r="48">
          <cell r="A48" t="str">
            <v>Post 98 Pension</v>
          </cell>
          <cell r="D48" t="str">
            <v>Post 2011 Pension</v>
          </cell>
        </row>
        <row r="49">
          <cell r="A49" t="str">
            <v>Pre 2000 Pension</v>
          </cell>
          <cell r="D49" t="str">
            <v>Post 88 GMP</v>
          </cell>
        </row>
        <row r="50">
          <cell r="A50" t="str">
            <v>Pre 2005 Pension</v>
          </cell>
          <cell r="D50" t="str">
            <v>Post 88 GMP at SPA</v>
          </cell>
        </row>
        <row r="51">
          <cell r="A51" t="str">
            <v>Pre 2006 Pension</v>
          </cell>
          <cell r="D51" t="str">
            <v>Post 97 Pension</v>
          </cell>
        </row>
        <row r="52">
          <cell r="A52" t="str">
            <v>Pre 2008 Pension</v>
          </cell>
          <cell r="D52" t="str">
            <v>Post 97 Transfer-in Pension</v>
          </cell>
        </row>
        <row r="53">
          <cell r="A53" t="str">
            <v>Post 2011 Pension</v>
          </cell>
          <cell r="D53" t="str">
            <v>Post 98 Pension</v>
          </cell>
        </row>
        <row r="54">
          <cell r="A54" t="str">
            <v>Pre 89 Excess</v>
          </cell>
          <cell r="D54" t="str">
            <v>Pre 2000 Pension</v>
          </cell>
        </row>
        <row r="55">
          <cell r="A55" t="str">
            <v>Pre 90 Excess</v>
          </cell>
          <cell r="D55" t="str">
            <v>Pre 2005 Pension</v>
          </cell>
        </row>
        <row r="56">
          <cell r="A56" t="str">
            <v>Pre 91 Excess</v>
          </cell>
          <cell r="D56" t="str">
            <v>Pre 2006 Pension</v>
          </cell>
        </row>
        <row r="57">
          <cell r="A57" t="str">
            <v>Pre 92 Excess</v>
          </cell>
          <cell r="D57" t="str">
            <v>Pre 2008 Pension</v>
          </cell>
        </row>
        <row r="58">
          <cell r="A58" t="str">
            <v>Pre 94 Excess</v>
          </cell>
          <cell r="D58" t="str">
            <v>Pre 88 GMP</v>
          </cell>
        </row>
        <row r="59">
          <cell r="A59" t="str">
            <v>Pre 96 Excess</v>
          </cell>
          <cell r="D59" t="str">
            <v>Pre 88 GMP at SPA</v>
          </cell>
        </row>
        <row r="60">
          <cell r="A60" t="str">
            <v>Pre 97 Escalating Excess</v>
          </cell>
          <cell r="D60" t="str">
            <v>Pre 89 Excess</v>
          </cell>
        </row>
        <row r="61">
          <cell r="A61" t="str">
            <v>Pre 97 Escalating Excess 1</v>
          </cell>
          <cell r="D61" t="str">
            <v>Pre 90 Excess</v>
          </cell>
        </row>
        <row r="62">
          <cell r="A62" t="str">
            <v>Pre 97 Escalating Excess 2</v>
          </cell>
          <cell r="D62" t="str">
            <v>Pre 91 Excess</v>
          </cell>
        </row>
        <row r="63">
          <cell r="A63" t="str">
            <v>Pre 97 Escalating Excess 3</v>
          </cell>
          <cell r="D63" t="str">
            <v>Pre 92 Excess</v>
          </cell>
        </row>
        <row r="64">
          <cell r="A64" t="str">
            <v>Pre 97 Escalating Excess 4</v>
          </cell>
          <cell r="D64" t="str">
            <v>Pre 94 Excess</v>
          </cell>
        </row>
        <row r="65">
          <cell r="A65" t="str">
            <v>Pre 97 Escalating Excess 5</v>
          </cell>
          <cell r="D65" t="str">
            <v>Pre 96 Excess</v>
          </cell>
        </row>
        <row r="66">
          <cell r="A66" t="str">
            <v>Pre 97 Escalating Excess 6</v>
          </cell>
          <cell r="D66" t="str">
            <v>Pre 97 Escalating Excess</v>
          </cell>
        </row>
        <row r="67">
          <cell r="A67" t="str">
            <v>Pre 97 Escalating Excess 7</v>
          </cell>
          <cell r="D67" t="str">
            <v>Pre 97 Escalating Excess 1</v>
          </cell>
        </row>
        <row r="68">
          <cell r="A68" t="str">
            <v>Pre 97 Escalating Excess 8</v>
          </cell>
          <cell r="D68" t="str">
            <v>Pre 97 Escalating Excess 2</v>
          </cell>
        </row>
        <row r="69">
          <cell r="A69" t="str">
            <v>Pre 97 Escalating Excess 9</v>
          </cell>
          <cell r="D69" t="str">
            <v>Pre 97 Escalating Excess 3</v>
          </cell>
        </row>
        <row r="70">
          <cell r="A70" t="str">
            <v>Pre 97 Non Escalating Excess</v>
          </cell>
          <cell r="D70" t="str">
            <v>Pre 97 Escalating Excess 4</v>
          </cell>
        </row>
        <row r="71">
          <cell r="A71" t="str">
            <v>Pre 97 Transfer-in Pension</v>
          </cell>
          <cell r="D71" t="str">
            <v>Pre 97 Escalating Excess 5</v>
          </cell>
        </row>
        <row r="72">
          <cell r="A72" t="str">
            <v>Pre 98 Pension</v>
          </cell>
          <cell r="D72" t="str">
            <v>Pre 97 Escalating Excess 6</v>
          </cell>
        </row>
        <row r="73">
          <cell r="A73" t="str">
            <v>Special Escalating Pension</v>
          </cell>
          <cell r="D73" t="str">
            <v>Pre 97 Escalating Excess 7</v>
          </cell>
        </row>
        <row r="74">
          <cell r="A74" t="str">
            <v>Special Non-Escalating Pension</v>
          </cell>
          <cell r="D74" t="str">
            <v>Pre 97 Escalating Excess 8</v>
          </cell>
        </row>
        <row r="75">
          <cell r="A75" t="str">
            <v>State Pension Deductions</v>
          </cell>
          <cell r="D75" t="str">
            <v>Pre 97 Escalating Excess 9</v>
          </cell>
        </row>
        <row r="76">
          <cell r="A76" t="str">
            <v>Step Up at SPA</v>
          </cell>
          <cell r="D76" t="str">
            <v>Pre 97 Non Escalating Excess</v>
          </cell>
        </row>
        <row r="77">
          <cell r="A77" t="str">
            <v>Total Excess</v>
          </cell>
          <cell r="D77" t="str">
            <v>Pre 97 Transfer-in Pension</v>
          </cell>
        </row>
        <row r="78">
          <cell r="A78" t="str">
            <v>Total Pension</v>
          </cell>
          <cell r="D78" t="str">
            <v>Pre 98 Pension</v>
          </cell>
        </row>
        <row r="79">
          <cell r="A79" t="str">
            <v>Transfer in Pension</v>
          </cell>
          <cell r="D79" t="str">
            <v>Special Escalating Pension</v>
          </cell>
        </row>
        <row r="80">
          <cell r="A80" t="str">
            <v>Trivial Commutation</v>
          </cell>
          <cell r="D80" t="str">
            <v>Special Non-Escalating Pension</v>
          </cell>
        </row>
        <row r="81">
          <cell r="A81" t="str">
            <v>Unknown</v>
          </cell>
          <cell r="D81" t="str">
            <v>State Pension Deductions</v>
          </cell>
        </row>
        <row r="82">
          <cell r="D82" t="str">
            <v>Step Up at SPA</v>
          </cell>
        </row>
        <row r="83">
          <cell r="D83" t="str">
            <v>Total Excess</v>
          </cell>
        </row>
        <row r="84">
          <cell r="D84" t="str">
            <v>Total Pension</v>
          </cell>
        </row>
        <row r="85">
          <cell r="D85" t="str">
            <v>Transfer in Pension</v>
          </cell>
        </row>
        <row r="86">
          <cell r="D86" t="str">
            <v>Trivial Commutation</v>
          </cell>
        </row>
        <row r="87">
          <cell r="D87" t="str">
            <v>Unknown</v>
          </cell>
        </row>
      </sheetData>
      <sheetData sheetId="4">
        <row r="2">
          <cell r="A2">
            <v>0</v>
          </cell>
        </row>
        <row r="3">
          <cell r="A3">
            <v>0</v>
          </cell>
        </row>
        <row r="4">
          <cell r="A4" t="str">
            <v>0% - Info</v>
          </cell>
        </row>
        <row r="5">
          <cell r="A5" t="str">
            <v>0% (Discret before 1 July 2008)</v>
          </cell>
        </row>
        <row r="6">
          <cell r="A6" t="str">
            <v>0% increase</v>
          </cell>
        </row>
        <row r="7">
          <cell r="A7" t="str">
            <v>0.4 * LPI</v>
          </cell>
        </row>
        <row r="8">
          <cell r="A8" t="str">
            <v>0.5 * LPI</v>
          </cell>
        </row>
        <row r="9">
          <cell r="A9">
            <v>2.5000000000000001E-2</v>
          </cell>
        </row>
        <row r="10">
          <cell r="A10" t="str">
            <v>2.5% fixed</v>
          </cell>
        </row>
        <row r="11">
          <cell r="A11">
            <v>0.03</v>
          </cell>
        </row>
        <row r="12">
          <cell r="A12" t="str">
            <v>3% + (0.4 * (LPI - 3%))</v>
          </cell>
        </row>
        <row r="13">
          <cell r="A13" t="str">
            <v>3% + (0.4 * (LPI - 3%)) (GMP)</v>
          </cell>
        </row>
        <row r="14">
          <cell r="A14" t="str">
            <v>3% + (0.5 * (LPI - 3%))</v>
          </cell>
        </row>
        <row r="15">
          <cell r="A15" t="str">
            <v>3% + (0.5 * (LPI - 3%)) (GMP)</v>
          </cell>
        </row>
        <row r="16">
          <cell r="A16" t="str">
            <v>3% fixed</v>
          </cell>
        </row>
        <row r="17">
          <cell r="A17" t="str">
            <v>3% per annum</v>
          </cell>
        </row>
        <row r="18">
          <cell r="A18">
            <v>0.04</v>
          </cell>
        </row>
        <row r="19">
          <cell r="A19" t="str">
            <v>4% 3%MIN 8%MAX</v>
          </cell>
        </row>
        <row r="20">
          <cell r="A20">
            <v>0.05</v>
          </cell>
        </row>
        <row r="21">
          <cell r="A21" t="str">
            <v>5% Fixed</v>
          </cell>
        </row>
        <row r="22">
          <cell r="A22" t="str">
            <v>Category D - Ayres</v>
          </cell>
        </row>
        <row r="23">
          <cell r="A23" t="str">
            <v>Category D - De Garis</v>
          </cell>
        </row>
        <row r="24">
          <cell r="A24" t="str">
            <v>Category D - Hansford</v>
          </cell>
        </row>
        <row r="25">
          <cell r="A25" t="str">
            <v>Category D - Paver</v>
          </cell>
        </row>
        <row r="26">
          <cell r="A26" t="str">
            <v>Category D - Tanguy</v>
          </cell>
        </row>
        <row r="27">
          <cell r="A27" t="str">
            <v>Category S - Champion</v>
          </cell>
        </row>
        <row r="28">
          <cell r="A28" t="str">
            <v>Category S - Corlett</v>
          </cell>
        </row>
        <row r="29">
          <cell r="A29" t="str">
            <v>Category S - Coutanche</v>
          </cell>
        </row>
        <row r="30">
          <cell r="A30" t="str">
            <v>Category S - Goulder</v>
          </cell>
        </row>
        <row r="31">
          <cell r="A31" t="str">
            <v>Category S - Le Cras</v>
          </cell>
        </row>
        <row r="32">
          <cell r="A32" t="str">
            <v>Category S - May</v>
          </cell>
        </row>
        <row r="33">
          <cell r="A33" t="str">
            <v>Category S - Mollet</v>
          </cell>
        </row>
        <row r="34">
          <cell r="A34" t="str">
            <v>Category S - Ozanne</v>
          </cell>
        </row>
        <row r="35">
          <cell r="A35" t="str">
            <v>Category S - Parker</v>
          </cell>
        </row>
        <row r="36">
          <cell r="A36" t="str">
            <v>Category S - Turner</v>
          </cell>
        </row>
        <row r="37">
          <cell r="A37" t="str">
            <v>CPI</v>
          </cell>
        </row>
        <row r="38">
          <cell r="A38" t="str">
            <v>CPI 3%-5% (was RPI 3%-5%)</v>
          </cell>
        </row>
        <row r="39">
          <cell r="A39" t="str">
            <v>CPI max 2.5%</v>
          </cell>
        </row>
        <row r="40">
          <cell r="A40" t="str">
            <v>CPI max 2.5% ( was RPI max 2.5%)</v>
          </cell>
        </row>
        <row r="41">
          <cell r="A41" t="str">
            <v>CPI max 2.5% (was 5%)</v>
          </cell>
        </row>
        <row r="42">
          <cell r="A42" t="str">
            <v>CPI max 2.5% (Was RPI max 2.5%)</v>
          </cell>
        </row>
        <row r="43">
          <cell r="A43" t="str">
            <v>CPI max 2.5%(was RPI max 2.5%)</v>
          </cell>
        </row>
        <row r="44">
          <cell r="A44" t="str">
            <v>CPI max 3%</v>
          </cell>
        </row>
        <row r="45">
          <cell r="A45" t="str">
            <v>CPI max 3% ( was RPI max 3%)</v>
          </cell>
        </row>
        <row r="46">
          <cell r="A46" t="str">
            <v>CPI max 3% (Discret before 1 July 2008)</v>
          </cell>
        </row>
        <row r="47">
          <cell r="A47" t="str">
            <v>CPI max 3% (GMP)</v>
          </cell>
        </row>
        <row r="48">
          <cell r="A48" t="str">
            <v>CPI max 3% (GMP) (Was RPI max 3%)</v>
          </cell>
        </row>
        <row r="49">
          <cell r="A49" t="str">
            <v>CPI max 3% (was RPI max 3%)</v>
          </cell>
        </row>
        <row r="50">
          <cell r="A50" t="str">
            <v>CPI max 3% (was RPI max 3%) (GMP)</v>
          </cell>
        </row>
        <row r="51">
          <cell r="A51" t="str">
            <v>CPI max 3% (was RPI)</v>
          </cell>
        </row>
        <row r="52">
          <cell r="A52" t="str">
            <v>CPI max 3%(was RPI max 3%)</v>
          </cell>
        </row>
        <row r="53">
          <cell r="A53" t="str">
            <v>CPI max 5%</v>
          </cell>
        </row>
        <row r="54">
          <cell r="A54" t="str">
            <v>CPI max 5% ( was RPI max 5%)</v>
          </cell>
        </row>
        <row r="55">
          <cell r="A55" t="str">
            <v>CPI max 5% (was RPI max 5%)</v>
          </cell>
        </row>
        <row r="56">
          <cell r="A56" t="str">
            <v>CPI max 5% (was RPI)</v>
          </cell>
        </row>
        <row r="57">
          <cell r="A57" t="str">
            <v>CPI max 5%(was RPI max 5%)</v>
          </cell>
        </row>
        <row r="58">
          <cell r="A58" t="str">
            <v>CPI min 2.5% max 3%</v>
          </cell>
        </row>
        <row r="59">
          <cell r="A59" t="str">
            <v>CPI min 3% max 5%</v>
          </cell>
        </row>
        <row r="60">
          <cell r="A60" t="str">
            <v>CPI min 3% max 5% (was RPI min 3% max 5%)</v>
          </cell>
        </row>
        <row r="61">
          <cell r="A61" t="str">
            <v>CPI min 3%, max 5% (WGMP)</v>
          </cell>
        </row>
        <row r="62">
          <cell r="A62" t="str">
            <v>CPI was RPI</v>
          </cell>
        </row>
        <row r="63">
          <cell r="A63" t="str">
            <v>Cumulative RPI</v>
          </cell>
        </row>
        <row r="64">
          <cell r="A64" t="str">
            <v>Discretionary</v>
          </cell>
        </row>
        <row r="65">
          <cell r="A65" t="str">
            <v>Discretionary 97 to 2005</v>
          </cell>
        </row>
        <row r="66">
          <cell r="A66" t="str">
            <v>Discretionary 97-05</v>
          </cell>
        </row>
        <row r="67">
          <cell r="A67" t="str">
            <v>Discretionary Post 05</v>
          </cell>
        </row>
        <row r="68">
          <cell r="A68" t="str">
            <v>Discretionary Post 2005</v>
          </cell>
        </row>
        <row r="69">
          <cell r="A69" t="str">
            <v>Discretionary Post 88 GMP</v>
          </cell>
        </row>
        <row r="70">
          <cell r="A70" t="str">
            <v>Discretionary Pre 88 GMP</v>
          </cell>
        </row>
        <row r="71">
          <cell r="A71" t="str">
            <v>Discretionary Pre 97</v>
          </cell>
        </row>
        <row r="72">
          <cell r="A72" t="str">
            <v>Fixed</v>
          </cell>
        </row>
        <row r="73">
          <cell r="A73" t="str">
            <v>Fixed 0%</v>
          </cell>
        </row>
        <row r="74">
          <cell r="A74" t="str">
            <v>Fixed 1.45%</v>
          </cell>
        </row>
        <row r="75">
          <cell r="A75" t="str">
            <v>Fixed 1.59%</v>
          </cell>
        </row>
        <row r="76">
          <cell r="A76" t="str">
            <v>Fixed 1.67%</v>
          </cell>
        </row>
        <row r="77">
          <cell r="A77" t="str">
            <v>Fixed 1.75%</v>
          </cell>
        </row>
        <row r="78">
          <cell r="A78" t="str">
            <v>Fixed 12%</v>
          </cell>
        </row>
        <row r="79">
          <cell r="A79" t="str">
            <v>Fixed 2%</v>
          </cell>
        </row>
        <row r="80">
          <cell r="A80" t="str">
            <v>Fixed 2.5%</v>
          </cell>
        </row>
        <row r="81">
          <cell r="A81" t="str">
            <v>Fixed 3%</v>
          </cell>
        </row>
        <row r="82">
          <cell r="A82" t="str">
            <v>Fixed 3% (GMP)</v>
          </cell>
        </row>
        <row r="83">
          <cell r="A83" t="str">
            <v>Fixed 4%</v>
          </cell>
        </row>
        <row r="84">
          <cell r="A84" t="str">
            <v>Fixed 5%</v>
          </cell>
        </row>
        <row r="85">
          <cell r="A85" t="str">
            <v>Fixed 6%</v>
          </cell>
        </row>
        <row r="86">
          <cell r="A86" t="str">
            <v>Fixed 7%</v>
          </cell>
        </row>
        <row r="87">
          <cell r="A87" t="str">
            <v>Guernsey RPI max 5%</v>
          </cell>
        </row>
        <row r="88">
          <cell r="A88" t="str">
            <v>Guernsey RPI min 5% max 6%</v>
          </cell>
        </row>
        <row r="89">
          <cell r="A89" t="str">
            <v>Historic discretionary</v>
          </cell>
        </row>
        <row r="90">
          <cell r="A90" t="str">
            <v>Jersey RPI max 5%</v>
          </cell>
        </row>
        <row r="91">
          <cell r="A91" t="str">
            <v>Jersey RPI min 5% max 6%</v>
          </cell>
        </row>
        <row r="92">
          <cell r="A92" t="str">
            <v>Legacy</v>
          </cell>
        </row>
        <row r="93">
          <cell r="A93" t="str">
            <v>Lesser of RPI and 3%</v>
          </cell>
        </row>
        <row r="94">
          <cell r="A94" t="str">
            <v>Lesser of RPI and 5%</v>
          </cell>
        </row>
        <row r="95">
          <cell r="A95" t="str">
            <v>LPI</v>
          </cell>
        </row>
        <row r="96">
          <cell r="A96" t="str">
            <v>LPI (2)</v>
          </cell>
        </row>
        <row r="97">
          <cell r="A97" t="str">
            <v>LPI (GMP)</v>
          </cell>
        </row>
        <row r="98">
          <cell r="A98" t="str">
            <v>LPI (max 2.5%)</v>
          </cell>
        </row>
        <row r="99">
          <cell r="A99" t="str">
            <v>LPI (max 5%)</v>
          </cell>
        </row>
        <row r="100">
          <cell r="A100" t="str">
            <v>LPI for RMS (min 3% max 4%)</v>
          </cell>
        </row>
        <row r="101">
          <cell r="A101" t="str">
            <v>LPI max 2.5%</v>
          </cell>
        </row>
        <row r="102">
          <cell r="A102" t="str">
            <v>LPI max 5%</v>
          </cell>
        </row>
        <row r="103">
          <cell r="A103" t="str">
            <v>LPI min 3%</v>
          </cell>
        </row>
        <row r="104">
          <cell r="A104" t="str">
            <v>LPI min 4%</v>
          </cell>
        </row>
        <row r="105">
          <cell r="A105" t="str">
            <v>N/A</v>
          </cell>
        </row>
        <row r="106">
          <cell r="A106" t="str">
            <v>No escalation</v>
          </cell>
        </row>
        <row r="107">
          <cell r="A107" t="str">
            <v>PA1971</v>
          </cell>
        </row>
        <row r="108">
          <cell r="A108" t="str">
            <v>PI review orders</v>
          </cell>
        </row>
        <row r="109">
          <cell r="A109" t="str">
            <v>PI review orders max 5%</v>
          </cell>
        </row>
        <row r="110">
          <cell r="A110" t="str">
            <v>Post 88 GMP</v>
          </cell>
        </row>
        <row r="111">
          <cell r="A111" t="str">
            <v>RPI</v>
          </cell>
        </row>
        <row r="112">
          <cell r="A112" t="str">
            <v xml:space="preserve">RPI (Dec) max 3% </v>
          </cell>
        </row>
        <row r="113">
          <cell r="A113" t="str">
            <v>RPI 2.5%</v>
          </cell>
        </row>
        <row r="114">
          <cell r="A114" t="str">
            <v>RPI 5%</v>
          </cell>
        </row>
        <row r="115">
          <cell r="A115" t="str">
            <v>RPI av 3yr max 7.5%</v>
          </cell>
        </row>
        <row r="116">
          <cell r="A116" t="str">
            <v>RPI less 4% (Min 3%, Max 8%)</v>
          </cell>
        </row>
        <row r="117">
          <cell r="A117" t="str">
            <v>RPI Max 10%</v>
          </cell>
        </row>
        <row r="118">
          <cell r="A118" t="str">
            <v>RPI max 2.5%</v>
          </cell>
        </row>
        <row r="119">
          <cell r="A119" t="str">
            <v>RPI max 3%</v>
          </cell>
        </row>
        <row r="120">
          <cell r="A120" t="str">
            <v>RPI max 3% - Info</v>
          </cell>
        </row>
        <row r="121">
          <cell r="A121" t="str">
            <v>RPI max 3% (Discret before 1 July 2008)</v>
          </cell>
        </row>
        <row r="122">
          <cell r="A122" t="str">
            <v>RPI max 3% (GMP)</v>
          </cell>
        </row>
        <row r="123">
          <cell r="A123" t="str">
            <v>RPI Max 4%</v>
          </cell>
        </row>
        <row r="124">
          <cell r="A124" t="str">
            <v>RPI max 4.5%</v>
          </cell>
        </row>
        <row r="125">
          <cell r="A125" t="str">
            <v>RPI max 5%</v>
          </cell>
        </row>
        <row r="126">
          <cell r="A126" t="str">
            <v>RPI max 5% - B/P</v>
          </cell>
        </row>
        <row r="127">
          <cell r="A127" t="str">
            <v>RPI max 5% (discret)</v>
          </cell>
        </row>
        <row r="128">
          <cell r="A128" t="str">
            <v>RPI max 5% (GMP)</v>
          </cell>
        </row>
        <row r="129">
          <cell r="A129" t="str">
            <v>RPI Max 5.5%</v>
          </cell>
        </row>
        <row r="130">
          <cell r="A130" t="str">
            <v>RPI max 7.5%</v>
          </cell>
        </row>
        <row r="131">
          <cell r="A131" t="str">
            <v>RPI max 8%</v>
          </cell>
        </row>
        <row r="132">
          <cell r="A132" t="str">
            <v xml:space="preserve">RPI max 8.5% </v>
          </cell>
        </row>
        <row r="133">
          <cell r="A133" t="str">
            <v>RPI maximum 2.5%</v>
          </cell>
        </row>
        <row r="134">
          <cell r="A134" t="str">
            <v>RPI Maximum 5%</v>
          </cell>
        </row>
        <row r="135">
          <cell r="A135" t="str">
            <v>RPI maximum 5% min 3%</v>
          </cell>
        </row>
        <row r="136">
          <cell r="A136" t="str">
            <v>RPI min 2.5%</v>
          </cell>
        </row>
        <row r="137">
          <cell r="A137" t="str">
            <v>RPI min 2.5% max 3%</v>
          </cell>
        </row>
        <row r="138">
          <cell r="A138" t="str">
            <v>RPI min 2.5% max 5%</v>
          </cell>
        </row>
        <row r="139">
          <cell r="A139" t="str">
            <v>RPI min 3%</v>
          </cell>
        </row>
        <row r="140">
          <cell r="A140" t="str">
            <v>RPI Min 3% Max 10%</v>
          </cell>
        </row>
        <row r="141">
          <cell r="A141" t="str">
            <v>RPI min 3% max 5%</v>
          </cell>
        </row>
        <row r="142">
          <cell r="A142" t="str">
            <v>RPI min 3% max 5%(CPI Underpin)</v>
          </cell>
        </row>
        <row r="143">
          <cell r="A143" t="str">
            <v>RPI min 3% max 8%</v>
          </cell>
        </row>
        <row r="144">
          <cell r="A144" t="str">
            <v>RPI min 3%, max 5%</v>
          </cell>
        </row>
        <row r="145">
          <cell r="A145" t="str">
            <v>RPI min 4%</v>
          </cell>
        </row>
        <row r="146">
          <cell r="A146" t="str">
            <v>RPI min 4% max 5%</v>
          </cell>
        </row>
        <row r="147">
          <cell r="A147" t="str">
            <v>RPI up to 2.5%</v>
          </cell>
        </row>
        <row r="148">
          <cell r="A148" t="str">
            <v>RPI up to 3%</v>
          </cell>
        </row>
        <row r="149">
          <cell r="A149" t="str">
            <v>RPI up to 5%</v>
          </cell>
        </row>
        <row r="150">
          <cell r="A150" t="str">
            <v>Statutory</v>
          </cell>
        </row>
        <row r="151">
          <cell r="A151" t="str">
            <v>Statutory RPI max 3%</v>
          </cell>
        </row>
        <row r="152">
          <cell r="A152" t="str">
            <v>Temp Post 2000</v>
          </cell>
        </row>
        <row r="153">
          <cell r="A153" t="str">
            <v>Temp Pre 2000</v>
          </cell>
        </row>
        <row r="154">
          <cell r="A154" t="str">
            <v>Unknown</v>
          </cell>
        </row>
        <row r="155">
          <cell r="A155" t="str">
            <v>Unknown (GMP)</v>
          </cell>
        </row>
        <row r="156">
          <cell r="A156" t="str">
            <v>Variable</v>
          </cell>
        </row>
      </sheetData>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4" Type="http://schemas.openxmlformats.org/officeDocument/2006/relationships/comments" Target="../comments8.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9.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27.bin"/><Relationship Id="rId1" Type="http://schemas.openxmlformats.org/officeDocument/2006/relationships/printerSettings" Target="../printerSettings/printerSettings2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sheetPr codeName="Sheet19"/>
  <dimension ref="A1:G28"/>
  <sheetViews>
    <sheetView zoomScale="80" zoomScaleNormal="80" workbookViewId="0">
      <selection activeCell="F28" sqref="F28:G28"/>
    </sheetView>
  </sheetViews>
  <sheetFormatPr defaultRowHeight="12.75"/>
  <cols>
    <col min="1" max="1" width="14.140625" style="614" customWidth="1"/>
    <col min="2" max="2" width="10.85546875" style="614" customWidth="1"/>
    <col min="3" max="6" width="9.140625" style="614"/>
    <col min="7" max="7" width="55" style="614" customWidth="1"/>
    <col min="8" max="16384" width="9.140625" style="614"/>
  </cols>
  <sheetData>
    <row r="1" spans="1:7" ht="26.25" customHeight="1">
      <c r="A1" s="611" t="s">
        <v>918</v>
      </c>
      <c r="B1" s="612"/>
      <c r="C1" s="612"/>
      <c r="D1" s="612"/>
      <c r="E1" s="613"/>
      <c r="F1" s="613"/>
      <c r="G1" s="613"/>
    </row>
    <row r="2" spans="1:7" ht="13.5" thickBot="1">
      <c r="A2" s="612"/>
      <c r="B2" s="612"/>
      <c r="C2" s="612"/>
      <c r="D2" s="612"/>
      <c r="E2" s="613"/>
      <c r="F2" s="613"/>
      <c r="G2" s="613"/>
    </row>
    <row r="3" spans="1:7" ht="13.5" thickBot="1">
      <c r="A3" s="615" t="s">
        <v>94</v>
      </c>
      <c r="B3" s="616" t="s">
        <v>122</v>
      </c>
      <c r="C3" s="957" t="s">
        <v>163</v>
      </c>
      <c r="D3" s="957"/>
      <c r="E3" s="958" t="s">
        <v>123</v>
      </c>
      <c r="F3" s="958"/>
      <c r="G3" s="959"/>
    </row>
    <row r="4" spans="1:7">
      <c r="A4" s="617">
        <v>41082</v>
      </c>
      <c r="B4" s="618" t="s">
        <v>920</v>
      </c>
      <c r="C4" s="960" t="s">
        <v>919</v>
      </c>
      <c r="D4" s="960"/>
      <c r="E4" s="960" t="s">
        <v>921</v>
      </c>
      <c r="F4" s="960"/>
      <c r="G4" s="961"/>
    </row>
    <row r="5" spans="1:7" ht="29.25" customHeight="1">
      <c r="A5" s="619">
        <v>41099</v>
      </c>
      <c r="B5" s="620" t="s">
        <v>962</v>
      </c>
      <c r="C5" s="962" t="s">
        <v>919</v>
      </c>
      <c r="D5" s="962"/>
      <c r="E5" s="963" t="s">
        <v>963</v>
      </c>
      <c r="F5" s="963"/>
      <c r="G5" s="964"/>
    </row>
    <row r="6" spans="1:7">
      <c r="A6" s="619">
        <v>41114</v>
      </c>
      <c r="B6" s="620" t="s">
        <v>966</v>
      </c>
      <c r="C6" s="962" t="s">
        <v>967</v>
      </c>
      <c r="D6" s="962"/>
      <c r="E6" s="962" t="s">
        <v>968</v>
      </c>
      <c r="F6" s="962"/>
      <c r="G6" s="965"/>
    </row>
    <row r="7" spans="1:7" ht="28.5" customHeight="1">
      <c r="A7" s="619">
        <v>41323</v>
      </c>
      <c r="B7" s="620" t="s">
        <v>973</v>
      </c>
      <c r="C7" s="962" t="s">
        <v>919</v>
      </c>
      <c r="D7" s="962"/>
      <c r="E7" s="966" t="s">
        <v>974</v>
      </c>
      <c r="F7" s="967"/>
      <c r="G7" s="968"/>
    </row>
    <row r="8" spans="1:7">
      <c r="A8" s="621">
        <v>41359</v>
      </c>
      <c r="B8" s="622" t="s">
        <v>986</v>
      </c>
      <c r="C8" s="962" t="s">
        <v>987</v>
      </c>
      <c r="D8" s="962"/>
      <c r="E8" s="962" t="s">
        <v>988</v>
      </c>
      <c r="F8" s="962"/>
      <c r="G8" s="965"/>
    </row>
    <row r="9" spans="1:7">
      <c r="A9" s="621"/>
      <c r="B9" s="622"/>
      <c r="C9" s="962"/>
      <c r="D9" s="962"/>
      <c r="E9" s="962"/>
      <c r="F9" s="962"/>
      <c r="G9" s="965"/>
    </row>
    <row r="10" spans="1:7">
      <c r="A10" s="621"/>
      <c r="B10" s="622"/>
      <c r="C10" s="962"/>
      <c r="D10" s="962"/>
      <c r="E10" s="962"/>
      <c r="F10" s="962"/>
      <c r="G10" s="965"/>
    </row>
    <row r="11" spans="1:7">
      <c r="A11" s="621"/>
      <c r="B11" s="622"/>
      <c r="C11" s="962"/>
      <c r="D11" s="962"/>
      <c r="E11" s="962"/>
      <c r="F11" s="962"/>
      <c r="G11" s="965"/>
    </row>
    <row r="12" spans="1:7">
      <c r="A12" s="621"/>
      <c r="B12" s="622"/>
      <c r="C12" s="962"/>
      <c r="D12" s="962"/>
      <c r="E12" s="962"/>
      <c r="F12" s="962"/>
      <c r="G12" s="965"/>
    </row>
    <row r="13" spans="1:7">
      <c r="A13" s="621"/>
      <c r="B13" s="622"/>
      <c r="C13" s="962"/>
      <c r="D13" s="962"/>
      <c r="E13" s="962"/>
      <c r="F13" s="962"/>
      <c r="G13" s="965"/>
    </row>
    <row r="14" spans="1:7">
      <c r="A14" s="621"/>
      <c r="B14" s="622"/>
      <c r="C14" s="962"/>
      <c r="D14" s="962"/>
      <c r="E14" s="962"/>
      <c r="F14" s="962"/>
      <c r="G14" s="965"/>
    </row>
    <row r="15" spans="1:7">
      <c r="A15" s="621"/>
      <c r="B15" s="622"/>
      <c r="C15" s="962"/>
      <c r="D15" s="962"/>
      <c r="E15" s="962"/>
      <c r="F15" s="962"/>
      <c r="G15" s="965"/>
    </row>
    <row r="16" spans="1:7">
      <c r="A16" s="621"/>
      <c r="B16" s="622"/>
      <c r="C16" s="962"/>
      <c r="D16" s="962"/>
      <c r="E16" s="962"/>
      <c r="F16" s="962"/>
      <c r="G16" s="965"/>
    </row>
    <row r="17" spans="1:7">
      <c r="A17" s="621"/>
      <c r="B17" s="622"/>
      <c r="C17" s="962"/>
      <c r="D17" s="962"/>
      <c r="E17" s="962"/>
      <c r="F17" s="962"/>
      <c r="G17" s="965"/>
    </row>
    <row r="18" spans="1:7">
      <c r="A18" s="621"/>
      <c r="B18" s="622"/>
      <c r="C18" s="962"/>
      <c r="D18" s="962"/>
      <c r="E18" s="962"/>
      <c r="F18" s="962"/>
      <c r="G18" s="965"/>
    </row>
    <row r="19" spans="1:7">
      <c r="A19" s="621"/>
      <c r="B19" s="622"/>
      <c r="C19" s="962"/>
      <c r="D19" s="962"/>
      <c r="E19" s="962"/>
      <c r="F19" s="962"/>
      <c r="G19" s="965"/>
    </row>
    <row r="20" spans="1:7" ht="13.5" thickBot="1">
      <c r="A20" s="623"/>
      <c r="B20" s="624"/>
      <c r="C20" s="974"/>
      <c r="D20" s="974"/>
      <c r="E20" s="974"/>
      <c r="F20" s="974"/>
      <c r="G20" s="975"/>
    </row>
    <row r="22" spans="1:7" ht="13.5" thickBot="1"/>
    <row r="23" spans="1:7" ht="13.5" thickBot="1">
      <c r="A23" s="614" t="s">
        <v>922</v>
      </c>
      <c r="D23" s="971" t="s">
        <v>923</v>
      </c>
      <c r="E23" s="972"/>
      <c r="F23" s="972"/>
      <c r="G23" s="973"/>
    </row>
    <row r="27" spans="1:7" ht="13.5" thickBot="1"/>
    <row r="28" spans="1:7" ht="13.5" thickBot="1">
      <c r="A28" s="614" t="s">
        <v>969</v>
      </c>
      <c r="F28" s="969" t="b">
        <v>0</v>
      </c>
      <c r="G28" s="970"/>
    </row>
  </sheetData>
  <sheetProtection formatCells="0" formatColumns="0" formatRows="0"/>
  <mergeCells count="38">
    <mergeCell ref="F28:G28"/>
    <mergeCell ref="D23:G23"/>
    <mergeCell ref="C18:D18"/>
    <mergeCell ref="E18:G18"/>
    <mergeCell ref="C19:D19"/>
    <mergeCell ref="E19:G19"/>
    <mergeCell ref="C20:D20"/>
    <mergeCell ref="E20:G20"/>
    <mergeCell ref="C15:D15"/>
    <mergeCell ref="E15:G15"/>
    <mergeCell ref="C16:D16"/>
    <mergeCell ref="E16:G16"/>
    <mergeCell ref="C17:D17"/>
    <mergeCell ref="E17:G17"/>
    <mergeCell ref="C12:D12"/>
    <mergeCell ref="E12:G12"/>
    <mergeCell ref="C13:D13"/>
    <mergeCell ref="E13:G13"/>
    <mergeCell ref="C14:D14"/>
    <mergeCell ref="E14:G14"/>
    <mergeCell ref="C9:D9"/>
    <mergeCell ref="E9:G9"/>
    <mergeCell ref="C10:D10"/>
    <mergeCell ref="E10:G10"/>
    <mergeCell ref="C11:D11"/>
    <mergeCell ref="E11:G11"/>
    <mergeCell ref="C6:D6"/>
    <mergeCell ref="E6:G6"/>
    <mergeCell ref="C7:D7"/>
    <mergeCell ref="E7:G7"/>
    <mergeCell ref="C8:D8"/>
    <mergeCell ref="E8:G8"/>
    <mergeCell ref="C3:D3"/>
    <mergeCell ref="E3:G3"/>
    <mergeCell ref="C4:D4"/>
    <mergeCell ref="E4:G4"/>
    <mergeCell ref="C5:D5"/>
    <mergeCell ref="E5:G5"/>
  </mergeCells>
  <pageMargins left="0.7" right="0.7" top="0.75" bottom="0.75" header="0.3" footer="0.3"/>
  <pageSetup paperSize="9" orientation="portrait" r:id="rId1"/>
  <legacyDrawing r:id="rId2"/>
  <controls>
    <control shapeId="38913" r:id="rId3" name="cmdBrowseForSource"/>
  </controls>
</worksheet>
</file>

<file path=xl/worksheets/sheet2.xml><?xml version="1.0" encoding="utf-8"?>
<worksheet xmlns="http://schemas.openxmlformats.org/spreadsheetml/2006/main" xmlns:r="http://schemas.openxmlformats.org/officeDocument/2006/relationships">
  <sheetPr codeName="Sheet3"/>
  <dimension ref="A1:AE1308"/>
  <sheetViews>
    <sheetView showGridLines="0" zoomScale="80" zoomScaleNormal="80" zoomScaleSheetLayoutView="89" zoomScalePageLayoutView="40" workbookViewId="0">
      <selection activeCell="B2" sqref="B2"/>
    </sheetView>
  </sheetViews>
  <sheetFormatPr defaultRowHeight="12.75"/>
  <cols>
    <col min="1" max="1" width="2.85546875" style="205" customWidth="1"/>
    <col min="2" max="2" width="50.85546875" style="205" customWidth="1"/>
    <col min="3" max="3" width="27.28515625" style="205" customWidth="1"/>
    <col min="4" max="4" width="21.5703125" style="205" customWidth="1"/>
    <col min="5" max="5" width="17.28515625" style="205" customWidth="1"/>
    <col min="6" max="6" width="26.5703125" style="205" customWidth="1"/>
    <col min="7" max="7" width="20" style="205" customWidth="1"/>
    <col min="8" max="10" width="29" style="205" customWidth="1"/>
    <col min="11" max="11" width="21.42578125" style="205" customWidth="1"/>
    <col min="12" max="12" width="14.7109375" style="205" customWidth="1"/>
    <col min="13" max="13" width="15.85546875" style="205" customWidth="1"/>
    <col min="14" max="26" width="14.7109375" style="205" customWidth="1"/>
    <col min="27" max="28" width="14.7109375" style="206" customWidth="1"/>
    <col min="29" max="29" width="14.7109375" style="205" customWidth="1"/>
    <col min="30" max="30" width="12" style="205" customWidth="1"/>
    <col min="31" max="31" width="11" style="205" bestFit="1" customWidth="1"/>
    <col min="32" max="16384" width="9.140625" style="205"/>
  </cols>
  <sheetData>
    <row r="1" spans="1:28" customFormat="1" ht="10.5" customHeight="1"/>
    <row r="2" spans="1:28" s="718" customFormat="1" ht="21">
      <c r="A2" s="716"/>
      <c r="B2" s="717" t="s">
        <v>131</v>
      </c>
      <c r="AA2" s="719"/>
      <c r="AB2" s="719"/>
    </row>
    <row r="3" spans="1:28" ht="20.25" customHeight="1" thickBot="1">
      <c r="A3" s="203"/>
      <c r="B3" s="204"/>
    </row>
    <row r="4" spans="1:28" ht="20.25" customHeight="1" thickBot="1">
      <c r="A4" s="203"/>
      <c r="B4" s="2000" t="s">
        <v>120</v>
      </c>
      <c r="C4" s="1994"/>
      <c r="D4" s="1995"/>
      <c r="E4" s="1995"/>
      <c r="F4" s="1996"/>
      <c r="Z4" s="206"/>
      <c r="AB4" s="205"/>
    </row>
    <row r="5" spans="1:28" ht="20.25" customHeight="1" thickBot="1">
      <c r="A5" s="203"/>
      <c r="B5" s="2000" t="s">
        <v>600</v>
      </c>
      <c r="C5" s="1997"/>
      <c r="D5" s="1998"/>
      <c r="E5" s="1998"/>
      <c r="F5" s="1999"/>
      <c r="Z5" s="206"/>
      <c r="AB5" s="205"/>
    </row>
    <row r="6" spans="1:28" s="226" customFormat="1" ht="18.75">
      <c r="A6" s="545"/>
      <c r="B6" s="546"/>
      <c r="C6" s="546"/>
      <c r="D6" s="547"/>
      <c r="E6" s="547"/>
      <c r="F6" s="547"/>
      <c r="G6" s="547"/>
      <c r="AA6" s="239"/>
      <c r="AB6" s="239"/>
    </row>
    <row r="7" spans="1:28" s="226" customFormat="1" ht="75" customHeight="1">
      <c r="A7" s="545"/>
      <c r="B7" s="1001" t="s">
        <v>867</v>
      </c>
      <c r="C7" s="1001"/>
      <c r="D7" s="1001"/>
      <c r="E7" s="1001"/>
      <c r="F7" s="944"/>
      <c r="G7" s="944"/>
      <c r="H7" s="944"/>
      <c r="I7" s="944"/>
      <c r="J7" s="944"/>
      <c r="K7" s="944"/>
      <c r="L7" s="944"/>
      <c r="M7" s="944"/>
      <c r="N7" s="944"/>
      <c r="AA7" s="239"/>
      <c r="AB7" s="239"/>
    </row>
    <row r="8" spans="1:28" s="226" customFormat="1" ht="12.75" customHeight="1">
      <c r="A8" s="545"/>
      <c r="B8" s="944"/>
      <c r="C8" s="944"/>
      <c r="D8" s="944"/>
      <c r="E8" s="944"/>
      <c r="F8" s="944"/>
      <c r="G8" s="944"/>
      <c r="H8" s="944"/>
      <c r="I8" s="944"/>
      <c r="J8" s="944"/>
      <c r="K8" s="944"/>
      <c r="L8" s="944"/>
      <c r="M8" s="944"/>
      <c r="N8" s="944"/>
      <c r="AA8" s="239"/>
      <c r="AB8" s="239"/>
    </row>
    <row r="9" spans="1:28" s="226" customFormat="1">
      <c r="A9" s="548"/>
      <c r="B9" s="549" t="s">
        <v>14</v>
      </c>
      <c r="C9" s="549" t="s">
        <v>5</v>
      </c>
      <c r="W9" s="239"/>
      <c r="X9" s="239"/>
    </row>
    <row r="10" spans="1:28" s="226" customFormat="1">
      <c r="A10" s="548"/>
      <c r="B10" s="550" t="s">
        <v>22</v>
      </c>
      <c r="C10" s="549" t="s">
        <v>659</v>
      </c>
      <c r="W10" s="239"/>
      <c r="X10" s="239"/>
    </row>
    <row r="11" spans="1:28" s="226" customFormat="1">
      <c r="A11" s="548"/>
      <c r="B11" s="550" t="s">
        <v>16</v>
      </c>
      <c r="C11" s="549" t="s">
        <v>674</v>
      </c>
      <c r="W11" s="239"/>
      <c r="X11" s="239"/>
    </row>
    <row r="12" spans="1:28" s="226" customFormat="1">
      <c r="A12" s="548"/>
      <c r="B12" s="551" t="s">
        <v>864</v>
      </c>
      <c r="C12" s="549" t="s">
        <v>6</v>
      </c>
      <c r="W12" s="239"/>
      <c r="X12" s="239"/>
    </row>
    <row r="13" spans="1:28" s="226" customFormat="1">
      <c r="A13" s="548"/>
      <c r="B13" s="552" t="s">
        <v>206</v>
      </c>
      <c r="C13" s="549" t="s">
        <v>681</v>
      </c>
      <c r="W13" s="239"/>
      <c r="X13" s="239"/>
    </row>
    <row r="14" spans="1:28" s="226" customFormat="1">
      <c r="A14" s="548"/>
      <c r="B14" s="549" t="s">
        <v>866</v>
      </c>
      <c r="C14" s="549" t="s">
        <v>7</v>
      </c>
      <c r="W14" s="239"/>
      <c r="X14" s="239"/>
    </row>
    <row r="15" spans="1:28" s="226" customFormat="1">
      <c r="A15" s="548"/>
      <c r="B15" s="549" t="s">
        <v>33</v>
      </c>
      <c r="C15" s="549" t="s">
        <v>8</v>
      </c>
      <c r="W15" s="239"/>
      <c r="X15" s="239"/>
    </row>
    <row r="16" spans="1:28" s="226" customFormat="1">
      <c r="A16" s="548"/>
      <c r="B16" s="549" t="s">
        <v>3</v>
      </c>
      <c r="C16" s="549" t="s">
        <v>215</v>
      </c>
      <c r="W16" s="239"/>
      <c r="X16" s="239"/>
    </row>
    <row r="17" spans="1:29" s="226" customFormat="1">
      <c r="A17" s="548"/>
      <c r="B17" s="553" t="s">
        <v>132</v>
      </c>
      <c r="C17" s="549" t="s">
        <v>207</v>
      </c>
      <c r="W17" s="239"/>
      <c r="X17" s="239"/>
    </row>
    <row r="18" spans="1:29" s="226" customFormat="1">
      <c r="A18" s="548"/>
      <c r="B18" s="553" t="s">
        <v>133</v>
      </c>
      <c r="C18" s="549" t="s">
        <v>574</v>
      </c>
      <c r="W18" s="239"/>
      <c r="X18" s="239"/>
    </row>
    <row r="19" spans="1:29" s="226" customFormat="1">
      <c r="A19" s="548"/>
      <c r="B19" s="549" t="s">
        <v>865</v>
      </c>
      <c r="C19" s="549" t="s">
        <v>597</v>
      </c>
      <c r="W19" s="239"/>
      <c r="X19" s="239"/>
    </row>
    <row r="20" spans="1:29" s="226" customFormat="1">
      <c r="A20" s="548"/>
      <c r="B20" s="549" t="s">
        <v>4</v>
      </c>
      <c r="C20" s="574" t="s">
        <v>893</v>
      </c>
      <c r="W20" s="239"/>
      <c r="X20" s="239"/>
    </row>
    <row r="21" spans="1:29" ht="15.75">
      <c r="A21" s="207"/>
      <c r="B21" s="469"/>
      <c r="C21" s="469"/>
      <c r="D21" s="469"/>
      <c r="E21" s="469"/>
      <c r="F21" s="469"/>
      <c r="G21" s="469"/>
      <c r="H21" s="469"/>
      <c r="I21" s="469"/>
      <c r="J21" s="469"/>
      <c r="K21" s="469"/>
      <c r="L21" s="469"/>
      <c r="M21" s="469"/>
      <c r="N21" s="469"/>
      <c r="O21" s="469"/>
    </row>
    <row r="22" spans="1:29" ht="15.75">
      <c r="A22" s="207"/>
      <c r="B22" s="724"/>
      <c r="C22" s="724"/>
      <c r="D22" s="724"/>
      <c r="E22" s="724"/>
      <c r="F22" s="724"/>
      <c r="G22" s="724"/>
      <c r="H22" s="724"/>
      <c r="I22" s="724"/>
      <c r="J22" s="724"/>
      <c r="K22" s="724"/>
      <c r="L22" s="724"/>
      <c r="M22" s="724"/>
      <c r="N22" s="724"/>
      <c r="O22" s="724"/>
    </row>
    <row r="23" spans="1:29" s="701" customFormat="1" ht="18.75">
      <c r="A23" s="317"/>
      <c r="B23" s="204" t="s">
        <v>14</v>
      </c>
      <c r="J23" s="766"/>
      <c r="K23" s="767"/>
      <c r="AA23" s="703"/>
      <c r="AB23" s="703"/>
    </row>
    <row r="24" spans="1:29">
      <c r="A24" s="209"/>
      <c r="B24" s="209"/>
    </row>
    <row r="25" spans="1:29">
      <c r="A25" s="209"/>
      <c r="B25" s="202" t="s">
        <v>868</v>
      </c>
    </row>
    <row r="26" spans="1:29" ht="13.5" thickBot="1">
      <c r="A26" s="209"/>
      <c r="B26" s="202"/>
    </row>
    <row r="27" spans="1:29" ht="75.75" customHeight="1" thickBot="1">
      <c r="A27" s="209"/>
      <c r="B27" s="2001" t="s">
        <v>15</v>
      </c>
      <c r="C27" s="1884" t="s">
        <v>570</v>
      </c>
      <c r="D27" s="1885" t="s">
        <v>601</v>
      </c>
      <c r="E27" s="1885" t="s">
        <v>971</v>
      </c>
      <c r="F27" s="1885" t="s">
        <v>124</v>
      </c>
      <c r="G27" s="1885" t="s">
        <v>21</v>
      </c>
      <c r="H27" s="1885" t="s">
        <v>19</v>
      </c>
      <c r="I27" s="1885" t="s">
        <v>20</v>
      </c>
      <c r="J27" s="1885" t="s">
        <v>970</v>
      </c>
      <c r="X27" s="206"/>
      <c r="Y27" s="206"/>
      <c r="AA27" s="205"/>
      <c r="AB27" s="205"/>
    </row>
    <row r="28" spans="1:29" s="220" customFormat="1" ht="15" customHeight="1">
      <c r="A28" s="770"/>
      <c r="B28" s="771"/>
      <c r="C28" s="774"/>
      <c r="D28" s="774"/>
      <c r="E28" s="774"/>
      <c r="F28" s="774"/>
      <c r="G28" s="777"/>
      <c r="H28" s="780"/>
      <c r="I28" s="780"/>
      <c r="J28" s="780"/>
      <c r="K28" s="769"/>
      <c r="L28" s="769"/>
      <c r="M28" s="769"/>
      <c r="N28" s="769"/>
      <c r="O28" s="228"/>
      <c r="AB28" s="670"/>
      <c r="AC28" s="670"/>
    </row>
    <row r="29" spans="1:29" s="220" customFormat="1" ht="15" customHeight="1">
      <c r="A29" s="770"/>
      <c r="B29" s="772"/>
      <c r="C29" s="775"/>
      <c r="D29" s="775"/>
      <c r="E29" s="775"/>
      <c r="F29" s="775"/>
      <c r="G29" s="778"/>
      <c r="H29" s="781"/>
      <c r="I29" s="781"/>
      <c r="J29" s="781"/>
      <c r="K29" s="769"/>
      <c r="L29" s="769"/>
      <c r="M29" s="769"/>
      <c r="N29" s="769"/>
      <c r="O29" s="228"/>
      <c r="AB29" s="670"/>
      <c r="AC29" s="670"/>
    </row>
    <row r="30" spans="1:29" s="220" customFormat="1" ht="15" customHeight="1">
      <c r="A30" s="770"/>
      <c r="B30" s="772"/>
      <c r="C30" s="775"/>
      <c r="D30" s="775"/>
      <c r="E30" s="775"/>
      <c r="F30" s="775"/>
      <c r="G30" s="778"/>
      <c r="H30" s="781"/>
      <c r="I30" s="781"/>
      <c r="J30" s="781"/>
      <c r="K30" s="769"/>
      <c r="L30" s="769"/>
      <c r="M30" s="769"/>
      <c r="N30" s="769"/>
      <c r="O30" s="228"/>
      <c r="AB30" s="670"/>
      <c r="AC30" s="670"/>
    </row>
    <row r="31" spans="1:29" s="220" customFormat="1" ht="15" customHeight="1">
      <c r="A31" s="770"/>
      <c r="B31" s="772"/>
      <c r="C31" s="775"/>
      <c r="D31" s="775"/>
      <c r="E31" s="775"/>
      <c r="F31" s="775"/>
      <c r="G31" s="778"/>
      <c r="H31" s="781"/>
      <c r="I31" s="781"/>
      <c r="J31" s="781"/>
      <c r="K31" s="769"/>
      <c r="L31" s="769"/>
      <c r="M31" s="769"/>
      <c r="N31" s="769"/>
      <c r="O31" s="228"/>
      <c r="AB31" s="670"/>
      <c r="AC31" s="670"/>
    </row>
    <row r="32" spans="1:29" s="220" customFormat="1" ht="15" customHeight="1">
      <c r="A32" s="770"/>
      <c r="B32" s="772"/>
      <c r="C32" s="775"/>
      <c r="D32" s="775"/>
      <c r="E32" s="775"/>
      <c r="F32" s="775"/>
      <c r="G32" s="778"/>
      <c r="H32" s="781"/>
      <c r="I32" s="781"/>
      <c r="J32" s="781"/>
      <c r="K32" s="769"/>
      <c r="L32" s="769"/>
      <c r="M32" s="769"/>
      <c r="N32" s="769"/>
      <c r="O32" s="228"/>
      <c r="AB32" s="670"/>
      <c r="AC32" s="670"/>
    </row>
    <row r="33" spans="1:29" s="220" customFormat="1" ht="15" customHeight="1">
      <c r="A33" s="770"/>
      <c r="B33" s="772"/>
      <c r="C33" s="775"/>
      <c r="D33" s="775"/>
      <c r="E33" s="775"/>
      <c r="F33" s="775"/>
      <c r="G33" s="778"/>
      <c r="H33" s="781"/>
      <c r="I33" s="781"/>
      <c r="J33" s="781"/>
      <c r="K33" s="769"/>
      <c r="L33" s="769"/>
      <c r="M33" s="769"/>
      <c r="N33" s="769"/>
      <c r="O33" s="228"/>
      <c r="AB33" s="670"/>
      <c r="AC33" s="670"/>
    </row>
    <row r="34" spans="1:29" s="220" customFormat="1" ht="15" customHeight="1">
      <c r="A34" s="770"/>
      <c r="B34" s="772"/>
      <c r="C34" s="775"/>
      <c r="D34" s="775"/>
      <c r="E34" s="775"/>
      <c r="F34" s="775"/>
      <c r="G34" s="778"/>
      <c r="H34" s="781"/>
      <c r="I34" s="781"/>
      <c r="J34" s="781"/>
      <c r="K34" s="769"/>
      <c r="L34" s="769"/>
      <c r="M34" s="769"/>
      <c r="N34" s="769"/>
      <c r="O34" s="228"/>
      <c r="AB34" s="670"/>
      <c r="AC34" s="670"/>
    </row>
    <row r="35" spans="1:29" s="220" customFormat="1" ht="15" customHeight="1">
      <c r="A35" s="770"/>
      <c r="B35" s="772"/>
      <c r="C35" s="775"/>
      <c r="D35" s="775"/>
      <c r="E35" s="775"/>
      <c r="F35" s="775"/>
      <c r="G35" s="778"/>
      <c r="H35" s="781"/>
      <c r="I35" s="781"/>
      <c r="J35" s="781"/>
      <c r="K35" s="769"/>
      <c r="L35" s="769"/>
      <c r="M35" s="769"/>
      <c r="N35" s="769"/>
      <c r="O35" s="228"/>
      <c r="AB35" s="670"/>
      <c r="AC35" s="670"/>
    </row>
    <row r="36" spans="1:29" s="220" customFormat="1" ht="15" customHeight="1">
      <c r="A36" s="770"/>
      <c r="B36" s="772"/>
      <c r="C36" s="775"/>
      <c r="D36" s="775"/>
      <c r="E36" s="775"/>
      <c r="F36" s="775"/>
      <c r="G36" s="778"/>
      <c r="H36" s="781"/>
      <c r="I36" s="781"/>
      <c r="J36" s="781"/>
      <c r="K36" s="769"/>
      <c r="L36" s="769"/>
      <c r="M36" s="769"/>
      <c r="N36" s="769"/>
      <c r="O36" s="228"/>
      <c r="AB36" s="670"/>
      <c r="AC36" s="670"/>
    </row>
    <row r="37" spans="1:29" s="253" customFormat="1" ht="15" customHeight="1" thickBot="1">
      <c r="A37" s="768"/>
      <c r="B37" s="773"/>
      <c r="C37" s="776"/>
      <c r="D37" s="776"/>
      <c r="E37" s="776"/>
      <c r="F37" s="776"/>
      <c r="G37" s="779"/>
      <c r="H37" s="782"/>
      <c r="I37" s="782"/>
      <c r="J37" s="782"/>
      <c r="K37" s="769"/>
      <c r="L37" s="769"/>
      <c r="M37" s="769"/>
      <c r="N37" s="769"/>
      <c r="O37" s="226"/>
      <c r="AB37" s="670"/>
      <c r="AC37" s="670"/>
    </row>
    <row r="38" spans="1:29" ht="12.75" customHeight="1">
      <c r="A38" s="209"/>
      <c r="B38" s="208"/>
    </row>
    <row r="39" spans="1:29" ht="12.75" customHeight="1">
      <c r="A39" s="209"/>
      <c r="B39" s="208"/>
    </row>
    <row r="40" spans="1:29" s="701" customFormat="1" ht="18.75">
      <c r="A40" s="317"/>
      <c r="B40" s="715" t="s">
        <v>22</v>
      </c>
      <c r="AA40" s="703"/>
      <c r="AB40" s="703"/>
    </row>
    <row r="41" spans="1:29" s="701" customFormat="1" ht="15.75" customHeight="1" thickBot="1">
      <c r="A41" s="317"/>
      <c r="B41" s="715"/>
      <c r="AA41" s="703"/>
      <c r="AB41" s="703"/>
    </row>
    <row r="42" spans="1:29" s="868" customFormat="1" ht="75" customHeight="1" thickBot="1">
      <c r="A42" s="867"/>
      <c r="B42" s="1915" t="s">
        <v>15</v>
      </c>
      <c r="C42" s="1885" t="s">
        <v>1013</v>
      </c>
      <c r="D42" s="1885" t="s">
        <v>1014</v>
      </c>
      <c r="E42" s="1894" t="s">
        <v>1032</v>
      </c>
      <c r="F42" s="1885" t="s">
        <v>1033</v>
      </c>
      <c r="G42" s="1894" t="s">
        <v>1034</v>
      </c>
      <c r="R42" s="869"/>
      <c r="S42" s="869"/>
    </row>
    <row r="43" spans="1:29">
      <c r="B43" s="976"/>
      <c r="C43" s="785"/>
      <c r="D43" s="785"/>
      <c r="E43" s="783"/>
      <c r="F43" s="783"/>
      <c r="G43" s="783"/>
      <c r="H43" s="224"/>
      <c r="I43" s="224"/>
      <c r="J43" s="223"/>
      <c r="K43" s="223"/>
      <c r="M43" s="205" t="s">
        <v>34</v>
      </c>
      <c r="Q43" s="205" t="s">
        <v>34</v>
      </c>
      <c r="U43" s="205" t="s">
        <v>34</v>
      </c>
      <c r="Y43" s="205" t="s">
        <v>34</v>
      </c>
      <c r="Z43" s="206"/>
      <c r="AB43" s="205" t="s">
        <v>34</v>
      </c>
    </row>
    <row r="44" spans="1:29">
      <c r="B44" s="977"/>
      <c r="C44" s="785"/>
      <c r="D44" s="785"/>
      <c r="E44" s="783"/>
      <c r="F44" s="783"/>
      <c r="G44" s="783"/>
      <c r="H44" s="224"/>
      <c r="I44" s="224"/>
      <c r="J44" s="223"/>
      <c r="K44" s="223"/>
      <c r="Z44" s="206"/>
      <c r="AB44" s="205"/>
    </row>
    <row r="45" spans="1:29">
      <c r="B45" s="977"/>
      <c r="C45" s="785"/>
      <c r="D45" s="785"/>
      <c r="E45" s="783"/>
      <c r="F45" s="783"/>
      <c r="G45" s="783"/>
      <c r="H45" s="224"/>
      <c r="I45" s="224"/>
      <c r="J45" s="223"/>
      <c r="K45" s="223"/>
      <c r="Z45" s="206"/>
      <c r="AB45" s="205"/>
    </row>
    <row r="46" spans="1:29">
      <c r="B46" s="977"/>
      <c r="C46" s="785"/>
      <c r="D46" s="785"/>
      <c r="E46" s="783"/>
      <c r="F46" s="783"/>
      <c r="G46" s="783"/>
      <c r="H46" s="224"/>
      <c r="I46" s="224"/>
      <c r="J46" s="223"/>
      <c r="K46" s="223"/>
      <c r="Z46" s="206"/>
      <c r="AB46" s="205"/>
    </row>
    <row r="47" spans="1:29" ht="13.5" thickBot="1">
      <c r="B47" s="978"/>
      <c r="C47" s="786"/>
      <c r="D47" s="786"/>
      <c r="E47" s="747"/>
      <c r="F47" s="747"/>
      <c r="G47" s="747"/>
      <c r="H47" s="224"/>
      <c r="I47" s="224"/>
      <c r="J47" s="223"/>
      <c r="K47" s="223"/>
      <c r="Z47" s="206"/>
      <c r="AB47" s="205"/>
    </row>
    <row r="48" spans="1:29" s="228" customFormat="1" ht="15.75" thickBot="1">
      <c r="B48" s="1886"/>
      <c r="C48" s="1887"/>
      <c r="D48" s="1887"/>
      <c r="E48" s="369"/>
      <c r="F48" s="369"/>
      <c r="G48" s="369"/>
      <c r="H48" s="224"/>
      <c r="I48" s="224"/>
      <c r="J48" s="223"/>
      <c r="K48" s="223"/>
      <c r="Z48" s="239"/>
      <c r="AA48" s="239"/>
    </row>
    <row r="49" spans="2:28" s="228" customFormat="1" ht="75" customHeight="1" thickBot="1">
      <c r="B49" s="1915" t="s">
        <v>15</v>
      </c>
      <c r="C49" s="1885" t="s">
        <v>1013</v>
      </c>
      <c r="D49" s="1885" t="s">
        <v>1014</v>
      </c>
      <c r="E49" s="1894" t="s">
        <v>1032</v>
      </c>
      <c r="F49" s="1885" t="s">
        <v>1033</v>
      </c>
      <c r="G49" s="1894" t="s">
        <v>1034</v>
      </c>
      <c r="H49" s="224"/>
      <c r="I49" s="224"/>
      <c r="J49" s="223"/>
      <c r="K49" s="223"/>
      <c r="Z49" s="239"/>
      <c r="AA49" s="239"/>
    </row>
    <row r="50" spans="2:28" s="228" customFormat="1">
      <c r="B50" s="976"/>
      <c r="C50" s="785"/>
      <c r="D50" s="785"/>
      <c r="E50" s="783"/>
      <c r="F50" s="783"/>
      <c r="G50" s="783"/>
      <c r="H50" s="224"/>
      <c r="I50" s="224"/>
      <c r="J50" s="223"/>
      <c r="K50" s="223"/>
      <c r="Z50" s="239"/>
      <c r="AA50" s="239"/>
    </row>
    <row r="51" spans="2:28" s="228" customFormat="1">
      <c r="B51" s="977"/>
      <c r="C51" s="785"/>
      <c r="D51" s="785"/>
      <c r="E51" s="783"/>
      <c r="F51" s="783"/>
      <c r="G51" s="783"/>
      <c r="H51" s="224"/>
      <c r="I51" s="224"/>
      <c r="J51" s="223"/>
      <c r="K51" s="223"/>
      <c r="Z51" s="239"/>
      <c r="AA51" s="239"/>
    </row>
    <row r="52" spans="2:28" s="228" customFormat="1">
      <c r="B52" s="977"/>
      <c r="C52" s="785"/>
      <c r="D52" s="785"/>
      <c r="E52" s="783"/>
      <c r="F52" s="783"/>
      <c r="G52" s="783"/>
      <c r="H52" s="224"/>
      <c r="I52" s="224"/>
      <c r="J52" s="223"/>
      <c r="K52" s="223"/>
      <c r="Z52" s="239"/>
      <c r="AA52" s="239"/>
    </row>
    <row r="53" spans="2:28">
      <c r="B53" s="977"/>
      <c r="C53" s="785"/>
      <c r="D53" s="785"/>
      <c r="E53" s="783"/>
      <c r="F53" s="783"/>
      <c r="G53" s="783"/>
      <c r="H53" s="223"/>
      <c r="I53" s="224"/>
      <c r="J53" s="224"/>
      <c r="K53" s="223"/>
      <c r="L53" s="223"/>
    </row>
    <row r="54" spans="2:28" s="228" customFormat="1" ht="13.5" thickBot="1">
      <c r="B54" s="978"/>
      <c r="C54" s="786"/>
      <c r="D54" s="786"/>
      <c r="E54" s="747"/>
      <c r="F54" s="747"/>
      <c r="G54" s="747"/>
      <c r="H54" s="223"/>
      <c r="I54" s="224"/>
      <c r="J54" s="224"/>
      <c r="K54" s="223"/>
      <c r="L54" s="223"/>
      <c r="AA54" s="239"/>
      <c r="AB54" s="239"/>
    </row>
    <row r="55" spans="2:28" s="228" customFormat="1" ht="13.5" thickBot="1">
      <c r="B55" s="236"/>
      <c r="C55" s="236"/>
      <c r="D55" s="236"/>
      <c r="E55" s="221"/>
      <c r="F55" s="221"/>
      <c r="G55" s="221"/>
      <c r="H55" s="223"/>
      <c r="I55" s="224"/>
      <c r="J55" s="224"/>
      <c r="K55" s="223"/>
      <c r="L55" s="223"/>
      <c r="AA55" s="239"/>
      <c r="AB55" s="239"/>
    </row>
    <row r="56" spans="2:28" s="228" customFormat="1" ht="75.75" customHeight="1" thickBot="1">
      <c r="B56" s="1915" t="s">
        <v>15</v>
      </c>
      <c r="C56" s="1885" t="s">
        <v>1013</v>
      </c>
      <c r="D56" s="1885" t="s">
        <v>1014</v>
      </c>
      <c r="E56" s="1894" t="s">
        <v>1032</v>
      </c>
      <c r="F56" s="1885" t="s">
        <v>1033</v>
      </c>
      <c r="G56" s="1894" t="s">
        <v>1034</v>
      </c>
      <c r="H56" s="223"/>
      <c r="I56" s="224"/>
      <c r="J56" s="224"/>
      <c r="K56" s="223"/>
      <c r="L56" s="223"/>
      <c r="AA56" s="239"/>
      <c r="AB56" s="239"/>
    </row>
    <row r="57" spans="2:28" s="228" customFormat="1">
      <c r="B57" s="976"/>
      <c r="C57" s="785"/>
      <c r="D57" s="785"/>
      <c r="E57" s="783"/>
      <c r="F57" s="783"/>
      <c r="G57" s="783"/>
      <c r="H57" s="223"/>
      <c r="I57" s="224"/>
      <c r="J57" s="224"/>
      <c r="K57" s="223"/>
      <c r="L57" s="223"/>
      <c r="AA57" s="239"/>
      <c r="AB57" s="239"/>
    </row>
    <row r="58" spans="2:28" s="228" customFormat="1">
      <c r="B58" s="977"/>
      <c r="C58" s="785"/>
      <c r="D58" s="785"/>
      <c r="E58" s="783"/>
      <c r="F58" s="783"/>
      <c r="G58" s="783"/>
      <c r="H58" s="223"/>
      <c r="I58" s="224"/>
      <c r="J58" s="224"/>
      <c r="K58" s="223"/>
      <c r="L58" s="223"/>
      <c r="AA58" s="239"/>
      <c r="AB58" s="239"/>
    </row>
    <row r="59" spans="2:28" s="228" customFormat="1">
      <c r="B59" s="977"/>
      <c r="C59" s="785"/>
      <c r="D59" s="785"/>
      <c r="E59" s="783"/>
      <c r="F59" s="783"/>
      <c r="G59" s="783"/>
      <c r="H59" s="223"/>
      <c r="I59" s="224"/>
      <c r="J59" s="224"/>
      <c r="K59" s="223"/>
      <c r="L59" s="223"/>
      <c r="AA59" s="239"/>
      <c r="AB59" s="239"/>
    </row>
    <row r="60" spans="2:28" s="228" customFormat="1">
      <c r="B60" s="977"/>
      <c r="C60" s="785"/>
      <c r="D60" s="785"/>
      <c r="E60" s="783"/>
      <c r="F60" s="783"/>
      <c r="G60" s="783"/>
      <c r="H60" s="223"/>
      <c r="I60" s="224"/>
      <c r="J60" s="224"/>
      <c r="K60" s="223"/>
      <c r="L60" s="223"/>
      <c r="AA60" s="239"/>
      <c r="AB60" s="239"/>
    </row>
    <row r="61" spans="2:28" s="228" customFormat="1" ht="13.5" thickBot="1">
      <c r="B61" s="978"/>
      <c r="C61" s="786"/>
      <c r="D61" s="786"/>
      <c r="E61" s="747"/>
      <c r="F61" s="747"/>
      <c r="G61" s="747"/>
      <c r="H61" s="223"/>
      <c r="I61" s="224"/>
      <c r="J61" s="224"/>
      <c r="K61" s="223"/>
      <c r="L61" s="223"/>
      <c r="AA61" s="239"/>
      <c r="AB61" s="239"/>
    </row>
    <row r="62" spans="2:28" s="228" customFormat="1" ht="15.75" thickBot="1">
      <c r="B62" s="917"/>
      <c r="C62" s="236"/>
      <c r="D62" s="236"/>
      <c r="E62" s="221"/>
      <c r="F62" s="221"/>
      <c r="G62" s="221"/>
      <c r="H62" s="223"/>
      <c r="I62" s="224"/>
      <c r="J62" s="224"/>
      <c r="K62" s="223"/>
      <c r="L62" s="223"/>
      <c r="AA62" s="239"/>
      <c r="AB62" s="239"/>
    </row>
    <row r="63" spans="2:28" s="228" customFormat="1" ht="75" customHeight="1" thickBot="1">
      <c r="B63" s="1915" t="s">
        <v>15</v>
      </c>
      <c r="C63" s="1885" t="s">
        <v>1013</v>
      </c>
      <c r="D63" s="1885" t="s">
        <v>1014</v>
      </c>
      <c r="E63" s="1894" t="s">
        <v>1032</v>
      </c>
      <c r="F63" s="1885" t="s">
        <v>1033</v>
      </c>
      <c r="G63" s="1894" t="s">
        <v>1034</v>
      </c>
      <c r="H63" s="223"/>
      <c r="I63" s="224"/>
      <c r="J63" s="224"/>
      <c r="K63" s="223"/>
      <c r="L63" s="223"/>
      <c r="AA63" s="239"/>
      <c r="AB63" s="239"/>
    </row>
    <row r="64" spans="2:28" s="228" customFormat="1">
      <c r="B64" s="976"/>
      <c r="C64" s="785"/>
      <c r="D64" s="785"/>
      <c r="E64" s="783"/>
      <c r="F64" s="783"/>
      <c r="G64" s="783"/>
      <c r="H64" s="223"/>
      <c r="I64" s="224"/>
      <c r="J64" s="224"/>
      <c r="K64" s="223"/>
      <c r="L64" s="223"/>
      <c r="AA64" s="239"/>
      <c r="AB64" s="239"/>
    </row>
    <row r="65" spans="2:28" s="228" customFormat="1">
      <c r="B65" s="977"/>
      <c r="C65" s="785"/>
      <c r="D65" s="785"/>
      <c r="E65" s="783"/>
      <c r="F65" s="783"/>
      <c r="G65" s="783"/>
      <c r="H65" s="223"/>
      <c r="I65" s="224"/>
      <c r="J65" s="224"/>
      <c r="K65" s="223"/>
      <c r="L65" s="223"/>
      <c r="AA65" s="239"/>
      <c r="AB65" s="239"/>
    </row>
    <row r="66" spans="2:28" s="228" customFormat="1">
      <c r="B66" s="977"/>
      <c r="C66" s="785"/>
      <c r="D66" s="785"/>
      <c r="E66" s="783"/>
      <c r="F66" s="783"/>
      <c r="G66" s="783"/>
      <c r="H66" s="223"/>
      <c r="I66" s="224"/>
      <c r="J66" s="224"/>
      <c r="K66" s="223"/>
      <c r="L66" s="223"/>
      <c r="AA66" s="239"/>
      <c r="AB66" s="239"/>
    </row>
    <row r="67" spans="2:28" s="228" customFormat="1">
      <c r="B67" s="977"/>
      <c r="C67" s="785"/>
      <c r="D67" s="785"/>
      <c r="E67" s="783"/>
      <c r="F67" s="783"/>
      <c r="G67" s="783"/>
      <c r="H67" s="223"/>
      <c r="I67" s="224"/>
      <c r="J67" s="224"/>
      <c r="K67" s="223"/>
      <c r="L67" s="223"/>
      <c r="AA67" s="239"/>
      <c r="AB67" s="239"/>
    </row>
    <row r="68" spans="2:28" s="228" customFormat="1" ht="13.5" thickBot="1">
      <c r="B68" s="978"/>
      <c r="C68" s="786"/>
      <c r="D68" s="786"/>
      <c r="E68" s="747"/>
      <c r="F68" s="747"/>
      <c r="G68" s="747"/>
      <c r="H68" s="223"/>
      <c r="I68" s="224"/>
      <c r="J68" s="224"/>
      <c r="K68" s="223"/>
      <c r="L68" s="223"/>
      <c r="AA68" s="239"/>
      <c r="AB68" s="239"/>
    </row>
    <row r="69" spans="2:28" s="228" customFormat="1" ht="15.75" thickBot="1">
      <c r="B69" s="917"/>
      <c r="C69" s="236"/>
      <c r="D69" s="236"/>
      <c r="E69" s="221"/>
      <c r="F69" s="221"/>
      <c r="G69" s="221"/>
      <c r="H69" s="223"/>
      <c r="I69" s="224"/>
      <c r="J69" s="224"/>
      <c r="K69" s="223"/>
      <c r="L69" s="223"/>
      <c r="AA69" s="239"/>
      <c r="AB69" s="239"/>
    </row>
    <row r="70" spans="2:28" s="228" customFormat="1" ht="75" customHeight="1" thickBot="1">
      <c r="B70" s="1915" t="s">
        <v>15</v>
      </c>
      <c r="C70" s="1885" t="s">
        <v>1013</v>
      </c>
      <c r="D70" s="1885" t="s">
        <v>1014</v>
      </c>
      <c r="E70" s="1894" t="s">
        <v>1032</v>
      </c>
      <c r="F70" s="1885" t="s">
        <v>1033</v>
      </c>
      <c r="G70" s="1894" t="s">
        <v>1034</v>
      </c>
      <c r="H70" s="223"/>
      <c r="I70" s="224"/>
      <c r="J70" s="224"/>
      <c r="K70" s="223"/>
      <c r="L70" s="223"/>
      <c r="AA70" s="239"/>
      <c r="AB70" s="239"/>
    </row>
    <row r="71" spans="2:28" s="228" customFormat="1">
      <c r="B71" s="976"/>
      <c r="C71" s="785"/>
      <c r="D71" s="785"/>
      <c r="E71" s="783"/>
      <c r="F71" s="783"/>
      <c r="G71" s="783"/>
      <c r="H71" s="223"/>
      <c r="I71" s="224"/>
      <c r="J71" s="224"/>
      <c r="K71" s="223"/>
      <c r="L71" s="223"/>
      <c r="AA71" s="239"/>
      <c r="AB71" s="239"/>
    </row>
    <row r="72" spans="2:28" s="228" customFormat="1">
      <c r="B72" s="977"/>
      <c r="C72" s="785"/>
      <c r="D72" s="785"/>
      <c r="E72" s="783"/>
      <c r="F72" s="783"/>
      <c r="G72" s="783"/>
      <c r="H72" s="223"/>
      <c r="I72" s="224"/>
      <c r="J72" s="224"/>
      <c r="K72" s="223"/>
      <c r="L72" s="223"/>
      <c r="AA72" s="239"/>
      <c r="AB72" s="239"/>
    </row>
    <row r="73" spans="2:28" s="228" customFormat="1">
      <c r="B73" s="977"/>
      <c r="C73" s="785"/>
      <c r="D73" s="785"/>
      <c r="E73" s="783"/>
      <c r="F73" s="783"/>
      <c r="G73" s="783"/>
      <c r="H73" s="223"/>
      <c r="I73" s="224"/>
      <c r="J73" s="224"/>
      <c r="K73" s="223"/>
      <c r="L73" s="223"/>
      <c r="AA73" s="239"/>
      <c r="AB73" s="239"/>
    </row>
    <row r="74" spans="2:28" s="228" customFormat="1">
      <c r="B74" s="977"/>
      <c r="C74" s="785"/>
      <c r="D74" s="785"/>
      <c r="E74" s="783"/>
      <c r="F74" s="783"/>
      <c r="G74" s="783"/>
      <c r="H74" s="223"/>
      <c r="I74" s="224"/>
      <c r="J74" s="224"/>
      <c r="K74" s="223"/>
      <c r="L74" s="223"/>
      <c r="AA74" s="239"/>
      <c r="AB74" s="239"/>
    </row>
    <row r="75" spans="2:28" s="228" customFormat="1" ht="13.5" thickBot="1">
      <c r="B75" s="978"/>
      <c r="C75" s="786"/>
      <c r="D75" s="786"/>
      <c r="E75" s="747"/>
      <c r="F75" s="747"/>
      <c r="G75" s="747"/>
      <c r="H75" s="223"/>
      <c r="I75" s="224"/>
      <c r="J75" s="224"/>
      <c r="K75" s="223"/>
      <c r="L75" s="223"/>
      <c r="AA75" s="239"/>
      <c r="AB75" s="239"/>
    </row>
    <row r="76" spans="2:28" s="228" customFormat="1" ht="15.75" thickBot="1">
      <c r="B76" s="917"/>
      <c r="C76" s="236"/>
      <c r="D76" s="236"/>
      <c r="E76" s="221"/>
      <c r="F76" s="221"/>
      <c r="G76" s="221"/>
      <c r="H76" s="223"/>
      <c r="I76" s="224"/>
      <c r="J76" s="224"/>
      <c r="K76" s="223"/>
      <c r="L76" s="223"/>
      <c r="AA76" s="239"/>
      <c r="AB76" s="239"/>
    </row>
    <row r="77" spans="2:28" s="228" customFormat="1" ht="75" customHeight="1" thickBot="1">
      <c r="B77" s="1915" t="s">
        <v>15</v>
      </c>
      <c r="C77" s="1885" t="s">
        <v>1013</v>
      </c>
      <c r="D77" s="1885" t="s">
        <v>1014</v>
      </c>
      <c r="E77" s="1894" t="s">
        <v>1032</v>
      </c>
      <c r="F77" s="1885" t="s">
        <v>1033</v>
      </c>
      <c r="G77" s="1894" t="s">
        <v>1034</v>
      </c>
      <c r="H77" s="223"/>
      <c r="I77" s="224"/>
      <c r="J77" s="224"/>
      <c r="K77" s="223"/>
      <c r="L77" s="223"/>
      <c r="AA77" s="239"/>
      <c r="AB77" s="239"/>
    </row>
    <row r="78" spans="2:28" s="228" customFormat="1">
      <c r="B78" s="976"/>
      <c r="C78" s="785"/>
      <c r="D78" s="785"/>
      <c r="E78" s="783"/>
      <c r="F78" s="783"/>
      <c r="G78" s="783"/>
      <c r="H78" s="223"/>
      <c r="I78" s="224"/>
      <c r="J78" s="224"/>
      <c r="K78" s="223"/>
      <c r="L78" s="223"/>
      <c r="AA78" s="239"/>
      <c r="AB78" s="239"/>
    </row>
    <row r="79" spans="2:28" s="228" customFormat="1">
      <c r="B79" s="977"/>
      <c r="C79" s="785"/>
      <c r="D79" s="785"/>
      <c r="E79" s="783"/>
      <c r="F79" s="783"/>
      <c r="G79" s="783"/>
      <c r="H79" s="223"/>
      <c r="I79" s="224"/>
      <c r="J79" s="224"/>
      <c r="K79" s="223"/>
      <c r="L79" s="223"/>
      <c r="AA79" s="239"/>
      <c r="AB79" s="239"/>
    </row>
    <row r="80" spans="2:28" s="228" customFormat="1">
      <c r="B80" s="977"/>
      <c r="C80" s="785"/>
      <c r="D80" s="785"/>
      <c r="E80" s="783"/>
      <c r="F80" s="783"/>
      <c r="G80" s="783"/>
      <c r="H80" s="223"/>
      <c r="I80" s="224"/>
      <c r="J80" s="224"/>
      <c r="K80" s="223"/>
      <c r="L80" s="223"/>
      <c r="AA80" s="239"/>
      <c r="AB80" s="239"/>
    </row>
    <row r="81" spans="2:28" s="228" customFormat="1">
      <c r="B81" s="977"/>
      <c r="C81" s="785"/>
      <c r="D81" s="785"/>
      <c r="E81" s="783"/>
      <c r="F81" s="783"/>
      <c r="G81" s="783"/>
      <c r="H81" s="223"/>
      <c r="I81" s="224"/>
      <c r="J81" s="224"/>
      <c r="K81" s="223"/>
      <c r="L81" s="223"/>
      <c r="AA81" s="239"/>
      <c r="AB81" s="239"/>
    </row>
    <row r="82" spans="2:28" s="228" customFormat="1" ht="13.5" thickBot="1">
      <c r="B82" s="978"/>
      <c r="C82" s="786"/>
      <c r="D82" s="786"/>
      <c r="E82" s="747"/>
      <c r="F82" s="747"/>
      <c r="G82" s="747"/>
      <c r="H82" s="223"/>
      <c r="I82" s="224"/>
      <c r="J82" s="224"/>
      <c r="K82" s="223"/>
      <c r="L82" s="223"/>
      <c r="AA82" s="239"/>
      <c r="AB82" s="239"/>
    </row>
    <row r="83" spans="2:28" s="228" customFormat="1" ht="15.75" thickBot="1">
      <c r="B83" s="917"/>
      <c r="C83" s="236"/>
      <c r="D83" s="236"/>
      <c r="E83" s="221"/>
      <c r="F83" s="221"/>
      <c r="G83" s="221"/>
      <c r="H83" s="223"/>
      <c r="I83" s="224"/>
      <c r="J83" s="224"/>
      <c r="K83" s="223"/>
      <c r="L83" s="223"/>
      <c r="AA83" s="239"/>
      <c r="AB83" s="239"/>
    </row>
    <row r="84" spans="2:28" s="228" customFormat="1" ht="75" customHeight="1" thickBot="1">
      <c r="B84" s="1915" t="s">
        <v>15</v>
      </c>
      <c r="C84" s="1885" t="s">
        <v>1013</v>
      </c>
      <c r="D84" s="1885" t="s">
        <v>1014</v>
      </c>
      <c r="E84" s="1894" t="s">
        <v>1032</v>
      </c>
      <c r="F84" s="1885" t="s">
        <v>1033</v>
      </c>
      <c r="G84" s="1894" t="s">
        <v>1034</v>
      </c>
      <c r="H84" s="223"/>
      <c r="I84" s="224"/>
      <c r="J84" s="224"/>
      <c r="K84" s="223"/>
      <c r="L84" s="223"/>
      <c r="AA84" s="239"/>
      <c r="AB84" s="239"/>
    </row>
    <row r="85" spans="2:28" s="228" customFormat="1">
      <c r="B85" s="976"/>
      <c r="C85" s="785"/>
      <c r="D85" s="785"/>
      <c r="E85" s="783"/>
      <c r="F85" s="783"/>
      <c r="G85" s="783"/>
      <c r="H85" s="223"/>
      <c r="I85" s="224"/>
      <c r="J85" s="224"/>
      <c r="K85" s="223"/>
      <c r="L85" s="223"/>
      <c r="AA85" s="239"/>
      <c r="AB85" s="239"/>
    </row>
    <row r="86" spans="2:28" s="228" customFormat="1">
      <c r="B86" s="977"/>
      <c r="C86" s="785"/>
      <c r="D86" s="785"/>
      <c r="E86" s="783"/>
      <c r="F86" s="783"/>
      <c r="G86" s="783"/>
      <c r="H86" s="223"/>
      <c r="I86" s="224"/>
      <c r="J86" s="224"/>
      <c r="K86" s="223"/>
      <c r="L86" s="223"/>
      <c r="AA86" s="239"/>
      <c r="AB86" s="239"/>
    </row>
    <row r="87" spans="2:28" s="228" customFormat="1">
      <c r="B87" s="977"/>
      <c r="C87" s="785"/>
      <c r="D87" s="785"/>
      <c r="E87" s="783"/>
      <c r="F87" s="783"/>
      <c r="G87" s="783"/>
      <c r="H87" s="223"/>
      <c r="I87" s="224"/>
      <c r="J87" s="224"/>
      <c r="K87" s="223"/>
      <c r="L87" s="223"/>
      <c r="AA87" s="239"/>
      <c r="AB87" s="239"/>
    </row>
    <row r="88" spans="2:28" s="228" customFormat="1">
      <c r="B88" s="977"/>
      <c r="C88" s="785"/>
      <c r="D88" s="785"/>
      <c r="E88" s="783"/>
      <c r="F88" s="783"/>
      <c r="G88" s="783"/>
      <c r="H88" s="223"/>
      <c r="I88" s="224"/>
      <c r="J88" s="224"/>
      <c r="K88" s="223"/>
      <c r="L88" s="223"/>
      <c r="AA88" s="239"/>
      <c r="AB88" s="239"/>
    </row>
    <row r="89" spans="2:28" s="228" customFormat="1" ht="13.5" thickBot="1">
      <c r="B89" s="978"/>
      <c r="C89" s="786"/>
      <c r="D89" s="786"/>
      <c r="E89" s="747"/>
      <c r="F89" s="747"/>
      <c r="G89" s="747"/>
      <c r="H89" s="223"/>
      <c r="I89" s="224"/>
      <c r="J89" s="224"/>
      <c r="K89" s="223"/>
      <c r="L89" s="223"/>
      <c r="AA89" s="239"/>
      <c r="AB89" s="239"/>
    </row>
    <row r="90" spans="2:28" s="228" customFormat="1" ht="13.5" thickBot="1">
      <c r="B90" s="915"/>
      <c r="C90" s="916"/>
      <c r="D90" s="916"/>
      <c r="E90" s="218"/>
      <c r="F90" s="218"/>
      <c r="G90" s="218"/>
      <c r="H90" s="223"/>
      <c r="I90" s="224"/>
      <c r="J90" s="224"/>
      <c r="K90" s="223"/>
      <c r="L90" s="223"/>
      <c r="AA90" s="239"/>
      <c r="AB90" s="239"/>
    </row>
    <row r="91" spans="2:28" s="228" customFormat="1" ht="75" customHeight="1" thickBot="1">
      <c r="B91" s="1915" t="s">
        <v>15</v>
      </c>
      <c r="C91" s="1885" t="s">
        <v>1013</v>
      </c>
      <c r="D91" s="1885" t="s">
        <v>1014</v>
      </c>
      <c r="E91" s="1894" t="s">
        <v>1032</v>
      </c>
      <c r="F91" s="1885" t="s">
        <v>1033</v>
      </c>
      <c r="G91" s="1894" t="s">
        <v>1034</v>
      </c>
      <c r="H91" s="223"/>
      <c r="I91" s="224"/>
      <c r="J91" s="224"/>
      <c r="K91" s="223"/>
      <c r="L91" s="223"/>
      <c r="AA91" s="239"/>
      <c r="AB91" s="239"/>
    </row>
    <row r="92" spans="2:28" s="228" customFormat="1">
      <c r="B92" s="976"/>
      <c r="C92" s="785"/>
      <c r="D92" s="785"/>
      <c r="E92" s="783"/>
      <c r="F92" s="783"/>
      <c r="G92" s="783"/>
      <c r="H92" s="223"/>
      <c r="I92" s="224"/>
      <c r="J92" s="224"/>
      <c r="K92" s="223"/>
      <c r="L92" s="223"/>
      <c r="AA92" s="239"/>
      <c r="AB92" s="239"/>
    </row>
    <row r="93" spans="2:28" s="228" customFormat="1">
      <c r="B93" s="977"/>
      <c r="C93" s="785"/>
      <c r="D93" s="785"/>
      <c r="E93" s="783"/>
      <c r="F93" s="783"/>
      <c r="G93" s="783"/>
      <c r="H93" s="223"/>
      <c r="I93" s="224"/>
      <c r="J93" s="224"/>
      <c r="K93" s="223"/>
      <c r="L93" s="223"/>
      <c r="AA93" s="239"/>
      <c r="AB93" s="239"/>
    </row>
    <row r="94" spans="2:28" s="228" customFormat="1">
      <c r="B94" s="977"/>
      <c r="C94" s="785"/>
      <c r="D94" s="785"/>
      <c r="E94" s="783"/>
      <c r="F94" s="783"/>
      <c r="G94" s="783"/>
      <c r="H94" s="223"/>
      <c r="I94" s="224"/>
      <c r="J94" s="224"/>
      <c r="K94" s="223"/>
      <c r="L94" s="223"/>
      <c r="AA94" s="239"/>
      <c r="AB94" s="239"/>
    </row>
    <row r="95" spans="2:28" s="228" customFormat="1">
      <c r="B95" s="977"/>
      <c r="C95" s="785"/>
      <c r="D95" s="785"/>
      <c r="E95" s="783"/>
      <c r="F95" s="783"/>
      <c r="G95" s="783"/>
      <c r="H95" s="223"/>
      <c r="I95" s="224"/>
      <c r="J95" s="224"/>
      <c r="K95" s="223"/>
      <c r="L95" s="223"/>
      <c r="AA95" s="239"/>
      <c r="AB95" s="239"/>
    </row>
    <row r="96" spans="2:28" s="228" customFormat="1" ht="13.5" thickBot="1">
      <c r="B96" s="978"/>
      <c r="C96" s="786"/>
      <c r="D96" s="786"/>
      <c r="E96" s="747"/>
      <c r="F96" s="747"/>
      <c r="G96" s="747"/>
      <c r="H96" s="223"/>
      <c r="I96" s="224"/>
      <c r="J96" s="224"/>
      <c r="K96" s="223"/>
      <c r="L96" s="223"/>
      <c r="AA96" s="239"/>
      <c r="AB96" s="239"/>
    </row>
    <row r="97" spans="2:29" s="228" customFormat="1" ht="15.75" thickBot="1">
      <c r="B97" s="917"/>
      <c r="C97" s="236"/>
      <c r="D97" s="236"/>
      <c r="E97" s="221"/>
      <c r="F97" s="221"/>
      <c r="G97" s="221"/>
      <c r="H97" s="223"/>
      <c r="I97" s="224"/>
      <c r="J97" s="224"/>
      <c r="K97" s="223"/>
      <c r="L97" s="223"/>
      <c r="AA97" s="239"/>
      <c r="AB97" s="239"/>
    </row>
    <row r="98" spans="2:29" s="228" customFormat="1" ht="75" customHeight="1" thickBot="1">
      <c r="B98" s="1915" t="s">
        <v>15</v>
      </c>
      <c r="C98" s="1885" t="s">
        <v>1013</v>
      </c>
      <c r="D98" s="1885" t="s">
        <v>1014</v>
      </c>
      <c r="E98" s="1894" t="s">
        <v>1032</v>
      </c>
      <c r="F98" s="1885" t="s">
        <v>1033</v>
      </c>
      <c r="G98" s="1894" t="s">
        <v>1034</v>
      </c>
      <c r="H98" s="223"/>
      <c r="I98" s="224"/>
      <c r="J98" s="224"/>
      <c r="K98" s="223"/>
      <c r="L98" s="223"/>
      <c r="AA98" s="239"/>
      <c r="AB98" s="239"/>
    </row>
    <row r="99" spans="2:29" s="228" customFormat="1">
      <c r="B99" s="976"/>
      <c r="C99" s="785"/>
      <c r="D99" s="785"/>
      <c r="E99" s="783"/>
      <c r="F99" s="783"/>
      <c r="G99" s="783"/>
      <c r="H99" s="223"/>
      <c r="I99" s="224"/>
      <c r="J99" s="224"/>
      <c r="K99" s="223"/>
      <c r="L99" s="223"/>
      <c r="AA99" s="239"/>
      <c r="AB99" s="239"/>
    </row>
    <row r="100" spans="2:29" s="228" customFormat="1">
      <c r="B100" s="977"/>
      <c r="C100" s="785"/>
      <c r="D100" s="785"/>
      <c r="E100" s="783"/>
      <c r="F100" s="783"/>
      <c r="G100" s="783"/>
      <c r="H100" s="223"/>
      <c r="I100" s="224"/>
      <c r="J100" s="224"/>
      <c r="K100" s="223"/>
      <c r="L100" s="223"/>
      <c r="AA100" s="239"/>
      <c r="AB100" s="239"/>
    </row>
    <row r="101" spans="2:29" s="228" customFormat="1">
      <c r="B101" s="977"/>
      <c r="C101" s="785"/>
      <c r="D101" s="785"/>
      <c r="E101" s="783"/>
      <c r="F101" s="783"/>
      <c r="G101" s="783"/>
      <c r="H101" s="223"/>
      <c r="I101" s="224"/>
      <c r="J101" s="224"/>
      <c r="K101" s="223"/>
      <c r="L101" s="223"/>
      <c r="AA101" s="239"/>
      <c r="AB101" s="239"/>
    </row>
    <row r="102" spans="2:29" s="228" customFormat="1">
      <c r="B102" s="977"/>
      <c r="C102" s="785"/>
      <c r="D102" s="785"/>
      <c r="E102" s="783"/>
      <c r="F102" s="783"/>
      <c r="G102" s="783"/>
      <c r="H102" s="223"/>
      <c r="I102" s="224"/>
      <c r="J102" s="224"/>
      <c r="K102" s="223"/>
      <c r="L102" s="223"/>
      <c r="AA102" s="239"/>
      <c r="AB102" s="239"/>
    </row>
    <row r="103" spans="2:29" s="228" customFormat="1" ht="13.5" thickBot="1">
      <c r="B103" s="978"/>
      <c r="C103" s="786"/>
      <c r="D103" s="786"/>
      <c r="E103" s="747"/>
      <c r="F103" s="747"/>
      <c r="G103" s="747"/>
      <c r="H103" s="223"/>
      <c r="I103" s="224"/>
      <c r="J103" s="224"/>
      <c r="K103" s="223"/>
      <c r="L103" s="223"/>
      <c r="AA103" s="239"/>
      <c r="AB103" s="239"/>
    </row>
    <row r="104" spans="2:29" s="228" customFormat="1" ht="15.75" thickBot="1">
      <c r="B104" s="917"/>
      <c r="C104" s="236"/>
      <c r="D104" s="236"/>
      <c r="E104" s="221"/>
      <c r="F104" s="221"/>
      <c r="G104" s="221"/>
      <c r="H104" s="223"/>
      <c r="I104" s="224"/>
      <c r="J104" s="224"/>
      <c r="K104" s="223"/>
      <c r="L104" s="223"/>
      <c r="AA104" s="239"/>
      <c r="AB104" s="239"/>
    </row>
    <row r="105" spans="2:29" s="228" customFormat="1" ht="75" customHeight="1" thickBot="1">
      <c r="B105" s="1915" t="s">
        <v>15</v>
      </c>
      <c r="C105" s="1885" t="s">
        <v>1013</v>
      </c>
      <c r="D105" s="1885" t="s">
        <v>1014</v>
      </c>
      <c r="E105" s="1894" t="s">
        <v>1032</v>
      </c>
      <c r="F105" s="1885" t="s">
        <v>1033</v>
      </c>
      <c r="G105" s="1894" t="s">
        <v>1034</v>
      </c>
      <c r="H105" s="223"/>
      <c r="I105" s="224"/>
      <c r="J105" s="224"/>
      <c r="K105" s="223"/>
      <c r="L105" s="223"/>
      <c r="AA105" s="239"/>
      <c r="AB105" s="239"/>
    </row>
    <row r="106" spans="2:29" s="228" customFormat="1">
      <c r="B106" s="976"/>
      <c r="C106" s="785"/>
      <c r="D106" s="785"/>
      <c r="E106" s="783"/>
      <c r="F106" s="783"/>
      <c r="G106" s="783"/>
      <c r="H106" s="223"/>
      <c r="I106" s="224"/>
      <c r="J106" s="224"/>
      <c r="K106" s="223"/>
      <c r="L106" s="223"/>
      <c r="AA106" s="239"/>
      <c r="AB106" s="239"/>
    </row>
    <row r="107" spans="2:29" s="228" customFormat="1">
      <c r="B107" s="977"/>
      <c r="C107" s="785"/>
      <c r="D107" s="785"/>
      <c r="E107" s="783"/>
      <c r="F107" s="783"/>
      <c r="G107" s="783"/>
      <c r="H107" s="223"/>
      <c r="I107" s="224"/>
      <c r="J107" s="224"/>
      <c r="K107" s="223"/>
      <c r="L107" s="223"/>
      <c r="AA107" s="239"/>
      <c r="AB107" s="239"/>
    </row>
    <row r="108" spans="2:29" s="228" customFormat="1">
      <c r="B108" s="977"/>
      <c r="C108" s="785"/>
      <c r="D108" s="785"/>
      <c r="E108" s="783"/>
      <c r="F108" s="783"/>
      <c r="G108" s="783"/>
      <c r="H108" s="223"/>
      <c r="I108" s="224"/>
      <c r="J108" s="224"/>
      <c r="K108" s="223"/>
      <c r="L108" s="223"/>
      <c r="AA108" s="239"/>
      <c r="AB108" s="239"/>
    </row>
    <row r="109" spans="2:29" s="228" customFormat="1">
      <c r="B109" s="977"/>
      <c r="C109" s="785"/>
      <c r="D109" s="785"/>
      <c r="E109" s="783"/>
      <c r="F109" s="783"/>
      <c r="G109" s="783"/>
      <c r="H109" s="223"/>
      <c r="I109" s="224"/>
      <c r="J109" s="224"/>
      <c r="K109" s="223"/>
      <c r="L109" s="223"/>
      <c r="AA109" s="239"/>
      <c r="AB109" s="239"/>
    </row>
    <row r="110" spans="2:29" s="228" customFormat="1" ht="13.5" thickBot="1">
      <c r="B110" s="978"/>
      <c r="C110" s="786"/>
      <c r="D110" s="786"/>
      <c r="E110" s="747"/>
      <c r="F110" s="747"/>
      <c r="G110" s="747"/>
      <c r="H110" s="223"/>
      <c r="I110" s="224"/>
      <c r="J110" s="224"/>
      <c r="K110" s="223"/>
      <c r="L110" s="223"/>
      <c r="AA110" s="239"/>
      <c r="AB110" s="239"/>
    </row>
    <row r="111" spans="2:29" s="228" customFormat="1" ht="15">
      <c r="B111" s="917"/>
      <c r="C111" s="236"/>
      <c r="D111" s="236"/>
      <c r="E111" s="221"/>
      <c r="F111" s="221"/>
      <c r="G111" s="221"/>
      <c r="H111" s="223"/>
      <c r="I111" s="224"/>
      <c r="J111" s="224"/>
      <c r="K111" s="223"/>
      <c r="L111" s="223"/>
      <c r="AA111" s="239"/>
      <c r="AB111" s="239"/>
    </row>
    <row r="112" spans="2:29" ht="12.75" customHeight="1">
      <c r="B112" s="205" t="s">
        <v>130</v>
      </c>
      <c r="N112" s="205" t="s">
        <v>34</v>
      </c>
      <c r="R112" s="205" t="s">
        <v>34</v>
      </c>
      <c r="V112" s="205" t="s">
        <v>34</v>
      </c>
      <c r="Z112" s="205" t="s">
        <v>34</v>
      </c>
      <c r="AC112" s="205" t="s">
        <v>34</v>
      </c>
    </row>
    <row r="113" spans="1:28" ht="12.75" customHeight="1" thickBot="1"/>
    <row r="114" spans="1:28" ht="150" customHeight="1" thickBot="1">
      <c r="B114" s="1898"/>
      <c r="C114" s="1896"/>
      <c r="D114" s="1896"/>
      <c r="E114" s="1897"/>
      <c r="F114" s="676"/>
      <c r="G114" s="676"/>
      <c r="H114" s="676"/>
      <c r="I114" s="676"/>
      <c r="J114" s="676"/>
      <c r="K114" s="676"/>
      <c r="L114" s="676"/>
      <c r="M114" s="676"/>
      <c r="N114" s="676"/>
      <c r="O114" s="676"/>
      <c r="P114" s="676"/>
    </row>
    <row r="115" spans="1:28" ht="12.75" customHeight="1">
      <c r="A115" s="217"/>
      <c r="B115" s="225"/>
      <c r="C115" s="223"/>
      <c r="D115" s="223"/>
      <c r="E115" s="226"/>
      <c r="F115" s="226"/>
      <c r="G115" s="226"/>
      <c r="H115" s="226"/>
      <c r="I115" s="226"/>
      <c r="J115" s="226"/>
      <c r="K115" s="226"/>
      <c r="L115" s="226"/>
    </row>
    <row r="116" spans="1:28" ht="12.75" customHeight="1">
      <c r="A116" s="217"/>
      <c r="B116" s="225"/>
      <c r="C116" s="223"/>
      <c r="D116" s="223"/>
      <c r="E116" s="226"/>
      <c r="F116" s="226"/>
      <c r="G116" s="226"/>
      <c r="H116" s="226"/>
      <c r="I116" s="226"/>
      <c r="J116" s="226"/>
      <c r="K116" s="226"/>
      <c r="L116" s="226"/>
    </row>
    <row r="117" spans="1:28" s="699" customFormat="1" ht="18.75">
      <c r="A117" s="554"/>
      <c r="B117" s="890" t="s">
        <v>16</v>
      </c>
      <c r="C117" s="891"/>
      <c r="D117" s="891"/>
      <c r="AA117" s="700"/>
      <c r="AB117" s="700"/>
    </row>
    <row r="118" spans="1:28" s="226" customFormat="1" ht="12.75" customHeight="1" thickBot="1">
      <c r="A118" s="235"/>
      <c r="B118" s="854"/>
      <c r="C118" s="854"/>
      <c r="D118" s="854"/>
      <c r="E118" s="854"/>
      <c r="F118" s="854"/>
      <c r="G118" s="854"/>
      <c r="H118" s="854"/>
      <c r="I118" s="854"/>
      <c r="J118" s="854"/>
      <c r="R118" s="228"/>
      <c r="S118" s="228"/>
      <c r="T118" s="228"/>
      <c r="AA118" s="239"/>
      <c r="AB118" s="239"/>
    </row>
    <row r="119" spans="1:28" ht="12.75" customHeight="1" thickBot="1">
      <c r="A119" s="217"/>
      <c r="B119" s="1888" t="s">
        <v>15</v>
      </c>
      <c r="C119" s="1870" t="s">
        <v>1035</v>
      </c>
      <c r="D119" s="1871"/>
      <c r="E119" s="1872" t="s">
        <v>1036</v>
      </c>
      <c r="F119" s="1873" t="s">
        <v>1037</v>
      </c>
      <c r="G119" s="1874" t="s">
        <v>972</v>
      </c>
      <c r="H119" s="1875"/>
      <c r="I119" s="1876"/>
      <c r="P119" s="229"/>
      <c r="R119" s="206"/>
      <c r="S119" s="206"/>
      <c r="T119" s="206"/>
      <c r="AA119" s="205"/>
      <c r="AB119" s="205"/>
    </row>
    <row r="120" spans="1:28" s="231" customFormat="1" ht="75" customHeight="1" thickBot="1">
      <c r="A120" s="230"/>
      <c r="B120" s="1889"/>
      <c r="C120" s="1877" t="s">
        <v>17</v>
      </c>
      <c r="D120" s="1878" t="s">
        <v>18</v>
      </c>
      <c r="E120" s="1879"/>
      <c r="F120" s="1880"/>
      <c r="G120" s="1881"/>
      <c r="H120" s="1882"/>
      <c r="I120" s="1883"/>
      <c r="P120" s="232"/>
      <c r="R120" s="233"/>
      <c r="S120" s="233"/>
      <c r="T120" s="233"/>
    </row>
    <row r="121" spans="1:28" s="264" customFormat="1" ht="15" customHeight="1">
      <c r="A121" s="788"/>
      <c r="B121" s="793" t="str">
        <f xml:space="preserve"> IF(B28="","",B28)</f>
        <v/>
      </c>
      <c r="C121" s="796"/>
      <c r="D121" s="796"/>
      <c r="E121" s="799"/>
      <c r="F121" s="799"/>
      <c r="G121" s="992"/>
      <c r="H121" s="993"/>
      <c r="I121" s="994"/>
      <c r="P121" s="679"/>
      <c r="R121" s="679"/>
      <c r="S121" s="679"/>
      <c r="T121" s="679"/>
    </row>
    <row r="122" spans="1:28" s="264" customFormat="1" ht="15" customHeight="1">
      <c r="A122" s="788"/>
      <c r="B122" s="794"/>
      <c r="C122" s="797"/>
      <c r="D122" s="797"/>
      <c r="E122" s="800"/>
      <c r="F122" s="800"/>
      <c r="G122" s="802"/>
      <c r="H122" s="789"/>
      <c r="I122" s="790"/>
      <c r="P122" s="679"/>
      <c r="R122" s="679"/>
      <c r="S122" s="679"/>
      <c r="T122" s="679"/>
    </row>
    <row r="123" spans="1:28" s="264" customFormat="1" ht="15" customHeight="1">
      <c r="A123" s="788"/>
      <c r="B123" s="794"/>
      <c r="C123" s="797"/>
      <c r="D123" s="797"/>
      <c r="E123" s="800"/>
      <c r="F123" s="800"/>
      <c r="G123" s="802"/>
      <c r="H123" s="789"/>
      <c r="I123" s="790"/>
      <c r="P123" s="679"/>
      <c r="R123" s="679"/>
      <c r="S123" s="679"/>
      <c r="T123" s="679"/>
    </row>
    <row r="124" spans="1:28" s="264" customFormat="1" ht="15" customHeight="1">
      <c r="A124" s="788"/>
      <c r="B124" s="794"/>
      <c r="C124" s="797"/>
      <c r="D124" s="797"/>
      <c r="E124" s="800"/>
      <c r="F124" s="800"/>
      <c r="G124" s="802"/>
      <c r="H124" s="789"/>
      <c r="I124" s="790"/>
      <c r="P124" s="679"/>
      <c r="R124" s="679"/>
      <c r="S124" s="679"/>
      <c r="T124" s="679"/>
    </row>
    <row r="125" spans="1:28" s="264" customFormat="1" ht="15" customHeight="1">
      <c r="A125" s="788"/>
      <c r="B125" s="794"/>
      <c r="C125" s="797"/>
      <c r="D125" s="797"/>
      <c r="E125" s="800"/>
      <c r="F125" s="800"/>
      <c r="G125" s="802"/>
      <c r="H125" s="789"/>
      <c r="I125" s="790"/>
      <c r="P125" s="679"/>
      <c r="R125" s="679"/>
      <c r="S125" s="679"/>
      <c r="T125" s="679"/>
    </row>
    <row r="126" spans="1:28" s="264" customFormat="1" ht="15" customHeight="1">
      <c r="A126" s="788"/>
      <c r="B126" s="794"/>
      <c r="C126" s="797"/>
      <c r="D126" s="797"/>
      <c r="E126" s="800"/>
      <c r="F126" s="800"/>
      <c r="G126" s="802"/>
      <c r="H126" s="789"/>
      <c r="I126" s="790"/>
      <c r="P126" s="679"/>
      <c r="R126" s="679"/>
      <c r="S126" s="679"/>
      <c r="T126" s="679"/>
    </row>
    <row r="127" spans="1:28" s="264" customFormat="1" ht="15" customHeight="1">
      <c r="A127" s="788"/>
      <c r="B127" s="794"/>
      <c r="C127" s="797"/>
      <c r="D127" s="797"/>
      <c r="E127" s="800"/>
      <c r="F127" s="800"/>
      <c r="G127" s="802"/>
      <c r="H127" s="789"/>
      <c r="I127" s="790"/>
      <c r="P127" s="679"/>
      <c r="R127" s="679"/>
      <c r="S127" s="679"/>
      <c r="T127" s="679"/>
    </row>
    <row r="128" spans="1:28" s="264" customFormat="1" ht="15" customHeight="1">
      <c r="A128" s="788"/>
      <c r="B128" s="794"/>
      <c r="C128" s="797"/>
      <c r="D128" s="797"/>
      <c r="E128" s="800"/>
      <c r="F128" s="800"/>
      <c r="G128" s="802"/>
      <c r="H128" s="789"/>
      <c r="I128" s="790"/>
      <c r="P128" s="679"/>
      <c r="R128" s="679"/>
      <c r="S128" s="679"/>
      <c r="T128" s="679"/>
    </row>
    <row r="129" spans="1:28" s="264" customFormat="1" ht="15" customHeight="1">
      <c r="A129" s="788"/>
      <c r="B129" s="794"/>
      <c r="C129" s="797"/>
      <c r="D129" s="797"/>
      <c r="E129" s="800"/>
      <c r="F129" s="800"/>
      <c r="G129" s="802"/>
      <c r="H129" s="789"/>
      <c r="I129" s="790"/>
      <c r="P129" s="679"/>
      <c r="R129" s="679"/>
      <c r="S129" s="679"/>
      <c r="T129" s="679"/>
    </row>
    <row r="130" spans="1:28" s="264" customFormat="1" ht="15" customHeight="1" thickBot="1">
      <c r="A130" s="788"/>
      <c r="B130" s="795"/>
      <c r="C130" s="798"/>
      <c r="D130" s="798"/>
      <c r="E130" s="801"/>
      <c r="F130" s="801"/>
      <c r="G130" s="803"/>
      <c r="H130" s="791"/>
      <c r="I130" s="792"/>
      <c r="P130" s="679"/>
      <c r="R130" s="679"/>
      <c r="S130" s="679"/>
      <c r="T130" s="679"/>
    </row>
    <row r="131" spans="1:28" s="226" customFormat="1" ht="12.75" customHeight="1">
      <c r="A131" s="235"/>
      <c r="B131" s="236"/>
      <c r="C131" s="236"/>
      <c r="D131" s="236"/>
      <c r="E131" s="237"/>
      <c r="F131" s="237"/>
      <c r="G131" s="237"/>
      <c r="H131" s="237"/>
      <c r="I131" s="237"/>
      <c r="J131" s="238"/>
      <c r="K131" s="224"/>
      <c r="L131" s="224"/>
      <c r="M131" s="224"/>
      <c r="AA131" s="239"/>
      <c r="AB131" s="239"/>
    </row>
    <row r="132" spans="1:28" ht="12.75" customHeight="1">
      <c r="A132" s="217"/>
      <c r="B132" s="205" t="s">
        <v>130</v>
      </c>
    </row>
    <row r="133" spans="1:28" ht="12.75" customHeight="1" thickBot="1">
      <c r="A133" s="217"/>
    </row>
    <row r="134" spans="1:28" ht="150" customHeight="1" thickBot="1">
      <c r="A134" s="217"/>
      <c r="B134" s="1895"/>
      <c r="C134" s="1896"/>
      <c r="D134" s="1896"/>
      <c r="E134" s="1897"/>
      <c r="F134" s="946"/>
      <c r="G134" s="946"/>
      <c r="H134" s="678"/>
      <c r="I134" s="678"/>
      <c r="J134" s="678"/>
      <c r="K134" s="678"/>
      <c r="L134" s="678"/>
      <c r="M134" s="678"/>
      <c r="N134" s="678"/>
      <c r="O134" s="678"/>
      <c r="P134" s="678"/>
    </row>
    <row r="135" spans="1:28" ht="12.75" customHeight="1">
      <c r="A135" s="217"/>
    </row>
    <row r="136" spans="1:28" ht="12.75" customHeight="1">
      <c r="A136" s="217"/>
    </row>
    <row r="137" spans="1:28" s="701" customFormat="1" ht="18.75">
      <c r="A137" s="317"/>
      <c r="B137" s="714" t="s">
        <v>1047</v>
      </c>
      <c r="AA137" s="711"/>
      <c r="AB137" s="703"/>
    </row>
    <row r="138" spans="1:28" ht="14.25" customHeight="1" thickBot="1">
      <c r="A138" s="217"/>
      <c r="B138" s="866"/>
      <c r="C138" s="866"/>
      <c r="D138" s="866"/>
      <c r="E138" s="866"/>
      <c r="F138" s="866"/>
      <c r="G138" s="866"/>
      <c r="H138" s="866"/>
      <c r="I138" s="866"/>
      <c r="J138" s="724"/>
      <c r="K138" s="724"/>
      <c r="L138" s="724"/>
      <c r="M138" s="724"/>
      <c r="N138" s="724"/>
      <c r="O138" s="724"/>
      <c r="P138" s="724"/>
    </row>
    <row r="139" spans="1:28" s="893" customFormat="1" ht="75" customHeight="1" thickBot="1">
      <c r="A139" s="892"/>
      <c r="B139" s="1890" t="s">
        <v>1038</v>
      </c>
      <c r="C139" s="1891" t="s">
        <v>1039</v>
      </c>
      <c r="D139" s="1885" t="s">
        <v>1040</v>
      </c>
      <c r="E139" s="1892" t="s">
        <v>989</v>
      </c>
      <c r="F139" s="1885" t="s">
        <v>1015</v>
      </c>
      <c r="G139" s="1885" t="s">
        <v>1016</v>
      </c>
      <c r="H139" s="1893" t="s">
        <v>1041</v>
      </c>
      <c r="I139" s="1892" t="s">
        <v>990</v>
      </c>
      <c r="J139" s="1885" t="s">
        <v>1017</v>
      </c>
      <c r="K139" s="1893" t="s">
        <v>1042</v>
      </c>
      <c r="L139" s="1892" t="s">
        <v>1043</v>
      </c>
      <c r="M139" s="1885" t="s">
        <v>1018</v>
      </c>
      <c r="N139" s="1885" t="s">
        <v>1019</v>
      </c>
      <c r="O139" s="1885" t="s">
        <v>1020</v>
      </c>
      <c r="P139" s="1885" t="s">
        <v>1021</v>
      </c>
      <c r="Q139" s="1893" t="s">
        <v>31</v>
      </c>
      <c r="R139" s="1890" t="s">
        <v>1044</v>
      </c>
      <c r="S139" s="1885" t="s">
        <v>1045</v>
      </c>
      <c r="T139" s="1894" t="s">
        <v>1046</v>
      </c>
      <c r="U139" s="1894" t="s">
        <v>991</v>
      </c>
      <c r="V139" s="1894" t="s">
        <v>992</v>
      </c>
      <c r="Y139" s="894"/>
      <c r="Z139" s="894"/>
    </row>
    <row r="140" spans="1:28" s="805" customFormat="1" ht="16.5" customHeight="1">
      <c r="A140" s="804"/>
      <c r="B140" s="812"/>
      <c r="C140" s="812"/>
      <c r="D140" s="812"/>
      <c r="E140" s="812"/>
      <c r="F140" s="806"/>
      <c r="G140" s="812"/>
      <c r="H140" s="812"/>
      <c r="I140" s="812"/>
      <c r="J140" s="812"/>
      <c r="K140" s="812"/>
      <c r="L140" s="812"/>
      <c r="M140" s="806"/>
      <c r="N140" s="812"/>
      <c r="O140" s="812"/>
      <c r="P140" s="812"/>
      <c r="Q140" s="815"/>
      <c r="R140" s="815"/>
      <c r="S140" s="815"/>
      <c r="T140" s="807"/>
      <c r="U140" s="807"/>
      <c r="V140" s="807"/>
      <c r="AA140" s="206"/>
      <c r="AB140" s="206"/>
    </row>
    <row r="141" spans="1:28" s="805" customFormat="1" ht="16.5" customHeight="1">
      <c r="A141" s="804"/>
      <c r="B141" s="813"/>
      <c r="C141" s="813"/>
      <c r="D141" s="813"/>
      <c r="E141" s="813"/>
      <c r="F141" s="808"/>
      <c r="G141" s="813"/>
      <c r="H141" s="813"/>
      <c r="I141" s="813"/>
      <c r="J141" s="813"/>
      <c r="K141" s="813"/>
      <c r="L141" s="813"/>
      <c r="M141" s="808"/>
      <c r="N141" s="813"/>
      <c r="O141" s="813"/>
      <c r="P141" s="813"/>
      <c r="Q141" s="816"/>
      <c r="R141" s="816"/>
      <c r="S141" s="816"/>
      <c r="T141" s="809"/>
      <c r="U141" s="809"/>
      <c r="V141" s="809"/>
      <c r="AA141" s="206"/>
      <c r="AB141" s="206"/>
    </row>
    <row r="142" spans="1:28" s="805" customFormat="1" ht="16.5" customHeight="1">
      <c r="A142" s="804"/>
      <c r="B142" s="813"/>
      <c r="C142" s="813"/>
      <c r="D142" s="813"/>
      <c r="E142" s="813"/>
      <c r="F142" s="808"/>
      <c r="G142" s="813"/>
      <c r="H142" s="813"/>
      <c r="I142" s="813"/>
      <c r="J142" s="813"/>
      <c r="K142" s="813"/>
      <c r="L142" s="813"/>
      <c r="M142" s="808"/>
      <c r="N142" s="813"/>
      <c r="O142" s="813"/>
      <c r="P142" s="813"/>
      <c r="Q142" s="816"/>
      <c r="R142" s="816"/>
      <c r="S142" s="816"/>
      <c r="T142" s="809"/>
      <c r="U142" s="809"/>
      <c r="V142" s="809"/>
      <c r="AA142" s="206"/>
      <c r="AB142" s="206"/>
    </row>
    <row r="143" spans="1:28" s="805" customFormat="1" ht="16.5" customHeight="1">
      <c r="A143" s="804"/>
      <c r="B143" s="813"/>
      <c r="C143" s="813"/>
      <c r="D143" s="813"/>
      <c r="E143" s="813"/>
      <c r="F143" s="808"/>
      <c r="G143" s="813"/>
      <c r="H143" s="813"/>
      <c r="I143" s="813"/>
      <c r="J143" s="813"/>
      <c r="K143" s="813"/>
      <c r="L143" s="813"/>
      <c r="M143" s="808"/>
      <c r="N143" s="813"/>
      <c r="O143" s="813"/>
      <c r="P143" s="813"/>
      <c r="Q143" s="816"/>
      <c r="R143" s="816"/>
      <c r="S143" s="816"/>
      <c r="T143" s="809"/>
      <c r="U143" s="809"/>
      <c r="V143" s="809"/>
      <c r="AA143" s="206"/>
      <c r="AB143" s="206"/>
    </row>
    <row r="144" spans="1:28" s="805" customFormat="1" ht="16.5" customHeight="1">
      <c r="A144" s="804"/>
      <c r="B144" s="813"/>
      <c r="C144" s="813"/>
      <c r="D144" s="813"/>
      <c r="E144" s="813"/>
      <c r="F144" s="808"/>
      <c r="G144" s="813"/>
      <c r="H144" s="813"/>
      <c r="I144" s="813"/>
      <c r="J144" s="813"/>
      <c r="K144" s="813"/>
      <c r="L144" s="813"/>
      <c r="M144" s="808"/>
      <c r="N144" s="813"/>
      <c r="O144" s="813"/>
      <c r="P144" s="813"/>
      <c r="Q144" s="816"/>
      <c r="R144" s="816"/>
      <c r="S144" s="816"/>
      <c r="T144" s="809"/>
      <c r="U144" s="809"/>
      <c r="V144" s="809"/>
      <c r="AA144" s="206"/>
      <c r="AB144" s="206"/>
    </row>
    <row r="145" spans="1:28" s="805" customFormat="1" ht="16.5" customHeight="1">
      <c r="A145" s="804"/>
      <c r="B145" s="813"/>
      <c r="C145" s="813"/>
      <c r="D145" s="813"/>
      <c r="E145" s="813"/>
      <c r="F145" s="808"/>
      <c r="G145" s="813"/>
      <c r="H145" s="813"/>
      <c r="I145" s="813"/>
      <c r="J145" s="813"/>
      <c r="K145" s="813"/>
      <c r="L145" s="813"/>
      <c r="M145" s="808"/>
      <c r="N145" s="813"/>
      <c r="O145" s="813"/>
      <c r="P145" s="813"/>
      <c r="Q145" s="816"/>
      <c r="R145" s="816"/>
      <c r="S145" s="816"/>
      <c r="T145" s="809"/>
      <c r="U145" s="809"/>
      <c r="V145" s="809"/>
      <c r="AA145" s="206"/>
      <c r="AB145" s="206"/>
    </row>
    <row r="146" spans="1:28" s="805" customFormat="1" ht="16.5" customHeight="1">
      <c r="A146" s="804"/>
      <c r="B146" s="813"/>
      <c r="C146" s="813"/>
      <c r="D146" s="813"/>
      <c r="E146" s="813"/>
      <c r="F146" s="808"/>
      <c r="G146" s="813"/>
      <c r="H146" s="813"/>
      <c r="I146" s="813"/>
      <c r="J146" s="813"/>
      <c r="K146" s="813"/>
      <c r="L146" s="813"/>
      <c r="M146" s="808"/>
      <c r="N146" s="813"/>
      <c r="O146" s="813"/>
      <c r="P146" s="813"/>
      <c r="Q146" s="816"/>
      <c r="R146" s="816"/>
      <c r="S146" s="816"/>
      <c r="T146" s="809"/>
      <c r="U146" s="809"/>
      <c r="V146" s="809"/>
      <c r="AA146" s="206"/>
      <c r="AB146" s="206"/>
    </row>
    <row r="147" spans="1:28" s="805" customFormat="1" ht="16.5" customHeight="1">
      <c r="A147" s="804"/>
      <c r="B147" s="813"/>
      <c r="C147" s="813"/>
      <c r="D147" s="813"/>
      <c r="E147" s="813"/>
      <c r="F147" s="808"/>
      <c r="G147" s="813"/>
      <c r="H147" s="813"/>
      <c r="I147" s="813"/>
      <c r="J147" s="813"/>
      <c r="K147" s="813"/>
      <c r="L147" s="813"/>
      <c r="M147" s="808"/>
      <c r="N147" s="813"/>
      <c r="O147" s="813"/>
      <c r="P147" s="813"/>
      <c r="Q147" s="816"/>
      <c r="R147" s="816"/>
      <c r="S147" s="816"/>
      <c r="T147" s="809"/>
      <c r="U147" s="809"/>
      <c r="V147" s="809"/>
      <c r="AA147" s="206"/>
      <c r="AB147" s="206"/>
    </row>
    <row r="148" spans="1:28" s="805" customFormat="1" ht="16.5" customHeight="1">
      <c r="A148" s="804"/>
      <c r="B148" s="813"/>
      <c r="C148" s="813"/>
      <c r="D148" s="813"/>
      <c r="E148" s="813"/>
      <c r="F148" s="808"/>
      <c r="G148" s="813"/>
      <c r="H148" s="813"/>
      <c r="I148" s="813"/>
      <c r="J148" s="813"/>
      <c r="K148" s="813"/>
      <c r="L148" s="813"/>
      <c r="M148" s="808"/>
      <c r="N148" s="813"/>
      <c r="O148" s="813"/>
      <c r="P148" s="813"/>
      <c r="Q148" s="816"/>
      <c r="R148" s="816"/>
      <c r="S148" s="816"/>
      <c r="T148" s="809"/>
      <c r="U148" s="809"/>
      <c r="V148" s="809"/>
      <c r="AA148" s="206"/>
      <c r="AB148" s="206"/>
    </row>
    <row r="149" spans="1:28" s="805" customFormat="1" ht="16.5" customHeight="1" thickBot="1">
      <c r="A149" s="804"/>
      <c r="B149" s="814"/>
      <c r="C149" s="814"/>
      <c r="D149" s="814"/>
      <c r="E149" s="814"/>
      <c r="F149" s="810"/>
      <c r="G149" s="814"/>
      <c r="H149" s="814"/>
      <c r="I149" s="814"/>
      <c r="J149" s="814"/>
      <c r="K149" s="814"/>
      <c r="L149" s="814"/>
      <c r="M149" s="810"/>
      <c r="N149" s="814"/>
      <c r="O149" s="814"/>
      <c r="P149" s="814"/>
      <c r="Q149" s="817"/>
      <c r="R149" s="817"/>
      <c r="S149" s="817"/>
      <c r="T149" s="811"/>
      <c r="U149" s="811"/>
      <c r="V149" s="811"/>
      <c r="AA149" s="206"/>
      <c r="AB149" s="206"/>
    </row>
    <row r="150" spans="1:28" ht="14.25" customHeight="1">
      <c r="A150" s="217"/>
      <c r="B150" s="672"/>
      <c r="C150" s="672"/>
      <c r="D150" s="672"/>
      <c r="E150" s="672"/>
      <c r="F150" s="672"/>
      <c r="G150" s="672"/>
      <c r="H150" s="672"/>
      <c r="I150" s="672"/>
      <c r="J150" s="672"/>
      <c r="K150" s="672"/>
      <c r="L150" s="672"/>
      <c r="M150" s="672"/>
      <c r="N150" s="672"/>
      <c r="O150" s="672"/>
      <c r="P150" s="672"/>
    </row>
    <row r="151" spans="1:28" ht="15" customHeight="1">
      <c r="A151" s="217"/>
      <c r="B151" s="205" t="s">
        <v>130</v>
      </c>
      <c r="C151" s="244"/>
      <c r="D151" s="244"/>
      <c r="E151" s="244"/>
      <c r="F151" s="244"/>
      <c r="G151" s="244"/>
      <c r="H151" s="244"/>
    </row>
    <row r="152" spans="1:28" ht="15" customHeight="1" thickBot="1">
      <c r="A152" s="217"/>
      <c r="C152" s="244"/>
      <c r="D152" s="244"/>
      <c r="E152" s="244"/>
      <c r="F152" s="244"/>
      <c r="G152" s="244"/>
      <c r="H152" s="244"/>
    </row>
    <row r="153" spans="1:28" ht="150" customHeight="1" thickBot="1">
      <c r="A153" s="217"/>
      <c r="B153" s="1898"/>
      <c r="C153" s="1896"/>
      <c r="D153" s="1896"/>
      <c r="E153" s="1897"/>
      <c r="F153" s="676"/>
      <c r="G153" s="676"/>
      <c r="H153" s="676"/>
      <c r="I153" s="676"/>
      <c r="J153" s="676"/>
      <c r="K153" s="676"/>
      <c r="L153" s="676"/>
      <c r="M153" s="676"/>
      <c r="N153" s="676"/>
      <c r="O153" s="676"/>
      <c r="P153" s="676"/>
      <c r="Q153" s="228"/>
    </row>
    <row r="154" spans="1:28" s="226" customFormat="1" ht="15" customHeight="1">
      <c r="A154" s="235"/>
      <c r="B154" s="245"/>
      <c r="C154" s="245"/>
      <c r="D154" s="245"/>
      <c r="E154" s="245"/>
      <c r="F154" s="245"/>
      <c r="G154" s="245"/>
      <c r="H154" s="245"/>
      <c r="I154" s="245"/>
      <c r="J154" s="245"/>
      <c r="K154" s="245"/>
      <c r="L154" s="245"/>
      <c r="M154" s="245"/>
      <c r="N154" s="245"/>
      <c r="O154" s="245"/>
      <c r="P154" s="245"/>
      <c r="AA154" s="206"/>
      <c r="AB154" s="239"/>
    </row>
    <row r="155" spans="1:28" s="226" customFormat="1" ht="15" customHeight="1">
      <c r="A155" s="235"/>
      <c r="B155" s="245"/>
      <c r="C155" s="245"/>
      <c r="D155" s="245"/>
      <c r="E155" s="245"/>
      <c r="F155" s="245"/>
      <c r="G155" s="245"/>
      <c r="H155" s="245"/>
      <c r="I155" s="245"/>
      <c r="J155" s="245"/>
      <c r="K155" s="245"/>
      <c r="L155" s="245"/>
      <c r="M155" s="245"/>
      <c r="N155" s="245"/>
      <c r="O155" s="245"/>
      <c r="P155" s="245"/>
      <c r="AA155" s="206"/>
      <c r="AB155" s="239"/>
    </row>
    <row r="156" spans="1:28" s="699" customFormat="1" ht="18.75">
      <c r="A156" s="554"/>
      <c r="B156" s="712" t="s">
        <v>206</v>
      </c>
      <c r="D156" s="713"/>
      <c r="E156" s="713"/>
      <c r="F156" s="713"/>
      <c r="G156" s="713"/>
      <c r="H156" s="713"/>
      <c r="I156" s="713"/>
      <c r="J156" s="713"/>
      <c r="K156" s="713"/>
      <c r="L156" s="713"/>
      <c r="M156" s="713"/>
      <c r="N156" s="713"/>
      <c r="O156" s="713"/>
      <c r="P156" s="713"/>
      <c r="AA156" s="703"/>
      <c r="AB156" s="700"/>
    </row>
    <row r="157" spans="1:28" s="248" customFormat="1" ht="15" customHeight="1">
      <c r="A157" s="246"/>
      <c r="B157" s="247"/>
      <c r="D157" s="249"/>
      <c r="E157" s="249"/>
      <c r="F157" s="249"/>
      <c r="G157" s="249"/>
      <c r="H157" s="249"/>
      <c r="I157" s="249"/>
      <c r="J157" s="249"/>
      <c r="K157" s="249"/>
      <c r="L157" s="249"/>
      <c r="M157" s="249"/>
      <c r="N157" s="249"/>
      <c r="O157" s="249"/>
      <c r="P157" s="249"/>
      <c r="AA157" s="206"/>
      <c r="AB157" s="250"/>
    </row>
    <row r="158" spans="1:28" s="253" customFormat="1" ht="29.25" customHeight="1">
      <c r="A158" s="252"/>
      <c r="B158" s="986" t="s">
        <v>623</v>
      </c>
      <c r="C158" s="986"/>
      <c r="D158" s="986"/>
      <c r="E158" s="986"/>
      <c r="F158" s="986"/>
      <c r="G158" s="986"/>
      <c r="H158" s="986"/>
      <c r="I158" s="986"/>
      <c r="J158" s="986"/>
      <c r="K158" s="986"/>
      <c r="L158" s="986"/>
      <c r="M158" s="986"/>
      <c r="N158" s="986"/>
      <c r="O158" s="986"/>
      <c r="P158" s="986"/>
      <c r="AA158" s="214"/>
      <c r="AB158" s="258"/>
    </row>
    <row r="159" spans="1:28" s="253" customFormat="1" ht="13.5" customHeight="1" thickBot="1">
      <c r="A159" s="252"/>
      <c r="B159" s="725"/>
      <c r="C159" s="725"/>
      <c r="D159" s="725"/>
      <c r="E159" s="725"/>
      <c r="F159" s="725"/>
      <c r="G159" s="725"/>
      <c r="H159" s="725"/>
      <c r="I159" s="725"/>
      <c r="J159" s="725"/>
      <c r="K159" s="725"/>
      <c r="L159" s="725"/>
      <c r="M159" s="725"/>
      <c r="N159" s="725"/>
      <c r="O159" s="725"/>
      <c r="P159" s="725"/>
      <c r="AA159" s="214"/>
      <c r="AB159" s="670"/>
    </row>
    <row r="160" spans="1:28" s="895" customFormat="1" ht="75" customHeight="1" thickBot="1">
      <c r="B160" s="1909" t="s">
        <v>15</v>
      </c>
      <c r="C160" s="1906" t="s">
        <v>1003</v>
      </c>
      <c r="D160" s="1906" t="s">
        <v>1004</v>
      </c>
      <c r="E160" s="1906" t="s">
        <v>1005</v>
      </c>
      <c r="F160" s="1906" t="s">
        <v>1006</v>
      </c>
      <c r="G160" s="1906" t="s">
        <v>1007</v>
      </c>
      <c r="H160" s="1906" t="s">
        <v>1008</v>
      </c>
      <c r="I160" s="1906" t="s">
        <v>1009</v>
      </c>
      <c r="J160" s="1906" t="s">
        <v>1010</v>
      </c>
      <c r="K160" s="1907" t="s">
        <v>1011</v>
      </c>
      <c r="L160" s="892"/>
      <c r="M160" s="892"/>
      <c r="N160" s="892"/>
      <c r="O160" s="892"/>
      <c r="P160" s="892"/>
      <c r="AA160" s="896"/>
      <c r="AB160" s="897"/>
    </row>
    <row r="161" spans="1:30" s="253" customFormat="1" ht="17.25" customHeight="1">
      <c r="A161" s="252"/>
      <c r="B161" s="821"/>
      <c r="C161" s="821"/>
      <c r="D161" s="821"/>
      <c r="E161" s="821"/>
      <c r="F161" s="821"/>
      <c r="G161" s="821"/>
      <c r="H161" s="821"/>
      <c r="I161" s="821"/>
      <c r="J161" s="821"/>
      <c r="K161" s="818"/>
      <c r="L161" s="671"/>
      <c r="M161" s="671"/>
      <c r="N161" s="671"/>
      <c r="O161" s="671"/>
      <c r="P161" s="671"/>
      <c r="AA161" s="214"/>
      <c r="AB161" s="670"/>
    </row>
    <row r="162" spans="1:30" s="253" customFormat="1" ht="17.25" customHeight="1">
      <c r="A162" s="252"/>
      <c r="B162" s="822"/>
      <c r="C162" s="822"/>
      <c r="D162" s="822"/>
      <c r="E162" s="822"/>
      <c r="F162" s="822"/>
      <c r="G162" s="822"/>
      <c r="H162" s="822"/>
      <c r="I162" s="822"/>
      <c r="J162" s="822"/>
      <c r="K162" s="819"/>
      <c r="L162" s="690"/>
      <c r="M162" s="690"/>
      <c r="N162" s="690"/>
      <c r="O162" s="690"/>
      <c r="P162" s="690"/>
      <c r="AA162" s="214"/>
      <c r="AB162" s="670"/>
    </row>
    <row r="163" spans="1:30" s="253" customFormat="1" ht="17.25" customHeight="1">
      <c r="A163" s="252"/>
      <c r="B163" s="822"/>
      <c r="C163" s="822"/>
      <c r="D163" s="822"/>
      <c r="E163" s="822"/>
      <c r="F163" s="822"/>
      <c r="G163" s="822"/>
      <c r="H163" s="822"/>
      <c r="I163" s="822"/>
      <c r="J163" s="822"/>
      <c r="K163" s="819"/>
      <c r="L163" s="690"/>
      <c r="M163" s="690"/>
      <c r="N163" s="690"/>
      <c r="O163" s="690"/>
      <c r="P163" s="690"/>
      <c r="AA163" s="214"/>
      <c r="AB163" s="670"/>
    </row>
    <row r="164" spans="1:30" s="253" customFormat="1" ht="17.25" customHeight="1">
      <c r="A164" s="252"/>
      <c r="B164" s="822"/>
      <c r="C164" s="822"/>
      <c r="D164" s="822"/>
      <c r="E164" s="822"/>
      <c r="F164" s="822"/>
      <c r="G164" s="822"/>
      <c r="H164" s="822"/>
      <c r="I164" s="822"/>
      <c r="J164" s="822"/>
      <c r="K164" s="819"/>
      <c r="L164" s="690"/>
      <c r="M164" s="690"/>
      <c r="N164" s="690"/>
      <c r="O164" s="690"/>
      <c r="P164" s="690"/>
      <c r="AA164" s="214"/>
      <c r="AB164" s="670"/>
    </row>
    <row r="165" spans="1:30" s="253" customFormat="1" ht="17.25" customHeight="1">
      <c r="A165" s="252"/>
      <c r="B165" s="822"/>
      <c r="C165" s="822"/>
      <c r="D165" s="822"/>
      <c r="E165" s="822"/>
      <c r="F165" s="822"/>
      <c r="G165" s="822"/>
      <c r="H165" s="822"/>
      <c r="I165" s="822"/>
      <c r="J165" s="822"/>
      <c r="K165" s="819"/>
      <c r="L165" s="690"/>
      <c r="M165" s="690"/>
      <c r="N165" s="690"/>
      <c r="O165" s="690"/>
      <c r="P165" s="690"/>
      <c r="AA165" s="214"/>
      <c r="AB165" s="670"/>
    </row>
    <row r="166" spans="1:30" s="253" customFormat="1" ht="17.25" customHeight="1">
      <c r="A166" s="252"/>
      <c r="B166" s="822"/>
      <c r="C166" s="822"/>
      <c r="D166" s="822"/>
      <c r="E166" s="822"/>
      <c r="F166" s="822"/>
      <c r="G166" s="822"/>
      <c r="H166" s="822"/>
      <c r="I166" s="822"/>
      <c r="J166" s="822"/>
      <c r="K166" s="819"/>
      <c r="L166" s="690"/>
      <c r="M166" s="690"/>
      <c r="N166" s="690"/>
      <c r="O166" s="690"/>
      <c r="P166" s="690"/>
      <c r="AA166" s="214"/>
      <c r="AB166" s="670"/>
    </row>
    <row r="167" spans="1:30" s="253" customFormat="1" ht="17.25" customHeight="1">
      <c r="A167" s="252"/>
      <c r="B167" s="822"/>
      <c r="C167" s="822"/>
      <c r="D167" s="822"/>
      <c r="E167" s="822"/>
      <c r="F167" s="822"/>
      <c r="G167" s="822"/>
      <c r="H167" s="822"/>
      <c r="I167" s="822"/>
      <c r="J167" s="822"/>
      <c r="K167" s="819"/>
      <c r="L167" s="690"/>
      <c r="M167" s="690"/>
      <c r="N167" s="690"/>
      <c r="O167" s="690"/>
      <c r="P167" s="690"/>
      <c r="AA167" s="214"/>
      <c r="AB167" s="670"/>
    </row>
    <row r="168" spans="1:30" s="253" customFormat="1" ht="17.25" customHeight="1">
      <c r="A168" s="252"/>
      <c r="B168" s="822"/>
      <c r="C168" s="822"/>
      <c r="D168" s="822"/>
      <c r="E168" s="822"/>
      <c r="F168" s="822"/>
      <c r="G168" s="822"/>
      <c r="H168" s="822"/>
      <c r="I168" s="822"/>
      <c r="J168" s="822"/>
      <c r="K168" s="819"/>
      <c r="L168" s="690"/>
      <c r="M168" s="690"/>
      <c r="N168" s="690"/>
      <c r="O168" s="690"/>
      <c r="P168" s="690"/>
      <c r="AA168" s="214"/>
      <c r="AB168" s="670"/>
    </row>
    <row r="169" spans="1:30" s="253" customFormat="1" ht="17.25" customHeight="1">
      <c r="A169" s="252"/>
      <c r="B169" s="822"/>
      <c r="C169" s="822"/>
      <c r="D169" s="822"/>
      <c r="E169" s="822"/>
      <c r="F169" s="822"/>
      <c r="G169" s="822"/>
      <c r="H169" s="822"/>
      <c r="I169" s="822"/>
      <c r="J169" s="822"/>
      <c r="K169" s="819"/>
      <c r="L169" s="690"/>
      <c r="M169" s="690"/>
      <c r="N169" s="690"/>
      <c r="O169" s="690"/>
      <c r="P169" s="690"/>
      <c r="AA169" s="214"/>
      <c r="AB169" s="670"/>
    </row>
    <row r="170" spans="1:30" s="253" customFormat="1" ht="17.25" customHeight="1" thickBot="1">
      <c r="A170" s="252"/>
      <c r="B170" s="823"/>
      <c r="C170" s="823"/>
      <c r="D170" s="823"/>
      <c r="E170" s="823"/>
      <c r="F170" s="823"/>
      <c r="G170" s="823"/>
      <c r="H170" s="823"/>
      <c r="I170" s="823"/>
      <c r="J170" s="823"/>
      <c r="K170" s="820"/>
      <c r="L170" s="690"/>
      <c r="M170" s="690"/>
      <c r="N170" s="690"/>
      <c r="O170" s="690"/>
      <c r="P170" s="690"/>
      <c r="AA170" s="214"/>
      <c r="AB170" s="670"/>
    </row>
    <row r="171" spans="1:30" s="226" customFormat="1" ht="12.75" customHeight="1">
      <c r="A171" s="235"/>
      <c r="B171" s="205"/>
      <c r="C171" s="205"/>
      <c r="D171" s="245"/>
      <c r="E171" s="245"/>
      <c r="F171" s="245"/>
      <c r="G171" s="245"/>
      <c r="H171" s="245"/>
      <c r="I171" s="245"/>
      <c r="J171" s="245"/>
      <c r="K171" s="245"/>
      <c r="L171" s="245"/>
      <c r="M171" s="245"/>
      <c r="N171" s="245"/>
      <c r="O171" s="245"/>
      <c r="P171" s="245"/>
      <c r="AA171" s="239"/>
      <c r="AB171" s="239"/>
      <c r="AC171" s="228"/>
      <c r="AD171" s="228"/>
    </row>
    <row r="172" spans="1:30" s="226" customFormat="1" ht="12.75" customHeight="1">
      <c r="A172" s="235"/>
      <c r="B172" s="205" t="s">
        <v>130</v>
      </c>
      <c r="C172" s="244"/>
      <c r="D172" s="244"/>
      <c r="E172" s="244"/>
      <c r="F172" s="244"/>
      <c r="G172" s="244"/>
      <c r="H172" s="244"/>
      <c r="I172" s="205"/>
      <c r="J172" s="205"/>
      <c r="K172" s="205"/>
      <c r="L172" s="205"/>
      <c r="M172" s="205"/>
      <c r="N172" s="205"/>
      <c r="O172" s="205"/>
      <c r="P172" s="205"/>
      <c r="AA172" s="206"/>
      <c r="AB172" s="239"/>
    </row>
    <row r="173" spans="1:30" s="226" customFormat="1" ht="12.75" customHeight="1" thickBot="1">
      <c r="A173" s="235"/>
      <c r="B173" s="205"/>
      <c r="C173" s="244"/>
      <c r="D173" s="244"/>
      <c r="E173" s="244"/>
      <c r="F173" s="244"/>
      <c r="G173" s="244"/>
      <c r="H173" s="244"/>
      <c r="I173" s="205"/>
      <c r="J173" s="205"/>
      <c r="K173" s="205"/>
      <c r="L173" s="205"/>
      <c r="M173" s="205"/>
      <c r="N173" s="205"/>
      <c r="O173" s="205"/>
      <c r="P173" s="205"/>
      <c r="AA173" s="206"/>
      <c r="AB173" s="239"/>
    </row>
    <row r="174" spans="1:30" s="226" customFormat="1" ht="150" customHeight="1" thickBot="1">
      <c r="A174" s="235"/>
      <c r="B174" s="1898"/>
      <c r="C174" s="1896"/>
      <c r="D174" s="1896"/>
      <c r="E174" s="1897"/>
      <c r="F174" s="676"/>
      <c r="G174" s="676"/>
      <c r="H174" s="676"/>
      <c r="I174" s="676"/>
      <c r="J174" s="676"/>
      <c r="K174" s="676"/>
      <c r="L174" s="676"/>
      <c r="M174" s="676"/>
      <c r="N174" s="676"/>
      <c r="O174" s="676"/>
      <c r="P174" s="676"/>
      <c r="Z174" s="206"/>
      <c r="AA174" s="239"/>
    </row>
    <row r="175" spans="1:30">
      <c r="A175" s="217"/>
      <c r="B175" s="243"/>
      <c r="Z175" s="206"/>
      <c r="AB175" s="205"/>
    </row>
    <row r="176" spans="1:30">
      <c r="A176" s="217"/>
      <c r="B176" s="243"/>
      <c r="Z176" s="206"/>
      <c r="AB176" s="205"/>
    </row>
    <row r="177" spans="1:30" s="701" customFormat="1" ht="18.75">
      <c r="A177" s="317"/>
      <c r="B177" s="204" t="s">
        <v>1051</v>
      </c>
      <c r="Z177" s="703"/>
      <c r="AA177" s="711"/>
    </row>
    <row r="178" spans="1:30" ht="12.75" customHeight="1" thickBot="1">
      <c r="A178" s="210"/>
      <c r="B178" s="211"/>
      <c r="Z178" s="206"/>
      <c r="AA178" s="240"/>
      <c r="AB178" s="205"/>
    </row>
    <row r="179" spans="1:30" ht="75" customHeight="1" thickBot="1">
      <c r="A179" s="210"/>
      <c r="B179" s="1914" t="s">
        <v>15</v>
      </c>
      <c r="C179" s="1906" t="s">
        <v>1048</v>
      </c>
      <c r="D179" s="1906" t="s">
        <v>1049</v>
      </c>
      <c r="E179" s="1906" t="s">
        <v>1050</v>
      </c>
      <c r="F179" s="1906" t="s">
        <v>993</v>
      </c>
      <c r="G179" s="1906" t="s">
        <v>1002</v>
      </c>
      <c r="H179" s="1906" t="s">
        <v>994</v>
      </c>
      <c r="I179" s="1906" t="s">
        <v>995</v>
      </c>
      <c r="J179" s="1906" t="s">
        <v>996</v>
      </c>
      <c r="K179" s="1906" t="s">
        <v>997</v>
      </c>
      <c r="L179" s="1906" t="s">
        <v>998</v>
      </c>
      <c r="M179" s="1906" t="s">
        <v>999</v>
      </c>
      <c r="N179" s="1906" t="s">
        <v>1000</v>
      </c>
      <c r="O179" s="1907" t="s">
        <v>1001</v>
      </c>
      <c r="AA179" s="205"/>
      <c r="AC179" s="240"/>
    </row>
    <row r="180" spans="1:30" ht="12.75" customHeight="1">
      <c r="A180" s="210"/>
      <c r="B180" s="824"/>
      <c r="C180" s="815"/>
      <c r="D180" s="815"/>
      <c r="E180" s="815"/>
      <c r="F180" s="815"/>
      <c r="G180" s="815"/>
      <c r="H180" s="815"/>
      <c r="I180" s="815"/>
      <c r="J180" s="815"/>
      <c r="K180" s="815"/>
      <c r="L180" s="815"/>
      <c r="M180" s="815"/>
      <c r="N180" s="815"/>
      <c r="O180" s="807"/>
      <c r="AA180" s="205"/>
      <c r="AC180" s="206"/>
    </row>
    <row r="181" spans="1:30" ht="12.75" customHeight="1">
      <c r="A181" s="210"/>
      <c r="B181" s="825"/>
      <c r="C181" s="816"/>
      <c r="D181" s="816"/>
      <c r="E181" s="816"/>
      <c r="F181" s="816"/>
      <c r="G181" s="816"/>
      <c r="H181" s="816"/>
      <c r="I181" s="816"/>
      <c r="J181" s="816"/>
      <c r="K181" s="816"/>
      <c r="L181" s="816"/>
      <c r="M181" s="816"/>
      <c r="N181" s="816"/>
      <c r="O181" s="809"/>
      <c r="AA181" s="205"/>
      <c r="AC181" s="206"/>
    </row>
    <row r="182" spans="1:30" ht="12.75" customHeight="1">
      <c r="A182" s="210"/>
      <c r="B182" s="825"/>
      <c r="C182" s="816"/>
      <c r="D182" s="816"/>
      <c r="E182" s="816"/>
      <c r="F182" s="816"/>
      <c r="G182" s="816"/>
      <c r="H182" s="816"/>
      <c r="I182" s="816"/>
      <c r="J182" s="816"/>
      <c r="K182" s="816"/>
      <c r="L182" s="816"/>
      <c r="M182" s="816"/>
      <c r="N182" s="816"/>
      <c r="O182" s="809"/>
      <c r="AA182" s="205"/>
      <c r="AC182" s="206"/>
    </row>
    <row r="183" spans="1:30" ht="12.75" customHeight="1">
      <c r="A183" s="210"/>
      <c r="B183" s="825"/>
      <c r="C183" s="816"/>
      <c r="D183" s="816"/>
      <c r="E183" s="816"/>
      <c r="F183" s="816"/>
      <c r="G183" s="816"/>
      <c r="H183" s="816"/>
      <c r="I183" s="816"/>
      <c r="J183" s="816"/>
      <c r="K183" s="816"/>
      <c r="L183" s="816"/>
      <c r="M183" s="816"/>
      <c r="N183" s="816"/>
      <c r="O183" s="809"/>
      <c r="AA183" s="205"/>
      <c r="AC183" s="206"/>
    </row>
    <row r="184" spans="1:30" ht="12.75" customHeight="1">
      <c r="A184" s="210"/>
      <c r="B184" s="825"/>
      <c r="C184" s="816"/>
      <c r="D184" s="816"/>
      <c r="E184" s="816"/>
      <c r="F184" s="816"/>
      <c r="G184" s="816"/>
      <c r="H184" s="816"/>
      <c r="I184" s="816"/>
      <c r="J184" s="816"/>
      <c r="K184" s="816"/>
      <c r="L184" s="816"/>
      <c r="M184" s="816"/>
      <c r="N184" s="816"/>
      <c r="O184" s="809"/>
      <c r="AA184" s="205"/>
      <c r="AC184" s="206"/>
    </row>
    <row r="185" spans="1:30" ht="12.75" customHeight="1">
      <c r="A185" s="210"/>
      <c r="B185" s="825"/>
      <c r="C185" s="816"/>
      <c r="D185" s="816"/>
      <c r="E185" s="816"/>
      <c r="F185" s="816"/>
      <c r="G185" s="816"/>
      <c r="H185" s="816"/>
      <c r="I185" s="816"/>
      <c r="J185" s="816"/>
      <c r="K185" s="816"/>
      <c r="L185" s="816"/>
      <c r="M185" s="816"/>
      <c r="N185" s="816"/>
      <c r="O185" s="809"/>
      <c r="AA185" s="205"/>
      <c r="AC185" s="206"/>
    </row>
    <row r="186" spans="1:30" ht="12.75" customHeight="1">
      <c r="A186" s="210"/>
      <c r="B186" s="825"/>
      <c r="C186" s="816"/>
      <c r="D186" s="816"/>
      <c r="E186" s="816"/>
      <c r="F186" s="816"/>
      <c r="G186" s="816"/>
      <c r="H186" s="816"/>
      <c r="I186" s="816"/>
      <c r="J186" s="816"/>
      <c r="K186" s="816"/>
      <c r="L186" s="816"/>
      <c r="M186" s="816"/>
      <c r="N186" s="816"/>
      <c r="O186" s="809"/>
      <c r="AA186" s="205"/>
      <c r="AC186" s="206"/>
    </row>
    <row r="187" spans="1:30" ht="12.75" customHeight="1">
      <c r="A187" s="210"/>
      <c r="B187" s="825"/>
      <c r="C187" s="816"/>
      <c r="D187" s="816"/>
      <c r="E187" s="816"/>
      <c r="F187" s="816"/>
      <c r="G187" s="816"/>
      <c r="H187" s="816"/>
      <c r="I187" s="816"/>
      <c r="J187" s="816"/>
      <c r="K187" s="816"/>
      <c r="L187" s="816"/>
      <c r="M187" s="816"/>
      <c r="N187" s="816"/>
      <c r="O187" s="809"/>
      <c r="AA187" s="205"/>
      <c r="AC187" s="206"/>
    </row>
    <row r="188" spans="1:30" ht="12.75" customHeight="1">
      <c r="A188" s="210"/>
      <c r="B188" s="825"/>
      <c r="C188" s="816"/>
      <c r="D188" s="816"/>
      <c r="E188" s="816"/>
      <c r="F188" s="816"/>
      <c r="G188" s="816"/>
      <c r="H188" s="816"/>
      <c r="I188" s="816"/>
      <c r="J188" s="816"/>
      <c r="K188" s="816"/>
      <c r="L188" s="816"/>
      <c r="M188" s="816"/>
      <c r="N188" s="816"/>
      <c r="O188" s="809"/>
      <c r="AA188" s="205"/>
      <c r="AC188" s="206"/>
    </row>
    <row r="189" spans="1:30" ht="12.75" customHeight="1" thickBot="1">
      <c r="A189" s="210"/>
      <c r="B189" s="826"/>
      <c r="C189" s="817"/>
      <c r="D189" s="817"/>
      <c r="E189" s="817"/>
      <c r="F189" s="817"/>
      <c r="G189" s="817"/>
      <c r="H189" s="817"/>
      <c r="I189" s="817"/>
      <c r="J189" s="817"/>
      <c r="K189" s="817"/>
      <c r="L189" s="817"/>
      <c r="M189" s="817"/>
      <c r="N189" s="817"/>
      <c r="O189" s="811"/>
      <c r="AA189" s="205"/>
      <c r="AC189" s="206"/>
    </row>
    <row r="190" spans="1:30" ht="12.75" customHeight="1">
      <c r="A190" s="210"/>
      <c r="B190" s="669"/>
      <c r="Z190" s="206"/>
      <c r="AB190" s="205"/>
    </row>
    <row r="191" spans="1:30" s="226" customFormat="1" ht="21.75" customHeight="1" thickBot="1">
      <c r="B191" s="205" t="s">
        <v>130</v>
      </c>
      <c r="C191" s="244"/>
      <c r="D191" s="244"/>
      <c r="E191" s="244"/>
      <c r="F191" s="244"/>
      <c r="G191" s="244"/>
      <c r="H191" s="244"/>
      <c r="I191" s="205"/>
      <c r="J191" s="205"/>
      <c r="K191" s="205"/>
      <c r="L191" s="205"/>
      <c r="M191" s="205"/>
      <c r="N191" s="205"/>
      <c r="O191" s="205"/>
      <c r="P191" s="245"/>
      <c r="Q191" s="245"/>
      <c r="R191" s="245"/>
      <c r="S191" s="245"/>
      <c r="T191" s="245"/>
      <c r="Z191" s="260"/>
      <c r="AA191" s="239"/>
      <c r="AB191" s="228"/>
      <c r="AC191" s="228"/>
      <c r="AD191" s="228"/>
    </row>
    <row r="192" spans="1:30" s="226" customFormat="1" ht="150" customHeight="1" thickBot="1">
      <c r="B192" s="1898"/>
      <c r="C192" s="1896"/>
      <c r="D192" s="1896"/>
      <c r="E192" s="1897"/>
      <c r="F192" s="676"/>
      <c r="G192" s="676"/>
      <c r="H192" s="676"/>
      <c r="I192" s="676"/>
      <c r="J192" s="676"/>
      <c r="K192" s="676"/>
      <c r="L192" s="676"/>
      <c r="M192" s="676"/>
      <c r="N192" s="676"/>
      <c r="O192" s="676"/>
      <c r="P192" s="676"/>
      <c r="Q192" s="245"/>
      <c r="R192" s="245"/>
      <c r="S192" s="245"/>
      <c r="T192" s="245"/>
      <c r="Z192" s="257" t="str">
        <f>'[1]Standard Definitions &amp; Elements'!D27</f>
        <v>The highest average basic salary over 3 consecutive years of service during 10 years, plus the average of bonuses paid in the 3 years ending on the last day of the period over which the members salary is averaged</v>
      </c>
      <c r="AA192" s="206"/>
    </row>
    <row r="193" spans="1:31" s="226" customFormat="1" ht="12.75" customHeight="1">
      <c r="B193" s="223"/>
      <c r="C193" s="223"/>
      <c r="D193" s="223"/>
      <c r="E193" s="223"/>
      <c r="F193" s="223"/>
      <c r="G193" s="223"/>
      <c r="H193" s="223"/>
      <c r="I193" s="223"/>
      <c r="J193" s="223"/>
      <c r="K193" s="223"/>
      <c r="L193" s="223"/>
      <c r="M193" s="223"/>
      <c r="N193" s="223"/>
      <c r="O193" s="223"/>
      <c r="Z193" s="257"/>
      <c r="AA193" s="206"/>
    </row>
    <row r="194" spans="1:31" s="226" customFormat="1" ht="12.75" customHeight="1">
      <c r="B194" s="223"/>
      <c r="C194" s="223"/>
      <c r="D194" s="223"/>
      <c r="E194" s="223"/>
      <c r="F194" s="223"/>
      <c r="G194" s="223"/>
      <c r="H194" s="223"/>
      <c r="I194" s="223"/>
      <c r="J194" s="223"/>
      <c r="K194" s="223"/>
      <c r="L194" s="223"/>
      <c r="M194" s="223"/>
      <c r="N194" s="223"/>
      <c r="O194" s="223"/>
      <c r="Z194" s="257"/>
      <c r="AA194" s="206"/>
    </row>
    <row r="195" spans="1:31" s="699" customFormat="1" ht="21" customHeight="1">
      <c r="A195" s="317"/>
      <c r="B195" s="204" t="s">
        <v>33</v>
      </c>
      <c r="C195" s="701"/>
      <c r="D195" s="701"/>
      <c r="E195" s="701"/>
      <c r="F195" s="701"/>
      <c r="G195" s="701"/>
      <c r="H195" s="701"/>
      <c r="I195" s="701"/>
      <c r="J195" s="701"/>
      <c r="K195" s="701"/>
      <c r="L195" s="701"/>
      <c r="M195" s="701"/>
      <c r="N195" s="701"/>
      <c r="O195" s="701"/>
      <c r="P195" s="701"/>
      <c r="Q195" s="701"/>
      <c r="R195" s="701"/>
      <c r="S195" s="701"/>
      <c r="T195" s="701"/>
      <c r="U195" s="701"/>
      <c r="V195" s="701"/>
      <c r="W195" s="701"/>
      <c r="X195" s="701"/>
      <c r="Z195" s="710"/>
      <c r="AA195" s="703"/>
    </row>
    <row r="196" spans="1:31">
      <c r="A196" s="217"/>
      <c r="B196" s="209"/>
      <c r="Y196" s="226"/>
      <c r="Z196" s="206"/>
      <c r="AB196" s="205"/>
    </row>
    <row r="197" spans="1:31" ht="45" customHeight="1">
      <c r="A197" s="217"/>
      <c r="B197" s="990" t="s">
        <v>679</v>
      </c>
      <c r="C197" s="1002"/>
      <c r="D197" s="1002"/>
      <c r="E197" s="1002"/>
      <c r="F197" s="1002"/>
      <c r="G197" s="1002"/>
      <c r="H197" s="1002"/>
      <c r="I197" s="1002"/>
      <c r="J197" s="1002"/>
      <c r="K197" s="1002"/>
      <c r="L197" s="1002"/>
      <c r="M197" s="1002"/>
      <c r="N197" s="1002"/>
      <c r="O197" s="1002"/>
      <c r="Z197" s="206"/>
      <c r="AB197" s="205"/>
    </row>
    <row r="198" spans="1:31" ht="12" customHeight="1" thickBot="1">
      <c r="A198" s="217"/>
      <c r="B198" s="724"/>
      <c r="C198" s="726"/>
      <c r="D198" s="726"/>
      <c r="E198" s="726"/>
      <c r="F198" s="726"/>
      <c r="G198" s="726"/>
      <c r="H198" s="726"/>
      <c r="I198" s="726"/>
      <c r="J198" s="726"/>
      <c r="K198" s="726"/>
      <c r="L198" s="726"/>
      <c r="M198" s="726"/>
      <c r="N198" s="726"/>
      <c r="O198" s="726"/>
      <c r="Z198" s="206"/>
      <c r="AB198" s="205"/>
    </row>
    <row r="199" spans="1:31" s="272" customFormat="1" ht="75" customHeight="1" thickBot="1">
      <c r="A199" s="383"/>
      <c r="B199" s="1909" t="s">
        <v>15</v>
      </c>
      <c r="C199" s="1905" t="s">
        <v>1052</v>
      </c>
      <c r="D199" s="1905" t="s">
        <v>1053</v>
      </c>
      <c r="E199" s="1905" t="s">
        <v>1054</v>
      </c>
      <c r="F199" s="1905" t="s">
        <v>1055</v>
      </c>
      <c r="G199" s="1905" t="s">
        <v>1056</v>
      </c>
      <c r="H199" s="1905" t="s">
        <v>1057</v>
      </c>
      <c r="I199" s="1905" t="s">
        <v>1058</v>
      </c>
      <c r="J199" s="1908" t="s">
        <v>1059</v>
      </c>
      <c r="K199" s="1908" t="s">
        <v>1060</v>
      </c>
      <c r="L199" s="1908" t="s">
        <v>1061</v>
      </c>
      <c r="AD199" s="273"/>
      <c r="AE199" s="273"/>
    </row>
    <row r="200" spans="1:31" ht="15.75" customHeight="1">
      <c r="A200" s="217"/>
      <c r="B200" s="812"/>
      <c r="C200" s="812"/>
      <c r="D200" s="784"/>
      <c r="E200" s="784"/>
      <c r="F200" s="784"/>
      <c r="G200" s="784"/>
      <c r="H200" s="784"/>
      <c r="I200" s="784"/>
      <c r="J200" s="827"/>
      <c r="K200" s="827"/>
      <c r="L200" s="827"/>
      <c r="M200" s="668"/>
      <c r="N200" s="668"/>
      <c r="O200" s="668"/>
      <c r="P200" s="668"/>
      <c r="AA200" s="205"/>
      <c r="AC200" s="206"/>
    </row>
    <row r="201" spans="1:31" ht="15.75" customHeight="1">
      <c r="A201" s="217"/>
      <c r="B201" s="813"/>
      <c r="C201" s="813"/>
      <c r="D201" s="785"/>
      <c r="E201" s="785"/>
      <c r="F201" s="785"/>
      <c r="G201" s="785"/>
      <c r="H201" s="785"/>
      <c r="I201" s="785"/>
      <c r="J201" s="828"/>
      <c r="K201" s="828"/>
      <c r="L201" s="828"/>
      <c r="M201" s="691"/>
      <c r="N201" s="691"/>
      <c r="O201" s="691"/>
      <c r="P201" s="691"/>
      <c r="AA201" s="205"/>
      <c r="AC201" s="206"/>
    </row>
    <row r="202" spans="1:31" ht="15.75" customHeight="1">
      <c r="A202" s="217"/>
      <c r="B202" s="813"/>
      <c r="C202" s="813"/>
      <c r="D202" s="785"/>
      <c r="E202" s="785"/>
      <c r="F202" s="785"/>
      <c r="G202" s="785"/>
      <c r="H202" s="785"/>
      <c r="I202" s="785"/>
      <c r="J202" s="828"/>
      <c r="K202" s="828"/>
      <c r="L202" s="828"/>
      <c r="M202" s="691"/>
      <c r="N202" s="691"/>
      <c r="O202" s="691"/>
      <c r="P202" s="691"/>
      <c r="AA202" s="205"/>
      <c r="AC202" s="206"/>
    </row>
    <row r="203" spans="1:31" ht="15.75" customHeight="1">
      <c r="A203" s="217"/>
      <c r="B203" s="813"/>
      <c r="C203" s="813"/>
      <c r="D203" s="785"/>
      <c r="E203" s="785"/>
      <c r="F203" s="785"/>
      <c r="G203" s="785"/>
      <c r="H203" s="785"/>
      <c r="I203" s="785"/>
      <c r="J203" s="828"/>
      <c r="K203" s="828"/>
      <c r="L203" s="828"/>
      <c r="M203" s="691"/>
      <c r="N203" s="691"/>
      <c r="O203" s="691"/>
      <c r="P203" s="691"/>
      <c r="AA203" s="205"/>
      <c r="AC203" s="206"/>
    </row>
    <row r="204" spans="1:31" ht="15.75" customHeight="1">
      <c r="A204" s="217"/>
      <c r="B204" s="813"/>
      <c r="C204" s="813"/>
      <c r="D204" s="785"/>
      <c r="E204" s="785"/>
      <c r="F204" s="785"/>
      <c r="G204" s="785"/>
      <c r="H204" s="785"/>
      <c r="I204" s="785"/>
      <c r="J204" s="828"/>
      <c r="K204" s="828"/>
      <c r="L204" s="828"/>
      <c r="M204" s="691"/>
      <c r="N204" s="691"/>
      <c r="O204" s="691"/>
      <c r="P204" s="691"/>
      <c r="AA204" s="205"/>
      <c r="AC204" s="206"/>
    </row>
    <row r="205" spans="1:31" ht="15.75" customHeight="1">
      <c r="A205" s="217"/>
      <c r="B205" s="813"/>
      <c r="C205" s="813"/>
      <c r="D205" s="785"/>
      <c r="E205" s="785"/>
      <c r="F205" s="785"/>
      <c r="G205" s="785"/>
      <c r="H205" s="785"/>
      <c r="I205" s="785"/>
      <c r="J205" s="828"/>
      <c r="K205" s="828"/>
      <c r="L205" s="828"/>
      <c r="M205" s="691"/>
      <c r="N205" s="691"/>
      <c r="O205" s="691"/>
      <c r="P205" s="691"/>
      <c r="AA205" s="205"/>
      <c r="AC205" s="206"/>
    </row>
    <row r="206" spans="1:31" ht="15.75" customHeight="1">
      <c r="A206" s="217"/>
      <c r="B206" s="813"/>
      <c r="C206" s="813"/>
      <c r="D206" s="785"/>
      <c r="E206" s="785"/>
      <c r="F206" s="785"/>
      <c r="G206" s="785"/>
      <c r="H206" s="785"/>
      <c r="I206" s="785"/>
      <c r="J206" s="828"/>
      <c r="K206" s="828"/>
      <c r="L206" s="828"/>
      <c r="M206" s="691"/>
      <c r="N206" s="691"/>
      <c r="O206" s="691"/>
      <c r="P206" s="691"/>
      <c r="AA206" s="205"/>
      <c r="AC206" s="206"/>
    </row>
    <row r="207" spans="1:31" ht="15.75" customHeight="1">
      <c r="A207" s="217"/>
      <c r="B207" s="813"/>
      <c r="C207" s="813"/>
      <c r="D207" s="785"/>
      <c r="E207" s="785"/>
      <c r="F207" s="785"/>
      <c r="G207" s="785"/>
      <c r="H207" s="785"/>
      <c r="I207" s="785"/>
      <c r="J207" s="828"/>
      <c r="K207" s="828"/>
      <c r="L207" s="828"/>
      <c r="M207" s="691"/>
      <c r="N207" s="691"/>
      <c r="O207" s="691"/>
      <c r="P207" s="691"/>
      <c r="AA207" s="205"/>
      <c r="AC207" s="206"/>
    </row>
    <row r="208" spans="1:31" ht="15.75" customHeight="1">
      <c r="A208" s="217"/>
      <c r="B208" s="813"/>
      <c r="C208" s="813"/>
      <c r="D208" s="785"/>
      <c r="E208" s="785"/>
      <c r="F208" s="785"/>
      <c r="G208" s="785"/>
      <c r="H208" s="785"/>
      <c r="I208" s="785"/>
      <c r="J208" s="828"/>
      <c r="K208" s="828"/>
      <c r="L208" s="828"/>
      <c r="M208" s="691"/>
      <c r="N208" s="691"/>
      <c r="O208" s="691"/>
      <c r="P208" s="691"/>
      <c r="AA208" s="205"/>
      <c r="AC208" s="206"/>
    </row>
    <row r="209" spans="1:29" ht="15.75" customHeight="1" thickBot="1">
      <c r="A209" s="217"/>
      <c r="B209" s="814"/>
      <c r="C209" s="814"/>
      <c r="D209" s="786"/>
      <c r="E209" s="786"/>
      <c r="F209" s="786"/>
      <c r="G209" s="786"/>
      <c r="H209" s="786"/>
      <c r="I209" s="786"/>
      <c r="J209" s="829"/>
      <c r="K209" s="829"/>
      <c r="L209" s="829"/>
      <c r="M209" s="691"/>
      <c r="N209" s="691"/>
      <c r="O209" s="691"/>
      <c r="P209" s="691"/>
      <c r="AA209" s="205"/>
      <c r="AC209" s="206"/>
    </row>
    <row r="210" spans="1:29" ht="15.75" customHeight="1">
      <c r="A210" s="217"/>
      <c r="B210" s="209"/>
    </row>
    <row r="211" spans="1:29" s="226" customFormat="1" ht="18.75">
      <c r="A211" s="235"/>
      <c r="B211" s="204" t="s">
        <v>145</v>
      </c>
      <c r="C211" s="854"/>
      <c r="D211" s="854"/>
      <c r="E211" s="854"/>
      <c r="F211" s="854"/>
      <c r="G211" s="854"/>
      <c r="H211" s="854"/>
      <c r="I211" s="854"/>
      <c r="J211" s="854"/>
      <c r="K211" s="854"/>
      <c r="L211" s="854"/>
      <c r="M211" s="854"/>
      <c r="N211" s="854"/>
      <c r="O211" s="854"/>
      <c r="P211" s="261"/>
      <c r="AA211" s="239"/>
      <c r="AB211" s="239"/>
    </row>
    <row r="212" spans="1:29" s="226" customFormat="1" ht="183.75" customHeight="1">
      <c r="A212" s="235"/>
      <c r="B212" s="987" t="s">
        <v>896</v>
      </c>
      <c r="C212" s="987"/>
      <c r="D212" s="987"/>
      <c r="E212" s="987"/>
      <c r="F212" s="987"/>
      <c r="G212" s="987"/>
      <c r="H212" s="987"/>
      <c r="I212" s="675"/>
      <c r="J212" s="675"/>
      <c r="K212" s="675"/>
      <c r="L212" s="675"/>
      <c r="M212" s="675"/>
      <c r="N212" s="675"/>
      <c r="O212" s="675"/>
      <c r="P212" s="261"/>
      <c r="AA212" s="239"/>
      <c r="AB212" s="239"/>
    </row>
    <row r="213" spans="1:29" s="226" customFormat="1" ht="15" customHeight="1" thickBot="1">
      <c r="A213" s="235"/>
      <c r="B213" s="262"/>
      <c r="C213" s="262"/>
      <c r="D213" s="262"/>
      <c r="E213" s="262"/>
      <c r="F213" s="262"/>
      <c r="G213" s="262"/>
      <c r="H213" s="262"/>
      <c r="I213" s="262"/>
      <c r="J213" s="262"/>
      <c r="K213" s="262"/>
      <c r="L213" s="262"/>
      <c r="M213" s="262"/>
      <c r="N213" s="262"/>
      <c r="O213" s="262"/>
      <c r="P213" s="262"/>
      <c r="AA213" s="239"/>
      <c r="AB213" s="239"/>
    </row>
    <row r="214" spans="1:29" s="902" customFormat="1" ht="75" customHeight="1" thickBot="1">
      <c r="A214" s="901"/>
      <c r="B214" s="1913" t="s">
        <v>15</v>
      </c>
      <c r="C214" s="1910" t="s">
        <v>1022</v>
      </c>
      <c r="D214" s="1910" t="s">
        <v>1023</v>
      </c>
      <c r="E214" s="1910" t="s">
        <v>1024</v>
      </c>
      <c r="F214" s="1911" t="s">
        <v>25</v>
      </c>
      <c r="G214" s="1910" t="s">
        <v>1062</v>
      </c>
      <c r="H214" s="1910" t="s">
        <v>1063</v>
      </c>
      <c r="I214" s="1912" t="s">
        <v>1064</v>
      </c>
      <c r="J214" s="1885" t="s">
        <v>1065</v>
      </c>
      <c r="K214" s="1885" t="s">
        <v>1025</v>
      </c>
      <c r="L214" s="1885" t="s">
        <v>1026</v>
      </c>
    </row>
    <row r="215" spans="1:29" s="226" customFormat="1">
      <c r="A215" s="235"/>
      <c r="B215" s="979" t="str">
        <f>'Scheme Definitions'!B121</f>
        <v/>
      </c>
      <c r="C215" s="898"/>
      <c r="D215" s="898"/>
      <c r="E215" s="898"/>
      <c r="F215" s="898"/>
      <c r="G215" s="898"/>
      <c r="H215" s="898"/>
      <c r="I215" s="898"/>
      <c r="J215" s="898"/>
      <c r="K215" s="898"/>
      <c r="L215" s="898"/>
    </row>
    <row r="216" spans="1:29" s="226" customFormat="1">
      <c r="A216" s="235"/>
      <c r="B216" s="980"/>
      <c r="C216" s="899"/>
      <c r="D216" s="899"/>
      <c r="E216" s="899"/>
      <c r="F216" s="899"/>
      <c r="G216" s="899"/>
      <c r="H216" s="899"/>
      <c r="I216" s="899"/>
      <c r="J216" s="899"/>
      <c r="K216" s="899"/>
      <c r="L216" s="899"/>
    </row>
    <row r="217" spans="1:29" s="226" customFormat="1">
      <c r="A217" s="235"/>
      <c r="B217" s="980"/>
      <c r="C217" s="899"/>
      <c r="D217" s="899"/>
      <c r="E217" s="899"/>
      <c r="F217" s="899"/>
      <c r="G217" s="899"/>
      <c r="H217" s="899"/>
      <c r="I217" s="899"/>
      <c r="J217" s="899"/>
      <c r="K217" s="899"/>
      <c r="L217" s="899"/>
    </row>
    <row r="218" spans="1:29" s="226" customFormat="1">
      <c r="A218" s="235"/>
      <c r="B218" s="980"/>
      <c r="C218" s="899"/>
      <c r="D218" s="899"/>
      <c r="E218" s="899"/>
      <c r="F218" s="899"/>
      <c r="G218" s="899"/>
      <c r="H218" s="899"/>
      <c r="I218" s="899"/>
      <c r="J218" s="899"/>
      <c r="K218" s="899"/>
      <c r="L218" s="899"/>
    </row>
    <row r="219" spans="1:29" s="226" customFormat="1">
      <c r="A219" s="235"/>
      <c r="B219" s="980"/>
      <c r="C219" s="899"/>
      <c r="D219" s="899"/>
      <c r="E219" s="899"/>
      <c r="F219" s="899"/>
      <c r="G219" s="899"/>
      <c r="H219" s="899"/>
      <c r="I219" s="899"/>
      <c r="J219" s="899"/>
      <c r="K219" s="899"/>
      <c r="L219" s="899"/>
    </row>
    <row r="220" spans="1:29" s="226" customFormat="1">
      <c r="A220" s="235"/>
      <c r="B220" s="980"/>
      <c r="C220" s="899"/>
      <c r="D220" s="899"/>
      <c r="E220" s="899"/>
      <c r="F220" s="899"/>
      <c r="G220" s="899"/>
      <c r="H220" s="899"/>
      <c r="I220" s="899"/>
      <c r="J220" s="899"/>
      <c r="K220" s="899"/>
      <c r="L220" s="899"/>
    </row>
    <row r="221" spans="1:29" s="226" customFormat="1">
      <c r="A221" s="235"/>
      <c r="B221" s="980"/>
      <c r="C221" s="899"/>
      <c r="D221" s="899"/>
      <c r="E221" s="899"/>
      <c r="F221" s="899"/>
      <c r="G221" s="899"/>
      <c r="H221" s="899"/>
      <c r="I221" s="899"/>
      <c r="J221" s="899"/>
      <c r="K221" s="899"/>
      <c r="L221" s="899"/>
    </row>
    <row r="222" spans="1:29" s="226" customFormat="1">
      <c r="A222" s="235"/>
      <c r="B222" s="980"/>
      <c r="C222" s="899"/>
      <c r="D222" s="899"/>
      <c r="E222" s="899"/>
      <c r="F222" s="899"/>
      <c r="G222" s="899"/>
      <c r="H222" s="899"/>
      <c r="I222" s="899"/>
      <c r="J222" s="899"/>
      <c r="K222" s="899"/>
      <c r="L222" s="899"/>
    </row>
    <row r="223" spans="1:29" s="226" customFormat="1">
      <c r="A223" s="235"/>
      <c r="B223" s="980"/>
      <c r="C223" s="899"/>
      <c r="D223" s="899"/>
      <c r="E223" s="899"/>
      <c r="F223" s="899"/>
      <c r="G223" s="899"/>
      <c r="H223" s="899"/>
      <c r="I223" s="899"/>
      <c r="J223" s="899"/>
      <c r="K223" s="899"/>
      <c r="L223" s="899"/>
    </row>
    <row r="224" spans="1:29" s="226" customFormat="1">
      <c r="A224" s="235"/>
      <c r="B224" s="980"/>
      <c r="C224" s="899"/>
      <c r="D224" s="899"/>
      <c r="E224" s="899"/>
      <c r="F224" s="899"/>
      <c r="G224" s="899"/>
      <c r="H224" s="899"/>
      <c r="I224" s="899"/>
      <c r="J224" s="899"/>
      <c r="K224" s="899"/>
      <c r="L224" s="899"/>
    </row>
    <row r="225" spans="1:28" s="226" customFormat="1">
      <c r="A225" s="235"/>
      <c r="B225" s="980"/>
      <c r="C225" s="899"/>
      <c r="D225" s="899"/>
      <c r="E225" s="899"/>
      <c r="F225" s="899"/>
      <c r="G225" s="899"/>
      <c r="H225" s="899"/>
      <c r="I225" s="899"/>
      <c r="J225" s="899"/>
      <c r="K225" s="899"/>
      <c r="L225" s="899"/>
    </row>
    <row r="226" spans="1:28" s="226" customFormat="1">
      <c r="A226" s="235"/>
      <c r="B226" s="980"/>
      <c r="C226" s="899"/>
      <c r="D226" s="899"/>
      <c r="E226" s="899"/>
      <c r="F226" s="899"/>
      <c r="G226" s="899"/>
      <c r="H226" s="899"/>
      <c r="I226" s="899"/>
      <c r="J226" s="899"/>
      <c r="K226" s="899"/>
      <c r="L226" s="899"/>
    </row>
    <row r="227" spans="1:28" s="226" customFormat="1">
      <c r="A227" s="235"/>
      <c r="B227" s="980"/>
      <c r="C227" s="899"/>
      <c r="D227" s="899"/>
      <c r="E227" s="899"/>
      <c r="F227" s="899"/>
      <c r="G227" s="899"/>
      <c r="H227" s="899"/>
      <c r="I227" s="899"/>
      <c r="J227" s="899"/>
      <c r="K227" s="899"/>
      <c r="L227" s="899"/>
    </row>
    <row r="228" spans="1:28" s="226" customFormat="1">
      <c r="A228" s="235"/>
      <c r="B228" s="980"/>
      <c r="C228" s="899"/>
      <c r="D228" s="899"/>
      <c r="E228" s="899"/>
      <c r="F228" s="899"/>
      <c r="G228" s="899"/>
      <c r="H228" s="899"/>
      <c r="I228" s="899"/>
      <c r="J228" s="899"/>
      <c r="K228" s="899"/>
      <c r="L228" s="899"/>
    </row>
    <row r="229" spans="1:28" s="226" customFormat="1">
      <c r="A229" s="235"/>
      <c r="B229" s="980"/>
      <c r="C229" s="899"/>
      <c r="D229" s="899"/>
      <c r="E229" s="899"/>
      <c r="F229" s="899"/>
      <c r="G229" s="899"/>
      <c r="H229" s="899"/>
      <c r="I229" s="899"/>
      <c r="J229" s="899"/>
      <c r="K229" s="899"/>
      <c r="L229" s="899"/>
    </row>
    <row r="230" spans="1:28" s="226" customFormat="1">
      <c r="A230" s="235"/>
      <c r="B230" s="980"/>
      <c r="C230" s="899"/>
      <c r="D230" s="899"/>
      <c r="E230" s="899"/>
      <c r="F230" s="899" t="s">
        <v>34</v>
      </c>
      <c r="G230" s="899"/>
      <c r="H230" s="899" t="s">
        <v>34</v>
      </c>
      <c r="I230" s="899"/>
      <c r="J230" s="899"/>
      <c r="K230" s="899"/>
      <c r="L230" s="899"/>
    </row>
    <row r="231" spans="1:28" s="226" customFormat="1">
      <c r="A231" s="235"/>
      <c r="B231" s="980"/>
      <c r="C231" s="899"/>
      <c r="D231" s="899"/>
      <c r="E231" s="899"/>
      <c r="F231" s="899" t="s">
        <v>34</v>
      </c>
      <c r="G231" s="899"/>
      <c r="H231" s="899" t="s">
        <v>34</v>
      </c>
      <c r="I231" s="899"/>
      <c r="J231" s="899"/>
      <c r="K231" s="899"/>
      <c r="L231" s="899"/>
    </row>
    <row r="232" spans="1:28" s="226" customFormat="1">
      <c r="A232" s="235"/>
      <c r="B232" s="980"/>
      <c r="C232" s="899"/>
      <c r="D232" s="899"/>
      <c r="E232" s="899"/>
      <c r="F232" s="899" t="s">
        <v>34</v>
      </c>
      <c r="G232" s="899"/>
      <c r="H232" s="899" t="s">
        <v>34</v>
      </c>
      <c r="I232" s="899"/>
      <c r="J232" s="899"/>
      <c r="K232" s="899"/>
      <c r="L232" s="899"/>
    </row>
    <row r="233" spans="1:28" s="226" customFormat="1">
      <c r="A233" s="235"/>
      <c r="B233" s="980"/>
      <c r="C233" s="899"/>
      <c r="D233" s="899"/>
      <c r="E233" s="899"/>
      <c r="F233" s="899" t="s">
        <v>34</v>
      </c>
      <c r="G233" s="899"/>
      <c r="H233" s="899" t="s">
        <v>34</v>
      </c>
      <c r="I233" s="899"/>
      <c r="J233" s="899"/>
      <c r="K233" s="899"/>
      <c r="L233" s="899"/>
    </row>
    <row r="234" spans="1:28" s="226" customFormat="1" ht="13.5" thickBot="1">
      <c r="A234" s="235"/>
      <c r="B234" s="981"/>
      <c r="C234" s="900"/>
      <c r="D234" s="900"/>
      <c r="E234" s="900"/>
      <c r="F234" s="900" t="s">
        <v>34</v>
      </c>
      <c r="G234" s="900"/>
      <c r="H234" s="900" t="s">
        <v>34</v>
      </c>
      <c r="I234" s="900"/>
      <c r="J234" s="900"/>
      <c r="K234" s="900"/>
      <c r="L234" s="900"/>
    </row>
    <row r="235" spans="1:28" s="226" customFormat="1" ht="13.5" thickBot="1">
      <c r="A235" s="235"/>
      <c r="B235" s="184"/>
      <c r="C235" s="184"/>
      <c r="D235" s="184"/>
      <c r="E235" s="184"/>
      <c r="F235" s="145"/>
      <c r="G235" s="198"/>
      <c r="H235" s="198"/>
      <c r="I235" s="263"/>
      <c r="J235" s="263"/>
      <c r="K235" s="141"/>
      <c r="L235" s="141"/>
      <c r="M235" s="141"/>
      <c r="N235" s="262"/>
      <c r="O235" s="262"/>
      <c r="P235" s="262"/>
      <c r="AA235" s="239"/>
      <c r="AB235" s="239"/>
    </row>
    <row r="236" spans="1:28" s="228" customFormat="1" ht="75" customHeight="1" thickBot="1">
      <c r="A236" s="251"/>
      <c r="B236" s="1913" t="s">
        <v>15</v>
      </c>
      <c r="C236" s="1910" t="s">
        <v>1022</v>
      </c>
      <c r="D236" s="1910" t="s">
        <v>1023</v>
      </c>
      <c r="E236" s="1910" t="s">
        <v>1024</v>
      </c>
      <c r="F236" s="1911" t="s">
        <v>25</v>
      </c>
      <c r="G236" s="1910" t="s">
        <v>1062</v>
      </c>
      <c r="H236" s="1910" t="s">
        <v>1063</v>
      </c>
      <c r="I236" s="1912" t="s">
        <v>1064</v>
      </c>
      <c r="J236" s="1885" t="s">
        <v>1065</v>
      </c>
      <c r="K236" s="1885" t="s">
        <v>1025</v>
      </c>
      <c r="L236" s="1885" t="s">
        <v>1026</v>
      </c>
      <c r="M236" s="141"/>
      <c r="N236" s="889"/>
      <c r="O236" s="889"/>
      <c r="P236" s="889"/>
      <c r="AA236" s="239"/>
      <c r="AB236" s="239"/>
    </row>
    <row r="237" spans="1:28" s="228" customFormat="1">
      <c r="A237" s="251"/>
      <c r="B237" s="979"/>
      <c r="C237" s="898"/>
      <c r="D237" s="898"/>
      <c r="E237" s="898"/>
      <c r="F237" s="898"/>
      <c r="G237" s="898"/>
      <c r="H237" s="898"/>
      <c r="I237" s="898"/>
      <c r="J237" s="898"/>
      <c r="K237" s="898"/>
      <c r="L237" s="898"/>
      <c r="M237" s="141"/>
      <c r="N237" s="889"/>
      <c r="O237" s="889"/>
      <c r="P237" s="889"/>
      <c r="AA237" s="239"/>
      <c r="AB237" s="239"/>
    </row>
    <row r="238" spans="1:28" s="228" customFormat="1">
      <c r="A238" s="251"/>
      <c r="B238" s="980"/>
      <c r="C238" s="899"/>
      <c r="D238" s="899"/>
      <c r="E238" s="899"/>
      <c r="F238" s="899"/>
      <c r="G238" s="899"/>
      <c r="H238" s="899"/>
      <c r="I238" s="899"/>
      <c r="J238" s="899"/>
      <c r="K238" s="899"/>
      <c r="L238" s="899"/>
      <c r="M238" s="141"/>
      <c r="N238" s="889"/>
      <c r="O238" s="889"/>
      <c r="P238" s="889"/>
      <c r="AA238" s="239"/>
      <c r="AB238" s="239"/>
    </row>
    <row r="239" spans="1:28" s="228" customFormat="1">
      <c r="A239" s="251"/>
      <c r="B239" s="980"/>
      <c r="C239" s="899"/>
      <c r="D239" s="899"/>
      <c r="E239" s="899"/>
      <c r="F239" s="899"/>
      <c r="G239" s="899"/>
      <c r="H239" s="899"/>
      <c r="I239" s="899"/>
      <c r="J239" s="899"/>
      <c r="K239" s="899"/>
      <c r="L239" s="899"/>
      <c r="M239" s="141"/>
      <c r="N239" s="889"/>
      <c r="O239" s="889"/>
      <c r="P239" s="889"/>
      <c r="AA239" s="239"/>
      <c r="AB239" s="239"/>
    </row>
    <row r="240" spans="1:28" s="228" customFormat="1">
      <c r="A240" s="251"/>
      <c r="B240" s="980"/>
      <c r="C240" s="899"/>
      <c r="D240" s="899"/>
      <c r="E240" s="899"/>
      <c r="F240" s="899"/>
      <c r="G240" s="899"/>
      <c r="H240" s="899"/>
      <c r="I240" s="899"/>
      <c r="J240" s="899"/>
      <c r="K240" s="899"/>
      <c r="L240" s="899"/>
      <c r="M240" s="141"/>
      <c r="N240" s="889"/>
      <c r="O240" s="889"/>
      <c r="P240" s="889"/>
      <c r="AA240" s="239"/>
      <c r="AB240" s="239"/>
    </row>
    <row r="241" spans="1:28" s="228" customFormat="1">
      <c r="A241" s="251"/>
      <c r="B241" s="980"/>
      <c r="C241" s="899"/>
      <c r="D241" s="899"/>
      <c r="E241" s="899"/>
      <c r="F241" s="899"/>
      <c r="G241" s="899"/>
      <c r="H241" s="899"/>
      <c r="I241" s="899"/>
      <c r="J241" s="899"/>
      <c r="K241" s="899"/>
      <c r="L241" s="899"/>
      <c r="M241" s="141"/>
      <c r="N241" s="889"/>
      <c r="O241" s="889"/>
      <c r="P241" s="889"/>
      <c r="AA241" s="239"/>
      <c r="AB241" s="239"/>
    </row>
    <row r="242" spans="1:28" s="228" customFormat="1">
      <c r="A242" s="251"/>
      <c r="B242" s="980"/>
      <c r="C242" s="899"/>
      <c r="D242" s="899"/>
      <c r="E242" s="899"/>
      <c r="F242" s="899"/>
      <c r="G242" s="899"/>
      <c r="H242" s="899"/>
      <c r="I242" s="899"/>
      <c r="J242" s="899"/>
      <c r="K242" s="899"/>
      <c r="L242" s="899"/>
      <c r="M242" s="141"/>
      <c r="N242" s="889"/>
      <c r="O242" s="889"/>
      <c r="P242" s="889"/>
      <c r="AA242" s="239"/>
      <c r="AB242" s="239"/>
    </row>
    <row r="243" spans="1:28" s="228" customFormat="1">
      <c r="A243" s="251"/>
      <c r="B243" s="980"/>
      <c r="C243" s="899"/>
      <c r="D243" s="899"/>
      <c r="E243" s="899"/>
      <c r="F243" s="899"/>
      <c r="G243" s="899"/>
      <c r="H243" s="899"/>
      <c r="I243" s="899"/>
      <c r="J243" s="899"/>
      <c r="K243" s="899"/>
      <c r="L243" s="899"/>
      <c r="M243" s="141"/>
      <c r="N243" s="889"/>
      <c r="O243" s="889"/>
      <c r="P243" s="889"/>
      <c r="AA243" s="239"/>
      <c r="AB243" s="239"/>
    </row>
    <row r="244" spans="1:28" s="228" customFormat="1">
      <c r="A244" s="251"/>
      <c r="B244" s="980"/>
      <c r="C244" s="899"/>
      <c r="D244" s="899"/>
      <c r="E244" s="899"/>
      <c r="F244" s="899"/>
      <c r="G244" s="899"/>
      <c r="H244" s="899"/>
      <c r="I244" s="899"/>
      <c r="J244" s="899"/>
      <c r="K244" s="899"/>
      <c r="L244" s="899"/>
      <c r="M244" s="141"/>
      <c r="N244" s="889"/>
      <c r="O244" s="889"/>
      <c r="P244" s="889"/>
      <c r="AA244" s="239"/>
      <c r="AB244" s="239"/>
    </row>
    <row r="245" spans="1:28" s="228" customFormat="1">
      <c r="A245" s="251"/>
      <c r="B245" s="980"/>
      <c r="C245" s="899"/>
      <c r="D245" s="899"/>
      <c r="E245" s="899"/>
      <c r="F245" s="899"/>
      <c r="G245" s="899"/>
      <c r="H245" s="899"/>
      <c r="I245" s="899"/>
      <c r="J245" s="899"/>
      <c r="K245" s="899"/>
      <c r="L245" s="899"/>
      <c r="M245" s="141"/>
      <c r="N245" s="889"/>
      <c r="O245" s="889"/>
      <c r="P245" s="889"/>
      <c r="AA245" s="239"/>
      <c r="AB245" s="239"/>
    </row>
    <row r="246" spans="1:28" s="228" customFormat="1">
      <c r="A246" s="251"/>
      <c r="B246" s="980"/>
      <c r="C246" s="899"/>
      <c r="D246" s="899"/>
      <c r="E246" s="899"/>
      <c r="F246" s="899"/>
      <c r="G246" s="899"/>
      <c r="H246" s="899"/>
      <c r="I246" s="899"/>
      <c r="J246" s="899"/>
      <c r="K246" s="899"/>
      <c r="L246" s="899"/>
      <c r="M246" s="141"/>
      <c r="N246" s="889"/>
      <c r="O246" s="889"/>
      <c r="P246" s="889"/>
      <c r="AA246" s="239"/>
      <c r="AB246" s="239"/>
    </row>
    <row r="247" spans="1:28" s="228" customFormat="1">
      <c r="A247" s="251"/>
      <c r="B247" s="980"/>
      <c r="C247" s="899"/>
      <c r="D247" s="899"/>
      <c r="E247" s="899"/>
      <c r="F247" s="899"/>
      <c r="G247" s="899"/>
      <c r="H247" s="899"/>
      <c r="I247" s="899"/>
      <c r="J247" s="899"/>
      <c r="K247" s="899"/>
      <c r="L247" s="899"/>
      <c r="M247" s="141"/>
      <c r="N247" s="889"/>
      <c r="O247" s="889"/>
      <c r="P247" s="889"/>
      <c r="AA247" s="239"/>
      <c r="AB247" s="239"/>
    </row>
    <row r="248" spans="1:28" s="228" customFormat="1">
      <c r="A248" s="251"/>
      <c r="B248" s="980"/>
      <c r="C248" s="899"/>
      <c r="D248" s="899"/>
      <c r="E248" s="899"/>
      <c r="F248" s="899"/>
      <c r="G248" s="899"/>
      <c r="H248" s="899"/>
      <c r="I248" s="899"/>
      <c r="J248" s="899"/>
      <c r="K248" s="899"/>
      <c r="L248" s="899"/>
      <c r="M248" s="141"/>
      <c r="N248" s="889"/>
      <c r="O248" s="889"/>
      <c r="P248" s="889"/>
      <c r="AA248" s="239"/>
      <c r="AB248" s="239"/>
    </row>
    <row r="249" spans="1:28" s="228" customFormat="1">
      <c r="A249" s="251"/>
      <c r="B249" s="980"/>
      <c r="C249" s="899"/>
      <c r="D249" s="899"/>
      <c r="E249" s="899"/>
      <c r="F249" s="899"/>
      <c r="G249" s="899"/>
      <c r="H249" s="899"/>
      <c r="I249" s="899"/>
      <c r="J249" s="899"/>
      <c r="K249" s="899"/>
      <c r="L249" s="899"/>
      <c r="M249" s="141"/>
      <c r="N249" s="889"/>
      <c r="O249" s="889"/>
      <c r="P249" s="889"/>
      <c r="AA249" s="239"/>
      <c r="AB249" s="239"/>
    </row>
    <row r="250" spans="1:28" s="228" customFormat="1">
      <c r="A250" s="251"/>
      <c r="B250" s="980"/>
      <c r="C250" s="899"/>
      <c r="D250" s="899"/>
      <c r="E250" s="899"/>
      <c r="F250" s="899"/>
      <c r="G250" s="899"/>
      <c r="H250" s="899"/>
      <c r="I250" s="899"/>
      <c r="J250" s="899"/>
      <c r="K250" s="899"/>
      <c r="L250" s="899"/>
      <c r="M250" s="141"/>
      <c r="N250" s="889"/>
      <c r="O250" s="889"/>
      <c r="P250" s="889"/>
      <c r="AA250" s="239"/>
      <c r="AB250" s="239"/>
    </row>
    <row r="251" spans="1:28" s="228" customFormat="1">
      <c r="A251" s="251"/>
      <c r="B251" s="980"/>
      <c r="C251" s="899"/>
      <c r="D251" s="899"/>
      <c r="E251" s="899"/>
      <c r="F251" s="899"/>
      <c r="G251" s="899"/>
      <c r="H251" s="899"/>
      <c r="I251" s="899"/>
      <c r="J251" s="899"/>
      <c r="K251" s="899"/>
      <c r="L251" s="899"/>
      <c r="M251" s="141"/>
      <c r="N251" s="889"/>
      <c r="O251" s="889"/>
      <c r="P251" s="889"/>
      <c r="AA251" s="239"/>
      <c r="AB251" s="239"/>
    </row>
    <row r="252" spans="1:28" s="228" customFormat="1">
      <c r="A252" s="251"/>
      <c r="B252" s="980"/>
      <c r="C252" s="899"/>
      <c r="D252" s="899"/>
      <c r="E252" s="899"/>
      <c r="F252" s="899" t="s">
        <v>34</v>
      </c>
      <c r="G252" s="899"/>
      <c r="H252" s="899" t="s">
        <v>34</v>
      </c>
      <c r="I252" s="899"/>
      <c r="J252" s="899"/>
      <c r="K252" s="899"/>
      <c r="L252" s="899"/>
      <c r="M252" s="141"/>
      <c r="N252" s="889"/>
      <c r="O252" s="889"/>
      <c r="P252" s="889"/>
      <c r="AA252" s="239"/>
      <c r="AB252" s="239"/>
    </row>
    <row r="253" spans="1:28" s="228" customFormat="1">
      <c r="A253" s="251"/>
      <c r="B253" s="980"/>
      <c r="C253" s="899"/>
      <c r="D253" s="899"/>
      <c r="E253" s="899"/>
      <c r="F253" s="899" t="s">
        <v>34</v>
      </c>
      <c r="G253" s="899"/>
      <c r="H253" s="899" t="s">
        <v>34</v>
      </c>
      <c r="I253" s="899"/>
      <c r="J253" s="899"/>
      <c r="K253" s="899"/>
      <c r="L253" s="899"/>
      <c r="M253" s="141"/>
      <c r="N253" s="889"/>
      <c r="O253" s="889"/>
      <c r="P253" s="889"/>
      <c r="AA253" s="239"/>
      <c r="AB253" s="239"/>
    </row>
    <row r="254" spans="1:28" s="228" customFormat="1">
      <c r="A254" s="251"/>
      <c r="B254" s="980"/>
      <c r="C254" s="899"/>
      <c r="D254" s="899"/>
      <c r="E254" s="899"/>
      <c r="F254" s="899" t="s">
        <v>34</v>
      </c>
      <c r="G254" s="899"/>
      <c r="H254" s="899" t="s">
        <v>34</v>
      </c>
      <c r="I254" s="899"/>
      <c r="J254" s="899"/>
      <c r="K254" s="899"/>
      <c r="L254" s="899"/>
      <c r="M254" s="141"/>
      <c r="N254" s="889"/>
      <c r="O254" s="889"/>
      <c r="P254" s="889"/>
      <c r="AA254" s="239"/>
      <c r="AB254" s="239"/>
    </row>
    <row r="255" spans="1:28" s="228" customFormat="1">
      <c r="A255" s="251"/>
      <c r="B255" s="980"/>
      <c r="C255" s="899"/>
      <c r="D255" s="899"/>
      <c r="E255" s="899"/>
      <c r="F255" s="899" t="s">
        <v>34</v>
      </c>
      <c r="G255" s="899"/>
      <c r="H255" s="899" t="s">
        <v>34</v>
      </c>
      <c r="I255" s="899"/>
      <c r="J255" s="899"/>
      <c r="K255" s="899"/>
      <c r="L255" s="899"/>
      <c r="M255" s="141"/>
      <c r="N255" s="889"/>
      <c r="O255" s="889"/>
      <c r="P255" s="889"/>
      <c r="AA255" s="239"/>
      <c r="AB255" s="239"/>
    </row>
    <row r="256" spans="1:28" s="228" customFormat="1" ht="13.5" thickBot="1">
      <c r="A256" s="251"/>
      <c r="B256" s="981"/>
      <c r="C256" s="900"/>
      <c r="D256" s="900"/>
      <c r="E256" s="900"/>
      <c r="F256" s="900" t="s">
        <v>34</v>
      </c>
      <c r="G256" s="900"/>
      <c r="H256" s="900" t="s">
        <v>34</v>
      </c>
      <c r="I256" s="900"/>
      <c r="J256" s="900"/>
      <c r="K256" s="900"/>
      <c r="L256" s="900"/>
      <c r="M256" s="141"/>
      <c r="N256" s="889"/>
      <c r="O256" s="889"/>
      <c r="P256" s="889"/>
      <c r="AA256" s="239"/>
      <c r="AB256" s="239"/>
    </row>
    <row r="257" spans="1:28" s="228" customFormat="1" ht="15.75" thickBot="1">
      <c r="A257" s="251"/>
      <c r="B257" s="912"/>
      <c r="C257" s="264"/>
      <c r="D257" s="264"/>
      <c r="E257" s="264"/>
      <c r="F257" s="264"/>
      <c r="G257" s="264"/>
      <c r="H257" s="264"/>
      <c r="I257" s="264"/>
      <c r="J257" s="264"/>
      <c r="K257" s="264"/>
      <c r="L257" s="264"/>
      <c r="M257" s="141"/>
      <c r="N257" s="889"/>
      <c r="O257" s="889"/>
      <c r="P257" s="889"/>
      <c r="AA257" s="239"/>
      <c r="AB257" s="239"/>
    </row>
    <row r="258" spans="1:28" s="228" customFormat="1" ht="75" customHeight="1" thickBot="1">
      <c r="A258" s="251"/>
      <c r="B258" s="1913" t="s">
        <v>15</v>
      </c>
      <c r="C258" s="1910" t="s">
        <v>1022</v>
      </c>
      <c r="D258" s="1910" t="s">
        <v>1023</v>
      </c>
      <c r="E258" s="1910" t="s">
        <v>1024</v>
      </c>
      <c r="F258" s="1911" t="s">
        <v>25</v>
      </c>
      <c r="G258" s="1910" t="s">
        <v>1062</v>
      </c>
      <c r="H258" s="1910" t="s">
        <v>1063</v>
      </c>
      <c r="I258" s="1912" t="s">
        <v>1064</v>
      </c>
      <c r="J258" s="1885" t="s">
        <v>1065</v>
      </c>
      <c r="K258" s="1885" t="s">
        <v>1025</v>
      </c>
      <c r="L258" s="1885" t="s">
        <v>1026</v>
      </c>
      <c r="M258" s="141"/>
      <c r="N258" s="889"/>
      <c r="O258" s="889"/>
      <c r="P258" s="889"/>
      <c r="AA258" s="239"/>
      <c r="AB258" s="239"/>
    </row>
    <row r="259" spans="1:28" s="228" customFormat="1">
      <c r="A259" s="251"/>
      <c r="B259" s="979"/>
      <c r="C259" s="898"/>
      <c r="D259" s="898"/>
      <c r="E259" s="898"/>
      <c r="F259" s="898"/>
      <c r="G259" s="898"/>
      <c r="H259" s="898"/>
      <c r="I259" s="898"/>
      <c r="J259" s="898"/>
      <c r="K259" s="898"/>
      <c r="L259" s="898"/>
      <c r="M259" s="141"/>
      <c r="N259" s="889"/>
      <c r="O259" s="889"/>
      <c r="P259" s="889"/>
      <c r="AA259" s="239"/>
      <c r="AB259" s="239"/>
    </row>
    <row r="260" spans="1:28" s="228" customFormat="1">
      <c r="A260" s="251"/>
      <c r="B260" s="980"/>
      <c r="C260" s="899"/>
      <c r="D260" s="899"/>
      <c r="E260" s="899"/>
      <c r="F260" s="899"/>
      <c r="G260" s="899"/>
      <c r="H260" s="899"/>
      <c r="I260" s="899"/>
      <c r="J260" s="899"/>
      <c r="K260" s="899"/>
      <c r="L260" s="899"/>
      <c r="M260" s="141"/>
      <c r="N260" s="889"/>
      <c r="O260" s="889"/>
      <c r="P260" s="889"/>
      <c r="AA260" s="239"/>
      <c r="AB260" s="239"/>
    </row>
    <row r="261" spans="1:28" s="228" customFormat="1">
      <c r="A261" s="251"/>
      <c r="B261" s="980"/>
      <c r="C261" s="899"/>
      <c r="D261" s="899"/>
      <c r="E261" s="899"/>
      <c r="F261" s="899"/>
      <c r="G261" s="899"/>
      <c r="H261" s="899"/>
      <c r="I261" s="899"/>
      <c r="J261" s="899"/>
      <c r="K261" s="899"/>
      <c r="L261" s="899"/>
      <c r="M261" s="141"/>
      <c r="N261" s="889"/>
      <c r="O261" s="889"/>
      <c r="P261" s="889"/>
      <c r="AA261" s="239"/>
      <c r="AB261" s="239"/>
    </row>
    <row r="262" spans="1:28" s="228" customFormat="1">
      <c r="A262" s="251"/>
      <c r="B262" s="980"/>
      <c r="C262" s="899"/>
      <c r="D262" s="899"/>
      <c r="E262" s="899"/>
      <c r="F262" s="899"/>
      <c r="G262" s="899"/>
      <c r="H262" s="899"/>
      <c r="I262" s="899"/>
      <c r="J262" s="899"/>
      <c r="K262" s="899"/>
      <c r="L262" s="899"/>
      <c r="M262" s="141"/>
      <c r="N262" s="889"/>
      <c r="O262" s="889"/>
      <c r="P262" s="889"/>
      <c r="AA262" s="239"/>
      <c r="AB262" s="239"/>
    </row>
    <row r="263" spans="1:28" s="228" customFormat="1">
      <c r="A263" s="251"/>
      <c r="B263" s="980"/>
      <c r="C263" s="899"/>
      <c r="D263" s="899"/>
      <c r="E263" s="899"/>
      <c r="F263" s="899"/>
      <c r="G263" s="899"/>
      <c r="H263" s="899"/>
      <c r="I263" s="899"/>
      <c r="J263" s="899"/>
      <c r="K263" s="899"/>
      <c r="L263" s="899"/>
      <c r="M263" s="141"/>
      <c r="N263" s="889"/>
      <c r="O263" s="889"/>
      <c r="P263" s="889"/>
      <c r="AA263" s="239"/>
      <c r="AB263" s="239"/>
    </row>
    <row r="264" spans="1:28" s="228" customFormat="1">
      <c r="A264" s="251"/>
      <c r="B264" s="980"/>
      <c r="C264" s="899"/>
      <c r="D264" s="899"/>
      <c r="E264" s="899"/>
      <c r="F264" s="899"/>
      <c r="G264" s="899"/>
      <c r="H264" s="899"/>
      <c r="I264" s="899"/>
      <c r="J264" s="899"/>
      <c r="K264" s="899"/>
      <c r="L264" s="899"/>
      <c r="M264" s="141"/>
      <c r="N264" s="889"/>
      <c r="O264" s="889"/>
      <c r="P264" s="889"/>
      <c r="AA264" s="239"/>
      <c r="AB264" s="239"/>
    </row>
    <row r="265" spans="1:28" s="228" customFormat="1">
      <c r="A265" s="251"/>
      <c r="B265" s="980"/>
      <c r="C265" s="899"/>
      <c r="D265" s="899"/>
      <c r="E265" s="899"/>
      <c r="F265" s="899"/>
      <c r="G265" s="899"/>
      <c r="H265" s="899"/>
      <c r="I265" s="899"/>
      <c r="J265" s="899"/>
      <c r="K265" s="899"/>
      <c r="L265" s="899"/>
      <c r="M265" s="141"/>
      <c r="N265" s="889"/>
      <c r="O265" s="889"/>
      <c r="P265" s="889"/>
      <c r="AA265" s="239"/>
      <c r="AB265" s="239"/>
    </row>
    <row r="266" spans="1:28" s="228" customFormat="1">
      <c r="A266" s="251"/>
      <c r="B266" s="980"/>
      <c r="C266" s="899"/>
      <c r="D266" s="899"/>
      <c r="E266" s="899"/>
      <c r="F266" s="899"/>
      <c r="G266" s="899"/>
      <c r="H266" s="899"/>
      <c r="I266" s="899"/>
      <c r="J266" s="899"/>
      <c r="K266" s="899"/>
      <c r="L266" s="899"/>
      <c r="M266" s="141"/>
      <c r="N266" s="889"/>
      <c r="O266" s="889"/>
      <c r="P266" s="889"/>
      <c r="AA266" s="239"/>
      <c r="AB266" s="239"/>
    </row>
    <row r="267" spans="1:28" s="228" customFormat="1">
      <c r="A267" s="251"/>
      <c r="B267" s="980"/>
      <c r="C267" s="899"/>
      <c r="D267" s="899"/>
      <c r="E267" s="899"/>
      <c r="F267" s="899"/>
      <c r="G267" s="899"/>
      <c r="H267" s="899"/>
      <c r="I267" s="899"/>
      <c r="J267" s="899"/>
      <c r="K267" s="899"/>
      <c r="L267" s="899"/>
      <c r="M267" s="141"/>
      <c r="N267" s="889"/>
      <c r="O267" s="889"/>
      <c r="P267" s="889"/>
      <c r="AA267" s="239"/>
      <c r="AB267" s="239"/>
    </row>
    <row r="268" spans="1:28" s="228" customFormat="1">
      <c r="A268" s="251"/>
      <c r="B268" s="980"/>
      <c r="C268" s="899"/>
      <c r="D268" s="899"/>
      <c r="E268" s="899"/>
      <c r="F268" s="899"/>
      <c r="G268" s="899"/>
      <c r="H268" s="899"/>
      <c r="I268" s="899"/>
      <c r="J268" s="899"/>
      <c r="K268" s="899"/>
      <c r="L268" s="899"/>
      <c r="M268" s="141"/>
      <c r="N268" s="889"/>
      <c r="O268" s="889"/>
      <c r="P268" s="889"/>
      <c r="AA268" s="239"/>
      <c r="AB268" s="239"/>
    </row>
    <row r="269" spans="1:28" s="228" customFormat="1">
      <c r="A269" s="251"/>
      <c r="B269" s="980"/>
      <c r="C269" s="899"/>
      <c r="D269" s="899"/>
      <c r="E269" s="899"/>
      <c r="F269" s="899"/>
      <c r="G269" s="899"/>
      <c r="H269" s="899"/>
      <c r="I269" s="899"/>
      <c r="J269" s="899"/>
      <c r="K269" s="899"/>
      <c r="L269" s="899"/>
      <c r="M269" s="141"/>
      <c r="N269" s="889"/>
      <c r="O269" s="889"/>
      <c r="P269" s="889"/>
      <c r="AA269" s="239"/>
      <c r="AB269" s="239"/>
    </row>
    <row r="270" spans="1:28" s="228" customFormat="1">
      <c r="A270" s="251"/>
      <c r="B270" s="980"/>
      <c r="C270" s="899"/>
      <c r="D270" s="899"/>
      <c r="E270" s="899"/>
      <c r="F270" s="899"/>
      <c r="G270" s="899"/>
      <c r="H270" s="899"/>
      <c r="I270" s="899"/>
      <c r="J270" s="899"/>
      <c r="K270" s="899"/>
      <c r="L270" s="899"/>
      <c r="M270" s="141"/>
      <c r="N270" s="889"/>
      <c r="O270" s="889"/>
      <c r="P270" s="889"/>
      <c r="AA270" s="239"/>
      <c r="AB270" s="239"/>
    </row>
    <row r="271" spans="1:28" s="228" customFormat="1">
      <c r="A271" s="251"/>
      <c r="B271" s="980"/>
      <c r="C271" s="899"/>
      <c r="D271" s="899"/>
      <c r="E271" s="899"/>
      <c r="F271" s="899"/>
      <c r="G271" s="899"/>
      <c r="H271" s="899"/>
      <c r="I271" s="899"/>
      <c r="J271" s="899"/>
      <c r="K271" s="899"/>
      <c r="L271" s="899"/>
      <c r="M271" s="141"/>
      <c r="N271" s="889"/>
      <c r="O271" s="889"/>
      <c r="P271" s="889"/>
      <c r="AA271" s="239"/>
      <c r="AB271" s="239"/>
    </row>
    <row r="272" spans="1:28" s="228" customFormat="1">
      <c r="A272" s="251"/>
      <c r="B272" s="980"/>
      <c r="C272" s="899"/>
      <c r="D272" s="899"/>
      <c r="E272" s="899"/>
      <c r="F272" s="899"/>
      <c r="G272" s="899"/>
      <c r="H272" s="899"/>
      <c r="I272" s="899"/>
      <c r="J272" s="899"/>
      <c r="K272" s="899"/>
      <c r="L272" s="899"/>
      <c r="M272" s="141"/>
      <c r="N272" s="889"/>
      <c r="O272" s="889"/>
      <c r="P272" s="889"/>
      <c r="AA272" s="239"/>
      <c r="AB272" s="239"/>
    </row>
    <row r="273" spans="1:28" s="228" customFormat="1">
      <c r="A273" s="251"/>
      <c r="B273" s="980"/>
      <c r="C273" s="899"/>
      <c r="D273" s="899"/>
      <c r="E273" s="899"/>
      <c r="F273" s="899"/>
      <c r="G273" s="899"/>
      <c r="H273" s="899"/>
      <c r="I273" s="899"/>
      <c r="J273" s="899"/>
      <c r="K273" s="899"/>
      <c r="L273" s="899"/>
      <c r="M273" s="141"/>
      <c r="N273" s="889"/>
      <c r="O273" s="889"/>
      <c r="P273" s="889"/>
      <c r="AA273" s="239"/>
      <c r="AB273" s="239"/>
    </row>
    <row r="274" spans="1:28" s="228" customFormat="1">
      <c r="A274" s="251"/>
      <c r="B274" s="980"/>
      <c r="C274" s="899"/>
      <c r="D274" s="899"/>
      <c r="E274" s="899"/>
      <c r="F274" s="899" t="s">
        <v>34</v>
      </c>
      <c r="G274" s="899"/>
      <c r="H274" s="899" t="s">
        <v>34</v>
      </c>
      <c r="I274" s="899"/>
      <c r="J274" s="899"/>
      <c r="K274" s="899"/>
      <c r="L274" s="899"/>
      <c r="M274" s="141"/>
      <c r="N274" s="889"/>
      <c r="O274" s="889"/>
      <c r="P274" s="889"/>
      <c r="AA274" s="239"/>
      <c r="AB274" s="239"/>
    </row>
    <row r="275" spans="1:28" s="228" customFormat="1">
      <c r="A275" s="251"/>
      <c r="B275" s="980"/>
      <c r="C275" s="899"/>
      <c r="D275" s="899"/>
      <c r="E275" s="899"/>
      <c r="F275" s="899" t="s">
        <v>34</v>
      </c>
      <c r="G275" s="899"/>
      <c r="H275" s="899" t="s">
        <v>34</v>
      </c>
      <c r="I275" s="899"/>
      <c r="J275" s="899"/>
      <c r="K275" s="899"/>
      <c r="L275" s="899"/>
      <c r="M275" s="141"/>
      <c r="N275" s="889"/>
      <c r="O275" s="889"/>
      <c r="P275" s="889"/>
      <c r="AA275" s="239"/>
      <c r="AB275" s="239"/>
    </row>
    <row r="276" spans="1:28" s="228" customFormat="1">
      <c r="A276" s="251"/>
      <c r="B276" s="980"/>
      <c r="C276" s="899"/>
      <c r="D276" s="899"/>
      <c r="E276" s="899"/>
      <c r="F276" s="899" t="s">
        <v>34</v>
      </c>
      <c r="G276" s="899"/>
      <c r="H276" s="899" t="s">
        <v>34</v>
      </c>
      <c r="I276" s="899"/>
      <c r="J276" s="899"/>
      <c r="K276" s="899"/>
      <c r="L276" s="899"/>
      <c r="M276" s="141"/>
      <c r="N276" s="889"/>
      <c r="O276" s="889"/>
      <c r="P276" s="889"/>
      <c r="AA276" s="239"/>
      <c r="AB276" s="239"/>
    </row>
    <row r="277" spans="1:28" s="228" customFormat="1">
      <c r="A277" s="251"/>
      <c r="B277" s="980"/>
      <c r="C277" s="899"/>
      <c r="D277" s="899"/>
      <c r="E277" s="899"/>
      <c r="F277" s="899" t="s">
        <v>34</v>
      </c>
      <c r="G277" s="899"/>
      <c r="H277" s="899" t="s">
        <v>34</v>
      </c>
      <c r="I277" s="899"/>
      <c r="J277" s="899"/>
      <c r="K277" s="899"/>
      <c r="L277" s="899"/>
      <c r="M277" s="141"/>
      <c r="N277" s="889"/>
      <c r="O277" s="889"/>
      <c r="P277" s="889"/>
      <c r="AA277" s="239"/>
      <c r="AB277" s="239"/>
    </row>
    <row r="278" spans="1:28" s="228" customFormat="1" ht="13.5" thickBot="1">
      <c r="A278" s="251"/>
      <c r="B278" s="981"/>
      <c r="C278" s="900"/>
      <c r="D278" s="900"/>
      <c r="E278" s="900"/>
      <c r="F278" s="900" t="s">
        <v>34</v>
      </c>
      <c r="G278" s="900"/>
      <c r="H278" s="900" t="s">
        <v>34</v>
      </c>
      <c r="I278" s="900"/>
      <c r="J278" s="900"/>
      <c r="K278" s="900"/>
      <c r="L278" s="900"/>
      <c r="M278" s="141"/>
      <c r="N278" s="889"/>
      <c r="O278" s="889"/>
      <c r="P278" s="889"/>
      <c r="AA278" s="239"/>
      <c r="AB278" s="239"/>
    </row>
    <row r="279" spans="1:28" s="228" customFormat="1" ht="15.75" thickBot="1">
      <c r="A279" s="251"/>
      <c r="B279" s="912"/>
      <c r="C279" s="264"/>
      <c r="D279" s="264"/>
      <c r="E279" s="264"/>
      <c r="F279" s="264"/>
      <c r="G279" s="264"/>
      <c r="H279" s="264"/>
      <c r="I279" s="264"/>
      <c r="J279" s="264"/>
      <c r="K279" s="264"/>
      <c r="L279" s="264"/>
      <c r="M279" s="141"/>
      <c r="N279" s="889"/>
      <c r="O279" s="889"/>
      <c r="P279" s="889"/>
      <c r="AA279" s="239"/>
      <c r="AB279" s="239"/>
    </row>
    <row r="280" spans="1:28" s="228" customFormat="1" ht="75" customHeight="1" thickBot="1">
      <c r="A280" s="251"/>
      <c r="B280" s="1913" t="s">
        <v>15</v>
      </c>
      <c r="C280" s="1910" t="s">
        <v>1022</v>
      </c>
      <c r="D280" s="1910" t="s">
        <v>1023</v>
      </c>
      <c r="E280" s="1910" t="s">
        <v>1024</v>
      </c>
      <c r="F280" s="1911" t="s">
        <v>25</v>
      </c>
      <c r="G280" s="1910" t="s">
        <v>1062</v>
      </c>
      <c r="H280" s="1910" t="s">
        <v>1063</v>
      </c>
      <c r="I280" s="1912" t="s">
        <v>1064</v>
      </c>
      <c r="J280" s="1885" t="s">
        <v>1065</v>
      </c>
      <c r="K280" s="1885" t="s">
        <v>1025</v>
      </c>
      <c r="L280" s="1885" t="s">
        <v>1026</v>
      </c>
      <c r="M280" s="141"/>
      <c r="N280" s="889"/>
      <c r="O280" s="889"/>
      <c r="P280" s="889"/>
      <c r="AA280" s="239"/>
      <c r="AB280" s="239"/>
    </row>
    <row r="281" spans="1:28" s="228" customFormat="1">
      <c r="A281" s="251"/>
      <c r="B281" s="979"/>
      <c r="C281" s="898"/>
      <c r="D281" s="898"/>
      <c r="E281" s="898"/>
      <c r="F281" s="898"/>
      <c r="G281" s="898"/>
      <c r="H281" s="898"/>
      <c r="I281" s="898"/>
      <c r="J281" s="898"/>
      <c r="K281" s="898"/>
      <c r="L281" s="898"/>
      <c r="M281" s="141"/>
      <c r="N281" s="889"/>
      <c r="O281" s="889"/>
      <c r="P281" s="889"/>
      <c r="AA281" s="239"/>
      <c r="AB281" s="239"/>
    </row>
    <row r="282" spans="1:28" s="228" customFormat="1">
      <c r="A282" s="251"/>
      <c r="B282" s="980"/>
      <c r="C282" s="899"/>
      <c r="D282" s="899"/>
      <c r="E282" s="899"/>
      <c r="F282" s="899"/>
      <c r="G282" s="899"/>
      <c r="H282" s="899"/>
      <c r="I282" s="899"/>
      <c r="J282" s="899"/>
      <c r="K282" s="899"/>
      <c r="L282" s="899"/>
      <c r="M282" s="141"/>
      <c r="N282" s="889"/>
      <c r="O282" s="889"/>
      <c r="P282" s="889"/>
      <c r="AA282" s="239"/>
      <c r="AB282" s="239"/>
    </row>
    <row r="283" spans="1:28" s="228" customFormat="1">
      <c r="A283" s="251"/>
      <c r="B283" s="980"/>
      <c r="C283" s="899"/>
      <c r="D283" s="899"/>
      <c r="E283" s="899"/>
      <c r="F283" s="899"/>
      <c r="G283" s="899"/>
      <c r="H283" s="899"/>
      <c r="I283" s="899"/>
      <c r="J283" s="899"/>
      <c r="K283" s="899"/>
      <c r="L283" s="899"/>
      <c r="M283" s="141"/>
      <c r="N283" s="889"/>
      <c r="O283" s="889"/>
      <c r="P283" s="889"/>
      <c r="AA283" s="239"/>
      <c r="AB283" s="239"/>
    </row>
    <row r="284" spans="1:28" s="228" customFormat="1">
      <c r="A284" s="251"/>
      <c r="B284" s="980"/>
      <c r="C284" s="899"/>
      <c r="D284" s="899"/>
      <c r="E284" s="899"/>
      <c r="F284" s="899"/>
      <c r="G284" s="899"/>
      <c r="H284" s="899"/>
      <c r="I284" s="899"/>
      <c r="J284" s="899"/>
      <c r="K284" s="899"/>
      <c r="L284" s="899"/>
      <c r="M284" s="141"/>
      <c r="N284" s="889"/>
      <c r="O284" s="889"/>
      <c r="P284" s="889"/>
      <c r="AA284" s="239"/>
      <c r="AB284" s="239"/>
    </row>
    <row r="285" spans="1:28" s="228" customFormat="1">
      <c r="A285" s="251"/>
      <c r="B285" s="980"/>
      <c r="C285" s="899"/>
      <c r="D285" s="899"/>
      <c r="E285" s="899"/>
      <c r="F285" s="899"/>
      <c r="G285" s="899"/>
      <c r="H285" s="899"/>
      <c r="I285" s="899"/>
      <c r="J285" s="899"/>
      <c r="K285" s="899"/>
      <c r="L285" s="899"/>
      <c r="M285" s="141"/>
      <c r="N285" s="889"/>
      <c r="O285" s="889"/>
      <c r="P285" s="889"/>
      <c r="AA285" s="239"/>
      <c r="AB285" s="239"/>
    </row>
    <row r="286" spans="1:28" s="228" customFormat="1">
      <c r="A286" s="251"/>
      <c r="B286" s="980"/>
      <c r="C286" s="899"/>
      <c r="D286" s="899"/>
      <c r="E286" s="899"/>
      <c r="F286" s="899"/>
      <c r="G286" s="899"/>
      <c r="H286" s="899"/>
      <c r="I286" s="899"/>
      <c r="J286" s="899"/>
      <c r="K286" s="899"/>
      <c r="L286" s="899"/>
      <c r="M286" s="141"/>
      <c r="N286" s="889"/>
      <c r="O286" s="889"/>
      <c r="P286" s="889"/>
      <c r="AA286" s="239"/>
      <c r="AB286" s="239"/>
    </row>
    <row r="287" spans="1:28" s="228" customFormat="1">
      <c r="A287" s="251"/>
      <c r="B287" s="980"/>
      <c r="C287" s="899"/>
      <c r="D287" s="899"/>
      <c r="E287" s="899"/>
      <c r="F287" s="899"/>
      <c r="G287" s="899"/>
      <c r="H287" s="899"/>
      <c r="I287" s="899"/>
      <c r="J287" s="899"/>
      <c r="K287" s="899"/>
      <c r="L287" s="899"/>
      <c r="M287" s="141"/>
      <c r="N287" s="889"/>
      <c r="O287" s="889"/>
      <c r="P287" s="889"/>
      <c r="AA287" s="239"/>
      <c r="AB287" s="239"/>
    </row>
    <row r="288" spans="1:28" s="228" customFormat="1">
      <c r="A288" s="251"/>
      <c r="B288" s="980"/>
      <c r="C288" s="899"/>
      <c r="D288" s="899"/>
      <c r="E288" s="899"/>
      <c r="F288" s="899"/>
      <c r="G288" s="899"/>
      <c r="H288" s="899"/>
      <c r="I288" s="899"/>
      <c r="J288" s="899"/>
      <c r="K288" s="899"/>
      <c r="L288" s="899"/>
      <c r="M288" s="141"/>
      <c r="N288" s="889"/>
      <c r="O288" s="889"/>
      <c r="P288" s="889"/>
      <c r="AA288" s="239"/>
      <c r="AB288" s="239"/>
    </row>
    <row r="289" spans="1:28" s="228" customFormat="1">
      <c r="A289" s="251"/>
      <c r="B289" s="980"/>
      <c r="C289" s="899"/>
      <c r="D289" s="899"/>
      <c r="E289" s="899"/>
      <c r="F289" s="899"/>
      <c r="G289" s="899"/>
      <c r="H289" s="899"/>
      <c r="I289" s="899"/>
      <c r="J289" s="899"/>
      <c r="K289" s="899"/>
      <c r="L289" s="899"/>
      <c r="M289" s="141"/>
      <c r="N289" s="889"/>
      <c r="O289" s="889"/>
      <c r="P289" s="889"/>
      <c r="AA289" s="239"/>
      <c r="AB289" s="239"/>
    </row>
    <row r="290" spans="1:28" s="228" customFormat="1">
      <c r="A290" s="251"/>
      <c r="B290" s="980"/>
      <c r="C290" s="899"/>
      <c r="D290" s="899"/>
      <c r="E290" s="899"/>
      <c r="F290" s="899"/>
      <c r="G290" s="899"/>
      <c r="H290" s="899"/>
      <c r="I290" s="899"/>
      <c r="J290" s="899"/>
      <c r="K290" s="899"/>
      <c r="L290" s="899"/>
      <c r="M290" s="141"/>
      <c r="N290" s="889"/>
      <c r="O290" s="889"/>
      <c r="P290" s="889"/>
      <c r="AA290" s="239"/>
      <c r="AB290" s="239"/>
    </row>
    <row r="291" spans="1:28" s="228" customFormat="1">
      <c r="A291" s="251"/>
      <c r="B291" s="980"/>
      <c r="C291" s="899"/>
      <c r="D291" s="899"/>
      <c r="E291" s="899"/>
      <c r="F291" s="899"/>
      <c r="G291" s="899"/>
      <c r="H291" s="899"/>
      <c r="I291" s="899"/>
      <c r="J291" s="899"/>
      <c r="K291" s="899"/>
      <c r="L291" s="899"/>
      <c r="M291" s="141"/>
      <c r="N291" s="889"/>
      <c r="O291" s="889"/>
      <c r="P291" s="889"/>
      <c r="AA291" s="239"/>
      <c r="AB291" s="239"/>
    </row>
    <row r="292" spans="1:28" s="228" customFormat="1">
      <c r="A292" s="251"/>
      <c r="B292" s="980"/>
      <c r="C292" s="899"/>
      <c r="D292" s="899"/>
      <c r="E292" s="899"/>
      <c r="F292" s="899"/>
      <c r="G292" s="899"/>
      <c r="H292" s="899"/>
      <c r="I292" s="899"/>
      <c r="J292" s="899"/>
      <c r="K292" s="899"/>
      <c r="L292" s="899"/>
      <c r="M292" s="141"/>
      <c r="N292" s="889"/>
      <c r="O292" s="889"/>
      <c r="P292" s="889"/>
      <c r="AA292" s="239"/>
      <c r="AB292" s="239"/>
    </row>
    <row r="293" spans="1:28" s="228" customFormat="1">
      <c r="A293" s="251"/>
      <c r="B293" s="980"/>
      <c r="C293" s="899"/>
      <c r="D293" s="899"/>
      <c r="E293" s="899"/>
      <c r="F293" s="899"/>
      <c r="G293" s="899"/>
      <c r="H293" s="899"/>
      <c r="I293" s="899"/>
      <c r="J293" s="899"/>
      <c r="K293" s="899"/>
      <c r="L293" s="899"/>
      <c r="M293" s="141"/>
      <c r="N293" s="889"/>
      <c r="O293" s="889"/>
      <c r="P293" s="889"/>
      <c r="AA293" s="239"/>
      <c r="AB293" s="239"/>
    </row>
    <row r="294" spans="1:28" s="228" customFormat="1">
      <c r="A294" s="251"/>
      <c r="B294" s="980"/>
      <c r="C294" s="899"/>
      <c r="D294" s="899"/>
      <c r="E294" s="899"/>
      <c r="F294" s="899"/>
      <c r="G294" s="899"/>
      <c r="H294" s="899"/>
      <c r="I294" s="899"/>
      <c r="J294" s="899"/>
      <c r="K294" s="899"/>
      <c r="L294" s="899"/>
      <c r="M294" s="141"/>
      <c r="N294" s="889"/>
      <c r="O294" s="889"/>
      <c r="P294" s="889"/>
      <c r="AA294" s="239"/>
      <c r="AB294" s="239"/>
    </row>
    <row r="295" spans="1:28" s="228" customFormat="1">
      <c r="A295" s="251"/>
      <c r="B295" s="980"/>
      <c r="C295" s="899"/>
      <c r="D295" s="899"/>
      <c r="E295" s="899"/>
      <c r="F295" s="899"/>
      <c r="G295" s="899"/>
      <c r="H295" s="899"/>
      <c r="I295" s="899"/>
      <c r="J295" s="899"/>
      <c r="K295" s="899"/>
      <c r="L295" s="899"/>
      <c r="M295" s="141"/>
      <c r="N295" s="889"/>
      <c r="O295" s="889"/>
      <c r="P295" s="889"/>
      <c r="AA295" s="239"/>
      <c r="AB295" s="239"/>
    </row>
    <row r="296" spans="1:28" s="228" customFormat="1">
      <c r="A296" s="251"/>
      <c r="B296" s="980"/>
      <c r="C296" s="899"/>
      <c r="D296" s="899"/>
      <c r="E296" s="899"/>
      <c r="F296" s="899" t="s">
        <v>34</v>
      </c>
      <c r="G296" s="899"/>
      <c r="H296" s="899" t="s">
        <v>34</v>
      </c>
      <c r="I296" s="899"/>
      <c r="J296" s="899"/>
      <c r="K296" s="899"/>
      <c r="L296" s="899"/>
      <c r="M296" s="141"/>
      <c r="N296" s="889"/>
      <c r="O296" s="889"/>
      <c r="P296" s="889"/>
      <c r="AA296" s="239"/>
      <c r="AB296" s="239"/>
    </row>
    <row r="297" spans="1:28" s="228" customFormat="1">
      <c r="A297" s="251"/>
      <c r="B297" s="980"/>
      <c r="C297" s="899"/>
      <c r="D297" s="899"/>
      <c r="E297" s="899"/>
      <c r="F297" s="899" t="s">
        <v>34</v>
      </c>
      <c r="G297" s="899"/>
      <c r="H297" s="899" t="s">
        <v>34</v>
      </c>
      <c r="I297" s="899"/>
      <c r="J297" s="899"/>
      <c r="K297" s="899"/>
      <c r="L297" s="899"/>
      <c r="M297" s="141"/>
      <c r="N297" s="889"/>
      <c r="O297" s="889"/>
      <c r="P297" s="889"/>
      <c r="AA297" s="239"/>
      <c r="AB297" s="239"/>
    </row>
    <row r="298" spans="1:28" s="228" customFormat="1">
      <c r="A298" s="251"/>
      <c r="B298" s="980"/>
      <c r="C298" s="899"/>
      <c r="D298" s="899"/>
      <c r="E298" s="899"/>
      <c r="F298" s="899" t="s">
        <v>34</v>
      </c>
      <c r="G298" s="899"/>
      <c r="H298" s="899" t="s">
        <v>34</v>
      </c>
      <c r="I298" s="899"/>
      <c r="J298" s="899"/>
      <c r="K298" s="899"/>
      <c r="L298" s="899"/>
      <c r="M298" s="141"/>
      <c r="N298" s="889"/>
      <c r="O298" s="889"/>
      <c r="P298" s="889"/>
      <c r="AA298" s="239"/>
      <c r="AB298" s="239"/>
    </row>
    <row r="299" spans="1:28" s="228" customFormat="1">
      <c r="A299" s="251"/>
      <c r="B299" s="980"/>
      <c r="C299" s="899"/>
      <c r="D299" s="899"/>
      <c r="E299" s="899"/>
      <c r="F299" s="899" t="s">
        <v>34</v>
      </c>
      <c r="G299" s="899"/>
      <c r="H299" s="899" t="s">
        <v>34</v>
      </c>
      <c r="I299" s="899"/>
      <c r="J299" s="899"/>
      <c r="K299" s="899"/>
      <c r="L299" s="899"/>
      <c r="M299" s="141"/>
      <c r="N299" s="889"/>
      <c r="O299" s="889"/>
      <c r="P299" s="889"/>
      <c r="AA299" s="239"/>
      <c r="AB299" s="239"/>
    </row>
    <row r="300" spans="1:28" s="228" customFormat="1" ht="13.5" thickBot="1">
      <c r="A300" s="251"/>
      <c r="B300" s="981"/>
      <c r="C300" s="900"/>
      <c r="D300" s="900"/>
      <c r="E300" s="900"/>
      <c r="F300" s="900" t="s">
        <v>34</v>
      </c>
      <c r="G300" s="900"/>
      <c r="H300" s="900" t="s">
        <v>34</v>
      </c>
      <c r="I300" s="900"/>
      <c r="J300" s="900"/>
      <c r="K300" s="900"/>
      <c r="L300" s="900"/>
      <c r="M300" s="141"/>
      <c r="N300" s="889"/>
      <c r="O300" s="889"/>
      <c r="P300" s="889"/>
      <c r="AA300" s="239"/>
      <c r="AB300" s="239"/>
    </row>
    <row r="301" spans="1:28" s="228" customFormat="1" ht="15.75" thickBot="1">
      <c r="A301" s="251"/>
      <c r="B301" s="912"/>
      <c r="C301" s="264"/>
      <c r="D301" s="264"/>
      <c r="E301" s="264"/>
      <c r="F301" s="264"/>
      <c r="G301" s="264"/>
      <c r="H301" s="264"/>
      <c r="I301" s="264"/>
      <c r="J301" s="264"/>
      <c r="K301" s="264"/>
      <c r="L301" s="264"/>
      <c r="M301" s="141"/>
      <c r="N301" s="889"/>
      <c r="O301" s="889"/>
      <c r="P301" s="889"/>
      <c r="AA301" s="239"/>
      <c r="AB301" s="239"/>
    </row>
    <row r="302" spans="1:28" s="228" customFormat="1" ht="75" customHeight="1" thickBot="1">
      <c r="A302" s="251"/>
      <c r="B302" s="1913" t="s">
        <v>15</v>
      </c>
      <c r="C302" s="1910" t="s">
        <v>1022</v>
      </c>
      <c r="D302" s="1910" t="s">
        <v>1023</v>
      </c>
      <c r="E302" s="1910" t="s">
        <v>1024</v>
      </c>
      <c r="F302" s="1911" t="s">
        <v>25</v>
      </c>
      <c r="G302" s="1910" t="s">
        <v>1062</v>
      </c>
      <c r="H302" s="1910" t="s">
        <v>1063</v>
      </c>
      <c r="I302" s="1912" t="s">
        <v>1064</v>
      </c>
      <c r="J302" s="1885" t="s">
        <v>1065</v>
      </c>
      <c r="K302" s="1885" t="s">
        <v>1025</v>
      </c>
      <c r="L302" s="1885" t="s">
        <v>1026</v>
      </c>
      <c r="M302" s="141"/>
      <c r="N302" s="889"/>
      <c r="O302" s="889"/>
      <c r="P302" s="889"/>
      <c r="AA302" s="239"/>
      <c r="AB302" s="239"/>
    </row>
    <row r="303" spans="1:28" s="228" customFormat="1">
      <c r="A303" s="251"/>
      <c r="B303" s="979"/>
      <c r="C303" s="898"/>
      <c r="D303" s="898"/>
      <c r="E303" s="898"/>
      <c r="F303" s="898"/>
      <c r="G303" s="898"/>
      <c r="H303" s="898"/>
      <c r="I303" s="898"/>
      <c r="J303" s="898"/>
      <c r="K303" s="898"/>
      <c r="L303" s="898"/>
      <c r="M303" s="141"/>
      <c r="N303" s="889"/>
      <c r="O303" s="889"/>
      <c r="P303" s="889"/>
      <c r="AA303" s="239"/>
      <c r="AB303" s="239"/>
    </row>
    <row r="304" spans="1:28" s="228" customFormat="1">
      <c r="A304" s="251"/>
      <c r="B304" s="980"/>
      <c r="C304" s="899"/>
      <c r="D304" s="899"/>
      <c r="E304" s="899"/>
      <c r="F304" s="899"/>
      <c r="G304" s="899"/>
      <c r="H304" s="899"/>
      <c r="I304" s="899"/>
      <c r="J304" s="899"/>
      <c r="K304" s="899"/>
      <c r="L304" s="899"/>
      <c r="M304" s="141"/>
      <c r="N304" s="889"/>
      <c r="O304" s="889"/>
      <c r="P304" s="889"/>
      <c r="AA304" s="239"/>
      <c r="AB304" s="239"/>
    </row>
    <row r="305" spans="1:28" s="228" customFormat="1">
      <c r="A305" s="251"/>
      <c r="B305" s="980"/>
      <c r="C305" s="899"/>
      <c r="D305" s="899"/>
      <c r="E305" s="899"/>
      <c r="F305" s="899"/>
      <c r="G305" s="899"/>
      <c r="H305" s="899"/>
      <c r="I305" s="899"/>
      <c r="J305" s="899"/>
      <c r="K305" s="899"/>
      <c r="L305" s="899"/>
      <c r="M305" s="141"/>
      <c r="N305" s="889"/>
      <c r="O305" s="889"/>
      <c r="P305" s="889"/>
      <c r="AA305" s="239"/>
      <c r="AB305" s="239"/>
    </row>
    <row r="306" spans="1:28" s="228" customFormat="1">
      <c r="A306" s="251"/>
      <c r="B306" s="980"/>
      <c r="C306" s="899"/>
      <c r="D306" s="899"/>
      <c r="E306" s="899"/>
      <c r="F306" s="899"/>
      <c r="G306" s="899"/>
      <c r="H306" s="899"/>
      <c r="I306" s="899"/>
      <c r="J306" s="899"/>
      <c r="K306" s="899"/>
      <c r="L306" s="899"/>
      <c r="M306" s="141"/>
      <c r="N306" s="889"/>
      <c r="O306" s="889"/>
      <c r="P306" s="889"/>
      <c r="AA306" s="239"/>
      <c r="AB306" s="239"/>
    </row>
    <row r="307" spans="1:28" s="228" customFormat="1">
      <c r="A307" s="251"/>
      <c r="B307" s="980"/>
      <c r="C307" s="899"/>
      <c r="D307" s="899"/>
      <c r="E307" s="899"/>
      <c r="F307" s="899"/>
      <c r="G307" s="899"/>
      <c r="H307" s="899"/>
      <c r="I307" s="899"/>
      <c r="J307" s="899"/>
      <c r="K307" s="899"/>
      <c r="L307" s="899"/>
      <c r="M307" s="141"/>
      <c r="N307" s="889"/>
      <c r="O307" s="889"/>
      <c r="P307" s="889"/>
      <c r="AA307" s="239"/>
      <c r="AB307" s="239"/>
    </row>
    <row r="308" spans="1:28" s="228" customFormat="1">
      <c r="A308" s="251"/>
      <c r="B308" s="980"/>
      <c r="C308" s="899"/>
      <c r="D308" s="899"/>
      <c r="E308" s="899"/>
      <c r="F308" s="899"/>
      <c r="G308" s="899"/>
      <c r="H308" s="899"/>
      <c r="I308" s="899"/>
      <c r="J308" s="899"/>
      <c r="K308" s="899"/>
      <c r="L308" s="899"/>
      <c r="M308" s="141"/>
      <c r="N308" s="889"/>
      <c r="O308" s="889"/>
      <c r="P308" s="889"/>
      <c r="AA308" s="239"/>
      <c r="AB308" s="239"/>
    </row>
    <row r="309" spans="1:28" s="228" customFormat="1">
      <c r="A309" s="251"/>
      <c r="B309" s="980"/>
      <c r="C309" s="899"/>
      <c r="D309" s="899"/>
      <c r="E309" s="899"/>
      <c r="F309" s="899"/>
      <c r="G309" s="899"/>
      <c r="H309" s="899"/>
      <c r="I309" s="899"/>
      <c r="J309" s="899"/>
      <c r="K309" s="899"/>
      <c r="L309" s="899"/>
      <c r="M309" s="141"/>
      <c r="N309" s="889"/>
      <c r="O309" s="889"/>
      <c r="P309" s="889"/>
      <c r="AA309" s="239"/>
      <c r="AB309" s="239"/>
    </row>
    <row r="310" spans="1:28" s="228" customFormat="1">
      <c r="A310" s="251"/>
      <c r="B310" s="980"/>
      <c r="C310" s="899"/>
      <c r="D310" s="899"/>
      <c r="E310" s="899"/>
      <c r="F310" s="899"/>
      <c r="G310" s="899"/>
      <c r="H310" s="899"/>
      <c r="I310" s="899"/>
      <c r="J310" s="899"/>
      <c r="K310" s="899"/>
      <c r="L310" s="899"/>
      <c r="M310" s="141"/>
      <c r="N310" s="889"/>
      <c r="O310" s="889"/>
      <c r="P310" s="889"/>
      <c r="AA310" s="239"/>
      <c r="AB310" s="239"/>
    </row>
    <row r="311" spans="1:28" s="228" customFormat="1">
      <c r="A311" s="251"/>
      <c r="B311" s="980"/>
      <c r="C311" s="899"/>
      <c r="D311" s="899"/>
      <c r="E311" s="899"/>
      <c r="F311" s="899"/>
      <c r="G311" s="899"/>
      <c r="H311" s="899"/>
      <c r="I311" s="899"/>
      <c r="J311" s="899"/>
      <c r="K311" s="899"/>
      <c r="L311" s="899"/>
      <c r="M311" s="141"/>
      <c r="N311" s="889"/>
      <c r="O311" s="889"/>
      <c r="P311" s="889"/>
      <c r="AA311" s="239"/>
      <c r="AB311" s="239"/>
    </row>
    <row r="312" spans="1:28" s="228" customFormat="1">
      <c r="A312" s="251"/>
      <c r="B312" s="980"/>
      <c r="C312" s="899"/>
      <c r="D312" s="899"/>
      <c r="E312" s="899"/>
      <c r="F312" s="899"/>
      <c r="G312" s="899"/>
      <c r="H312" s="899"/>
      <c r="I312" s="899"/>
      <c r="J312" s="899"/>
      <c r="K312" s="899"/>
      <c r="L312" s="899"/>
      <c r="M312" s="141"/>
      <c r="N312" s="889"/>
      <c r="O312" s="889"/>
      <c r="P312" s="889"/>
      <c r="AA312" s="239"/>
      <c r="AB312" s="239"/>
    </row>
    <row r="313" spans="1:28" s="228" customFormat="1">
      <c r="A313" s="251"/>
      <c r="B313" s="980"/>
      <c r="C313" s="899"/>
      <c r="D313" s="899"/>
      <c r="E313" s="899"/>
      <c r="F313" s="899"/>
      <c r="G313" s="899"/>
      <c r="H313" s="899"/>
      <c r="I313" s="899"/>
      <c r="J313" s="899"/>
      <c r="K313" s="899"/>
      <c r="L313" s="899"/>
      <c r="M313" s="141"/>
      <c r="N313" s="889"/>
      <c r="O313" s="889"/>
      <c r="P313" s="889"/>
      <c r="AA313" s="239"/>
      <c r="AB313" s="239"/>
    </row>
    <row r="314" spans="1:28" s="228" customFormat="1">
      <c r="A314" s="251"/>
      <c r="B314" s="980"/>
      <c r="C314" s="899"/>
      <c r="D314" s="899"/>
      <c r="E314" s="899"/>
      <c r="F314" s="899"/>
      <c r="G314" s="899"/>
      <c r="H314" s="899"/>
      <c r="I314" s="899"/>
      <c r="J314" s="899"/>
      <c r="K314" s="899"/>
      <c r="L314" s="899"/>
      <c r="M314" s="141"/>
      <c r="N314" s="889"/>
      <c r="O314" s="889"/>
      <c r="P314" s="889"/>
      <c r="AA314" s="239"/>
      <c r="AB314" s="239"/>
    </row>
    <row r="315" spans="1:28" s="228" customFormat="1">
      <c r="A315" s="251"/>
      <c r="B315" s="980"/>
      <c r="C315" s="899"/>
      <c r="D315" s="899"/>
      <c r="E315" s="899"/>
      <c r="F315" s="899"/>
      <c r="G315" s="899"/>
      <c r="H315" s="899"/>
      <c r="I315" s="899"/>
      <c r="J315" s="899"/>
      <c r="K315" s="899"/>
      <c r="L315" s="899"/>
      <c r="M315" s="141"/>
      <c r="N315" s="889"/>
      <c r="O315" s="889"/>
      <c r="P315" s="889"/>
      <c r="AA315" s="239"/>
      <c r="AB315" s="239"/>
    </row>
    <row r="316" spans="1:28" s="228" customFormat="1">
      <c r="A316" s="251"/>
      <c r="B316" s="980"/>
      <c r="C316" s="899"/>
      <c r="D316" s="899"/>
      <c r="E316" s="899"/>
      <c r="F316" s="899"/>
      <c r="G316" s="899"/>
      <c r="H316" s="899"/>
      <c r="I316" s="899"/>
      <c r="J316" s="899"/>
      <c r="K316" s="899"/>
      <c r="L316" s="899"/>
      <c r="M316" s="141"/>
      <c r="N316" s="889"/>
      <c r="O316" s="889"/>
      <c r="P316" s="889"/>
      <c r="AA316" s="239"/>
      <c r="AB316" s="239"/>
    </row>
    <row r="317" spans="1:28" s="228" customFormat="1">
      <c r="A317" s="251"/>
      <c r="B317" s="980"/>
      <c r="C317" s="899"/>
      <c r="D317" s="899"/>
      <c r="E317" s="899"/>
      <c r="F317" s="899"/>
      <c r="G317" s="899"/>
      <c r="H317" s="899"/>
      <c r="I317" s="899"/>
      <c r="J317" s="899"/>
      <c r="K317" s="899"/>
      <c r="L317" s="899"/>
      <c r="M317" s="141"/>
      <c r="N317" s="889"/>
      <c r="O317" s="889"/>
      <c r="P317" s="889"/>
      <c r="AA317" s="239"/>
      <c r="AB317" s="239"/>
    </row>
    <row r="318" spans="1:28" s="228" customFormat="1">
      <c r="A318" s="251"/>
      <c r="B318" s="980"/>
      <c r="C318" s="899"/>
      <c r="D318" s="899"/>
      <c r="E318" s="899"/>
      <c r="F318" s="899" t="s">
        <v>34</v>
      </c>
      <c r="G318" s="899"/>
      <c r="H318" s="899" t="s">
        <v>34</v>
      </c>
      <c r="I318" s="899"/>
      <c r="J318" s="899"/>
      <c r="K318" s="899"/>
      <c r="L318" s="899"/>
      <c r="M318" s="141"/>
      <c r="N318" s="889"/>
      <c r="O318" s="889"/>
      <c r="P318" s="889"/>
      <c r="AA318" s="239"/>
      <c r="AB318" s="239"/>
    </row>
    <row r="319" spans="1:28" s="228" customFormat="1">
      <c r="A319" s="251"/>
      <c r="B319" s="980"/>
      <c r="C319" s="899"/>
      <c r="D319" s="899"/>
      <c r="E319" s="899"/>
      <c r="F319" s="899" t="s">
        <v>34</v>
      </c>
      <c r="G319" s="899"/>
      <c r="H319" s="899" t="s">
        <v>34</v>
      </c>
      <c r="I319" s="899"/>
      <c r="J319" s="899"/>
      <c r="K319" s="899"/>
      <c r="L319" s="899"/>
      <c r="M319" s="141"/>
      <c r="N319" s="889"/>
      <c r="O319" s="889"/>
      <c r="P319" s="889"/>
      <c r="AA319" s="239"/>
      <c r="AB319" s="239"/>
    </row>
    <row r="320" spans="1:28" s="228" customFormat="1">
      <c r="A320" s="251"/>
      <c r="B320" s="980"/>
      <c r="C320" s="899"/>
      <c r="D320" s="899"/>
      <c r="E320" s="899"/>
      <c r="F320" s="899" t="s">
        <v>34</v>
      </c>
      <c r="G320" s="899"/>
      <c r="H320" s="899" t="s">
        <v>34</v>
      </c>
      <c r="I320" s="899"/>
      <c r="J320" s="899"/>
      <c r="K320" s="899"/>
      <c r="L320" s="899"/>
      <c r="M320" s="141"/>
      <c r="N320" s="889"/>
      <c r="O320" s="889"/>
      <c r="P320" s="889"/>
      <c r="AA320" s="239"/>
      <c r="AB320" s="239"/>
    </row>
    <row r="321" spans="1:28" s="228" customFormat="1">
      <c r="A321" s="251"/>
      <c r="B321" s="980"/>
      <c r="C321" s="899"/>
      <c r="D321" s="899"/>
      <c r="E321" s="899"/>
      <c r="F321" s="899" t="s">
        <v>34</v>
      </c>
      <c r="G321" s="899"/>
      <c r="H321" s="899" t="s">
        <v>34</v>
      </c>
      <c r="I321" s="899"/>
      <c r="J321" s="899"/>
      <c r="K321" s="899"/>
      <c r="L321" s="899"/>
      <c r="M321" s="141"/>
      <c r="N321" s="889"/>
      <c r="O321" s="889"/>
      <c r="P321" s="889"/>
      <c r="AA321" s="239"/>
      <c r="AB321" s="239"/>
    </row>
    <row r="322" spans="1:28" s="228" customFormat="1" ht="13.5" thickBot="1">
      <c r="A322" s="251"/>
      <c r="B322" s="981"/>
      <c r="C322" s="900"/>
      <c r="D322" s="900"/>
      <c r="E322" s="900"/>
      <c r="F322" s="900" t="s">
        <v>34</v>
      </c>
      <c r="G322" s="900"/>
      <c r="H322" s="900" t="s">
        <v>34</v>
      </c>
      <c r="I322" s="900"/>
      <c r="J322" s="900"/>
      <c r="K322" s="900"/>
      <c r="L322" s="900"/>
      <c r="M322" s="141"/>
      <c r="N322" s="889"/>
      <c r="O322" s="889"/>
      <c r="P322" s="889"/>
      <c r="AA322" s="239"/>
      <c r="AB322" s="239"/>
    </row>
    <row r="323" spans="1:28" s="228" customFormat="1" ht="15.75" thickBot="1">
      <c r="A323" s="251"/>
      <c r="B323" s="912"/>
      <c r="C323" s="264"/>
      <c r="D323" s="264"/>
      <c r="E323" s="264"/>
      <c r="F323" s="264"/>
      <c r="G323" s="264"/>
      <c r="H323" s="264"/>
      <c r="I323" s="264"/>
      <c r="J323" s="264"/>
      <c r="K323" s="264"/>
      <c r="L323" s="264"/>
      <c r="M323" s="141"/>
      <c r="N323" s="889"/>
      <c r="O323" s="889"/>
      <c r="P323" s="889"/>
      <c r="AA323" s="239"/>
      <c r="AB323" s="239"/>
    </row>
    <row r="324" spans="1:28" s="228" customFormat="1" ht="75" customHeight="1" thickBot="1">
      <c r="A324" s="251"/>
      <c r="B324" s="1913" t="s">
        <v>15</v>
      </c>
      <c r="C324" s="1910" t="s">
        <v>1022</v>
      </c>
      <c r="D324" s="1910" t="s">
        <v>1023</v>
      </c>
      <c r="E324" s="1910" t="s">
        <v>1024</v>
      </c>
      <c r="F324" s="1911" t="s">
        <v>25</v>
      </c>
      <c r="G324" s="1910" t="s">
        <v>1062</v>
      </c>
      <c r="H324" s="1910" t="s">
        <v>1063</v>
      </c>
      <c r="I324" s="1912" t="s">
        <v>1064</v>
      </c>
      <c r="J324" s="1885" t="s">
        <v>1065</v>
      </c>
      <c r="K324" s="1885" t="s">
        <v>1025</v>
      </c>
      <c r="L324" s="1885" t="s">
        <v>1026</v>
      </c>
      <c r="M324" s="141"/>
      <c r="N324" s="889"/>
      <c r="O324" s="889"/>
      <c r="P324" s="889"/>
      <c r="AA324" s="239"/>
      <c r="AB324" s="239"/>
    </row>
    <row r="325" spans="1:28" s="228" customFormat="1">
      <c r="A325" s="251"/>
      <c r="B325" s="979"/>
      <c r="C325" s="898"/>
      <c r="D325" s="898"/>
      <c r="E325" s="898"/>
      <c r="F325" s="898"/>
      <c r="G325" s="898"/>
      <c r="H325" s="898"/>
      <c r="I325" s="898"/>
      <c r="J325" s="898"/>
      <c r="K325" s="898"/>
      <c r="L325" s="898"/>
      <c r="M325" s="141"/>
      <c r="N325" s="889"/>
      <c r="O325" s="889"/>
      <c r="P325" s="889"/>
      <c r="AA325" s="239"/>
      <c r="AB325" s="239"/>
    </row>
    <row r="326" spans="1:28" s="228" customFormat="1">
      <c r="A326" s="251"/>
      <c r="B326" s="980"/>
      <c r="C326" s="899"/>
      <c r="D326" s="899"/>
      <c r="E326" s="899"/>
      <c r="F326" s="899"/>
      <c r="G326" s="899"/>
      <c r="H326" s="899"/>
      <c r="I326" s="899"/>
      <c r="J326" s="899"/>
      <c r="K326" s="899"/>
      <c r="L326" s="899"/>
      <c r="M326" s="141"/>
      <c r="N326" s="889"/>
      <c r="O326" s="889"/>
      <c r="P326" s="889"/>
      <c r="AA326" s="239"/>
      <c r="AB326" s="239"/>
    </row>
    <row r="327" spans="1:28" s="228" customFormat="1">
      <c r="A327" s="251"/>
      <c r="B327" s="980"/>
      <c r="C327" s="899"/>
      <c r="D327" s="899"/>
      <c r="E327" s="899"/>
      <c r="F327" s="899"/>
      <c r="G327" s="899"/>
      <c r="H327" s="899"/>
      <c r="I327" s="899"/>
      <c r="J327" s="899"/>
      <c r="K327" s="899"/>
      <c r="L327" s="899"/>
      <c r="M327" s="141"/>
      <c r="N327" s="889"/>
      <c r="O327" s="889"/>
      <c r="P327" s="889"/>
      <c r="AA327" s="239"/>
      <c r="AB327" s="239"/>
    </row>
    <row r="328" spans="1:28" s="228" customFormat="1">
      <c r="A328" s="251"/>
      <c r="B328" s="980"/>
      <c r="C328" s="899"/>
      <c r="D328" s="899"/>
      <c r="E328" s="899"/>
      <c r="F328" s="899"/>
      <c r="G328" s="899"/>
      <c r="H328" s="899"/>
      <c r="I328" s="899"/>
      <c r="J328" s="899"/>
      <c r="K328" s="899"/>
      <c r="L328" s="899"/>
      <c r="M328" s="141"/>
      <c r="N328" s="889"/>
      <c r="O328" s="889"/>
      <c r="P328" s="889"/>
      <c r="AA328" s="239"/>
      <c r="AB328" s="239"/>
    </row>
    <row r="329" spans="1:28" s="228" customFormat="1">
      <c r="A329" s="251"/>
      <c r="B329" s="980"/>
      <c r="C329" s="899"/>
      <c r="D329" s="899"/>
      <c r="E329" s="899"/>
      <c r="F329" s="899"/>
      <c r="G329" s="899"/>
      <c r="H329" s="899"/>
      <c r="I329" s="899"/>
      <c r="J329" s="899"/>
      <c r="K329" s="899"/>
      <c r="L329" s="899"/>
      <c r="M329" s="141"/>
      <c r="N329" s="889"/>
      <c r="O329" s="889"/>
      <c r="P329" s="889"/>
      <c r="AA329" s="239"/>
      <c r="AB329" s="239"/>
    </row>
    <row r="330" spans="1:28" s="228" customFormat="1">
      <c r="A330" s="251"/>
      <c r="B330" s="980"/>
      <c r="C330" s="899"/>
      <c r="D330" s="899"/>
      <c r="E330" s="899"/>
      <c r="F330" s="899"/>
      <c r="G330" s="899"/>
      <c r="H330" s="899"/>
      <c r="I330" s="899"/>
      <c r="J330" s="899"/>
      <c r="K330" s="899"/>
      <c r="L330" s="899"/>
      <c r="M330" s="141"/>
      <c r="N330" s="889"/>
      <c r="O330" s="889"/>
      <c r="P330" s="889"/>
      <c r="AA330" s="239"/>
      <c r="AB330" s="239"/>
    </row>
    <row r="331" spans="1:28" s="228" customFormat="1">
      <c r="A331" s="251"/>
      <c r="B331" s="980"/>
      <c r="C331" s="899"/>
      <c r="D331" s="899"/>
      <c r="E331" s="899"/>
      <c r="F331" s="899"/>
      <c r="G331" s="899"/>
      <c r="H331" s="899"/>
      <c r="I331" s="899"/>
      <c r="J331" s="899"/>
      <c r="K331" s="899"/>
      <c r="L331" s="899"/>
      <c r="M331" s="141"/>
      <c r="N331" s="889"/>
      <c r="O331" s="889"/>
      <c r="P331" s="889"/>
      <c r="AA331" s="239"/>
      <c r="AB331" s="239"/>
    </row>
    <row r="332" spans="1:28" s="228" customFormat="1">
      <c r="A332" s="251"/>
      <c r="B332" s="980"/>
      <c r="C332" s="899"/>
      <c r="D332" s="899"/>
      <c r="E332" s="899"/>
      <c r="F332" s="899"/>
      <c r="G332" s="899"/>
      <c r="H332" s="899"/>
      <c r="I332" s="899"/>
      <c r="J332" s="899"/>
      <c r="K332" s="899"/>
      <c r="L332" s="899"/>
      <c r="M332" s="141"/>
      <c r="N332" s="889"/>
      <c r="O332" s="889"/>
      <c r="P332" s="889"/>
      <c r="AA332" s="239"/>
      <c r="AB332" s="239"/>
    </row>
    <row r="333" spans="1:28" s="228" customFormat="1">
      <c r="A333" s="251"/>
      <c r="B333" s="980"/>
      <c r="C333" s="899"/>
      <c r="D333" s="899"/>
      <c r="E333" s="899"/>
      <c r="F333" s="899"/>
      <c r="G333" s="899"/>
      <c r="H333" s="899"/>
      <c r="I333" s="899"/>
      <c r="J333" s="899"/>
      <c r="K333" s="899"/>
      <c r="L333" s="899"/>
      <c r="M333" s="141"/>
      <c r="N333" s="889"/>
      <c r="O333" s="889"/>
      <c r="P333" s="889"/>
      <c r="AA333" s="239"/>
      <c r="AB333" s="239"/>
    </row>
    <row r="334" spans="1:28" s="228" customFormat="1">
      <c r="A334" s="251"/>
      <c r="B334" s="980"/>
      <c r="C334" s="899"/>
      <c r="D334" s="899"/>
      <c r="E334" s="899"/>
      <c r="F334" s="899"/>
      <c r="G334" s="899"/>
      <c r="H334" s="899"/>
      <c r="I334" s="899"/>
      <c r="J334" s="899"/>
      <c r="K334" s="899"/>
      <c r="L334" s="899"/>
      <c r="M334" s="141"/>
      <c r="N334" s="889"/>
      <c r="O334" s="889"/>
      <c r="P334" s="889"/>
      <c r="AA334" s="239"/>
      <c r="AB334" s="239"/>
    </row>
    <row r="335" spans="1:28" s="228" customFormat="1">
      <c r="A335" s="251"/>
      <c r="B335" s="980"/>
      <c r="C335" s="899"/>
      <c r="D335" s="899"/>
      <c r="E335" s="899"/>
      <c r="F335" s="899"/>
      <c r="G335" s="899"/>
      <c r="H335" s="899"/>
      <c r="I335" s="899"/>
      <c r="J335" s="899"/>
      <c r="K335" s="899"/>
      <c r="L335" s="899"/>
      <c r="M335" s="141"/>
      <c r="N335" s="889"/>
      <c r="O335" s="889"/>
      <c r="P335" s="889"/>
      <c r="AA335" s="239"/>
      <c r="AB335" s="239"/>
    </row>
    <row r="336" spans="1:28" s="228" customFormat="1">
      <c r="A336" s="251"/>
      <c r="B336" s="980"/>
      <c r="C336" s="899"/>
      <c r="D336" s="899"/>
      <c r="E336" s="899"/>
      <c r="F336" s="899"/>
      <c r="G336" s="899"/>
      <c r="H336" s="899"/>
      <c r="I336" s="899"/>
      <c r="J336" s="899"/>
      <c r="K336" s="899"/>
      <c r="L336" s="899"/>
      <c r="M336" s="141"/>
      <c r="N336" s="889"/>
      <c r="O336" s="889"/>
      <c r="P336" s="889"/>
      <c r="AA336" s="239"/>
      <c r="AB336" s="239"/>
    </row>
    <row r="337" spans="1:28" s="228" customFormat="1">
      <c r="A337" s="251"/>
      <c r="B337" s="980"/>
      <c r="C337" s="899"/>
      <c r="D337" s="899"/>
      <c r="E337" s="899"/>
      <c r="F337" s="899"/>
      <c r="G337" s="899"/>
      <c r="H337" s="899"/>
      <c r="I337" s="899"/>
      <c r="J337" s="899"/>
      <c r="K337" s="899"/>
      <c r="L337" s="899"/>
      <c r="M337" s="141"/>
      <c r="N337" s="889"/>
      <c r="O337" s="889"/>
      <c r="P337" s="889"/>
      <c r="AA337" s="239"/>
      <c r="AB337" s="239"/>
    </row>
    <row r="338" spans="1:28" s="228" customFormat="1">
      <c r="A338" s="251"/>
      <c r="B338" s="980"/>
      <c r="C338" s="899"/>
      <c r="D338" s="899"/>
      <c r="E338" s="899"/>
      <c r="F338" s="899"/>
      <c r="G338" s="899"/>
      <c r="H338" s="899"/>
      <c r="I338" s="899"/>
      <c r="J338" s="899"/>
      <c r="K338" s="899"/>
      <c r="L338" s="899"/>
      <c r="M338" s="141"/>
      <c r="N338" s="889"/>
      <c r="O338" s="889"/>
      <c r="P338" s="889"/>
      <c r="AA338" s="239"/>
      <c r="AB338" s="239"/>
    </row>
    <row r="339" spans="1:28" s="228" customFormat="1">
      <c r="A339" s="251"/>
      <c r="B339" s="980"/>
      <c r="C339" s="899"/>
      <c r="D339" s="899"/>
      <c r="E339" s="899"/>
      <c r="F339" s="899"/>
      <c r="G339" s="899"/>
      <c r="H339" s="899"/>
      <c r="I339" s="899"/>
      <c r="J339" s="899"/>
      <c r="K339" s="899"/>
      <c r="L339" s="899"/>
      <c r="M339" s="141"/>
      <c r="N339" s="889"/>
      <c r="O339" s="889"/>
      <c r="P339" s="889"/>
      <c r="AA339" s="239"/>
      <c r="AB339" s="239"/>
    </row>
    <row r="340" spans="1:28" s="228" customFormat="1">
      <c r="A340" s="251"/>
      <c r="B340" s="980"/>
      <c r="C340" s="899"/>
      <c r="D340" s="899"/>
      <c r="E340" s="899"/>
      <c r="F340" s="899" t="s">
        <v>34</v>
      </c>
      <c r="G340" s="899"/>
      <c r="H340" s="899" t="s">
        <v>34</v>
      </c>
      <c r="I340" s="899"/>
      <c r="J340" s="899"/>
      <c r="K340" s="899"/>
      <c r="L340" s="899"/>
      <c r="M340" s="141"/>
      <c r="N340" s="889"/>
      <c r="O340" s="889"/>
      <c r="P340" s="889"/>
      <c r="AA340" s="239"/>
      <c r="AB340" s="239"/>
    </row>
    <row r="341" spans="1:28" s="228" customFormat="1">
      <c r="A341" s="251"/>
      <c r="B341" s="980"/>
      <c r="C341" s="899"/>
      <c r="D341" s="899"/>
      <c r="E341" s="899"/>
      <c r="F341" s="899" t="s">
        <v>34</v>
      </c>
      <c r="G341" s="899"/>
      <c r="H341" s="899" t="s">
        <v>34</v>
      </c>
      <c r="I341" s="899"/>
      <c r="J341" s="899"/>
      <c r="K341" s="899"/>
      <c r="L341" s="899"/>
      <c r="M341" s="141"/>
      <c r="N341" s="889"/>
      <c r="O341" s="889"/>
      <c r="P341" s="889"/>
      <c r="AA341" s="239"/>
      <c r="AB341" s="239"/>
    </row>
    <row r="342" spans="1:28" s="228" customFormat="1">
      <c r="A342" s="251"/>
      <c r="B342" s="980"/>
      <c r="C342" s="899"/>
      <c r="D342" s="899"/>
      <c r="E342" s="899"/>
      <c r="F342" s="899" t="s">
        <v>34</v>
      </c>
      <c r="G342" s="899"/>
      <c r="H342" s="899" t="s">
        <v>34</v>
      </c>
      <c r="I342" s="899"/>
      <c r="J342" s="899"/>
      <c r="K342" s="899"/>
      <c r="L342" s="899"/>
      <c r="M342" s="141"/>
      <c r="N342" s="889"/>
      <c r="O342" s="889"/>
      <c r="P342" s="889"/>
      <c r="AA342" s="239"/>
      <c r="AB342" s="239"/>
    </row>
    <row r="343" spans="1:28" s="228" customFormat="1">
      <c r="A343" s="251"/>
      <c r="B343" s="980"/>
      <c r="C343" s="899"/>
      <c r="D343" s="899"/>
      <c r="E343" s="899"/>
      <c r="F343" s="899" t="s">
        <v>34</v>
      </c>
      <c r="G343" s="899"/>
      <c r="H343" s="899" t="s">
        <v>34</v>
      </c>
      <c r="I343" s="899"/>
      <c r="J343" s="899"/>
      <c r="K343" s="899"/>
      <c r="L343" s="899"/>
      <c r="M343" s="141"/>
      <c r="N343" s="889"/>
      <c r="O343" s="889"/>
      <c r="P343" s="889"/>
      <c r="AA343" s="239"/>
      <c r="AB343" s="239"/>
    </row>
    <row r="344" spans="1:28" s="228" customFormat="1" ht="13.5" thickBot="1">
      <c r="A344" s="251"/>
      <c r="B344" s="981"/>
      <c r="C344" s="900"/>
      <c r="D344" s="900"/>
      <c r="E344" s="900"/>
      <c r="F344" s="900" t="s">
        <v>34</v>
      </c>
      <c r="G344" s="900"/>
      <c r="H344" s="900" t="s">
        <v>34</v>
      </c>
      <c r="I344" s="900"/>
      <c r="J344" s="900"/>
      <c r="K344" s="900"/>
      <c r="L344" s="900"/>
      <c r="M344" s="141"/>
      <c r="N344" s="889"/>
      <c r="O344" s="889"/>
      <c r="P344" s="889"/>
      <c r="AA344" s="239"/>
      <c r="AB344" s="239"/>
    </row>
    <row r="345" spans="1:28" s="228" customFormat="1" ht="15.75" thickBot="1">
      <c r="A345" s="251"/>
      <c r="B345" s="912"/>
      <c r="C345" s="264"/>
      <c r="D345" s="264"/>
      <c r="E345" s="264"/>
      <c r="F345" s="264"/>
      <c r="G345" s="264"/>
      <c r="H345" s="264"/>
      <c r="I345" s="264"/>
      <c r="J345" s="264"/>
      <c r="K345" s="264"/>
      <c r="L345" s="264"/>
      <c r="M345" s="141"/>
      <c r="N345" s="889"/>
      <c r="O345" s="889"/>
      <c r="P345" s="889"/>
      <c r="AA345" s="239"/>
      <c r="AB345" s="239"/>
    </row>
    <row r="346" spans="1:28" s="228" customFormat="1" ht="75" customHeight="1" thickBot="1">
      <c r="A346" s="251"/>
      <c r="B346" s="1913" t="s">
        <v>15</v>
      </c>
      <c r="C346" s="1910" t="s">
        <v>1022</v>
      </c>
      <c r="D346" s="1910" t="s">
        <v>1023</v>
      </c>
      <c r="E346" s="1910" t="s">
        <v>1024</v>
      </c>
      <c r="F346" s="1911" t="s">
        <v>25</v>
      </c>
      <c r="G346" s="1910" t="s">
        <v>1062</v>
      </c>
      <c r="H346" s="1910" t="s">
        <v>1063</v>
      </c>
      <c r="I346" s="1912" t="s">
        <v>1064</v>
      </c>
      <c r="J346" s="1885" t="s">
        <v>1065</v>
      </c>
      <c r="K346" s="1885" t="s">
        <v>1025</v>
      </c>
      <c r="L346" s="1885" t="s">
        <v>1026</v>
      </c>
      <c r="M346" s="141"/>
      <c r="N346" s="889"/>
      <c r="O346" s="889"/>
      <c r="P346" s="889"/>
      <c r="AA346" s="239"/>
      <c r="AB346" s="239"/>
    </row>
    <row r="347" spans="1:28" s="228" customFormat="1">
      <c r="A347" s="251"/>
      <c r="B347" s="979"/>
      <c r="C347" s="898"/>
      <c r="D347" s="898"/>
      <c r="E347" s="898"/>
      <c r="F347" s="898"/>
      <c r="G347" s="898"/>
      <c r="H347" s="898"/>
      <c r="I347" s="898"/>
      <c r="J347" s="898"/>
      <c r="K347" s="898"/>
      <c r="L347" s="898"/>
      <c r="M347" s="141"/>
      <c r="N347" s="889"/>
      <c r="O347" s="889"/>
      <c r="P347" s="889"/>
      <c r="AA347" s="239"/>
      <c r="AB347" s="239"/>
    </row>
    <row r="348" spans="1:28" s="228" customFormat="1">
      <c r="A348" s="251"/>
      <c r="B348" s="980"/>
      <c r="C348" s="899"/>
      <c r="D348" s="899"/>
      <c r="E348" s="899"/>
      <c r="F348" s="899"/>
      <c r="G348" s="899"/>
      <c r="H348" s="899"/>
      <c r="I348" s="899"/>
      <c r="J348" s="899"/>
      <c r="K348" s="899"/>
      <c r="L348" s="899"/>
      <c r="M348" s="141"/>
      <c r="N348" s="889"/>
      <c r="O348" s="889"/>
      <c r="P348" s="889"/>
      <c r="AA348" s="239"/>
      <c r="AB348" s="239"/>
    </row>
    <row r="349" spans="1:28" s="228" customFormat="1">
      <c r="A349" s="251"/>
      <c r="B349" s="980"/>
      <c r="C349" s="899"/>
      <c r="D349" s="899"/>
      <c r="E349" s="899"/>
      <c r="F349" s="899"/>
      <c r="G349" s="899"/>
      <c r="H349" s="899"/>
      <c r="I349" s="899"/>
      <c r="J349" s="899"/>
      <c r="K349" s="899"/>
      <c r="L349" s="899"/>
      <c r="M349" s="141"/>
      <c r="N349" s="889"/>
      <c r="O349" s="889"/>
      <c r="P349" s="889"/>
      <c r="AA349" s="239"/>
      <c r="AB349" s="239"/>
    </row>
    <row r="350" spans="1:28" s="228" customFormat="1">
      <c r="A350" s="251"/>
      <c r="B350" s="980"/>
      <c r="C350" s="899"/>
      <c r="D350" s="899"/>
      <c r="E350" s="899"/>
      <c r="F350" s="899"/>
      <c r="G350" s="899"/>
      <c r="H350" s="899"/>
      <c r="I350" s="899"/>
      <c r="J350" s="899"/>
      <c r="K350" s="899"/>
      <c r="L350" s="899"/>
      <c r="M350" s="141"/>
      <c r="N350" s="889"/>
      <c r="O350" s="889"/>
      <c r="P350" s="889"/>
      <c r="AA350" s="239"/>
      <c r="AB350" s="239"/>
    </row>
    <row r="351" spans="1:28" s="228" customFormat="1">
      <c r="A351" s="251"/>
      <c r="B351" s="980"/>
      <c r="C351" s="899"/>
      <c r="D351" s="899"/>
      <c r="E351" s="899"/>
      <c r="F351" s="899"/>
      <c r="G351" s="899"/>
      <c r="H351" s="899"/>
      <c r="I351" s="899"/>
      <c r="J351" s="899"/>
      <c r="K351" s="899"/>
      <c r="L351" s="899"/>
      <c r="M351" s="141"/>
      <c r="N351" s="889"/>
      <c r="O351" s="889"/>
      <c r="P351" s="889"/>
      <c r="AA351" s="239"/>
      <c r="AB351" s="239"/>
    </row>
    <row r="352" spans="1:28" s="228" customFormat="1">
      <c r="A352" s="251"/>
      <c r="B352" s="980"/>
      <c r="C352" s="899"/>
      <c r="D352" s="899"/>
      <c r="E352" s="899"/>
      <c r="F352" s="899"/>
      <c r="G352" s="899"/>
      <c r="H352" s="899"/>
      <c r="I352" s="899"/>
      <c r="J352" s="899"/>
      <c r="K352" s="899"/>
      <c r="L352" s="899"/>
      <c r="M352" s="141"/>
      <c r="N352" s="889"/>
      <c r="O352" s="889"/>
      <c r="P352" s="889"/>
      <c r="AA352" s="239"/>
      <c r="AB352" s="239"/>
    </row>
    <row r="353" spans="1:28" s="228" customFormat="1">
      <c r="A353" s="251"/>
      <c r="B353" s="980"/>
      <c r="C353" s="899"/>
      <c r="D353" s="899"/>
      <c r="E353" s="899"/>
      <c r="F353" s="899"/>
      <c r="G353" s="899"/>
      <c r="H353" s="899"/>
      <c r="I353" s="899"/>
      <c r="J353" s="899"/>
      <c r="K353" s="899"/>
      <c r="L353" s="899"/>
      <c r="M353" s="141"/>
      <c r="N353" s="889"/>
      <c r="O353" s="889"/>
      <c r="P353" s="889"/>
      <c r="AA353" s="239"/>
      <c r="AB353" s="239"/>
    </row>
    <row r="354" spans="1:28" s="228" customFormat="1">
      <c r="A354" s="251"/>
      <c r="B354" s="980"/>
      <c r="C354" s="899"/>
      <c r="D354" s="899"/>
      <c r="E354" s="899"/>
      <c r="F354" s="899"/>
      <c r="G354" s="899"/>
      <c r="H354" s="899"/>
      <c r="I354" s="899"/>
      <c r="J354" s="899"/>
      <c r="K354" s="899"/>
      <c r="L354" s="899"/>
      <c r="M354" s="141"/>
      <c r="N354" s="889"/>
      <c r="O354" s="889"/>
      <c r="P354" s="889"/>
      <c r="AA354" s="239"/>
      <c r="AB354" s="239"/>
    </row>
    <row r="355" spans="1:28" s="228" customFormat="1">
      <c r="A355" s="251"/>
      <c r="B355" s="980"/>
      <c r="C355" s="899"/>
      <c r="D355" s="899"/>
      <c r="E355" s="899"/>
      <c r="F355" s="899"/>
      <c r="G355" s="899"/>
      <c r="H355" s="899"/>
      <c r="I355" s="899"/>
      <c r="J355" s="899"/>
      <c r="K355" s="899"/>
      <c r="L355" s="899"/>
      <c r="M355" s="141"/>
      <c r="N355" s="889"/>
      <c r="O355" s="889"/>
      <c r="P355" s="889"/>
      <c r="AA355" s="239"/>
      <c r="AB355" s="239"/>
    </row>
    <row r="356" spans="1:28" s="228" customFormat="1">
      <c r="A356" s="251"/>
      <c r="B356" s="980"/>
      <c r="C356" s="899"/>
      <c r="D356" s="899"/>
      <c r="E356" s="899"/>
      <c r="F356" s="899"/>
      <c r="G356" s="899"/>
      <c r="H356" s="899"/>
      <c r="I356" s="899"/>
      <c r="J356" s="899"/>
      <c r="K356" s="899"/>
      <c r="L356" s="899"/>
      <c r="M356" s="141"/>
      <c r="N356" s="889"/>
      <c r="O356" s="889"/>
      <c r="P356" s="889"/>
      <c r="AA356" s="239"/>
      <c r="AB356" s="239"/>
    </row>
    <row r="357" spans="1:28" s="228" customFormat="1">
      <c r="A357" s="251"/>
      <c r="B357" s="980"/>
      <c r="C357" s="899"/>
      <c r="D357" s="899"/>
      <c r="E357" s="899"/>
      <c r="F357" s="899"/>
      <c r="G357" s="899"/>
      <c r="H357" s="899"/>
      <c r="I357" s="899"/>
      <c r="J357" s="899"/>
      <c r="K357" s="899"/>
      <c r="L357" s="899"/>
      <c r="M357" s="141"/>
      <c r="N357" s="889"/>
      <c r="O357" s="889"/>
      <c r="P357" s="889"/>
      <c r="AA357" s="239"/>
      <c r="AB357" s="239"/>
    </row>
    <row r="358" spans="1:28" s="228" customFormat="1">
      <c r="A358" s="251"/>
      <c r="B358" s="980"/>
      <c r="C358" s="899"/>
      <c r="D358" s="899"/>
      <c r="E358" s="899"/>
      <c r="F358" s="899"/>
      <c r="G358" s="899"/>
      <c r="H358" s="899"/>
      <c r="I358" s="899"/>
      <c r="J358" s="899"/>
      <c r="K358" s="899"/>
      <c r="L358" s="899"/>
      <c r="M358" s="141"/>
      <c r="N358" s="889"/>
      <c r="O358" s="889"/>
      <c r="P358" s="889"/>
      <c r="AA358" s="239"/>
      <c r="AB358" s="239"/>
    </row>
    <row r="359" spans="1:28" s="228" customFormat="1">
      <c r="A359" s="251"/>
      <c r="B359" s="980"/>
      <c r="C359" s="899"/>
      <c r="D359" s="899"/>
      <c r="E359" s="899"/>
      <c r="F359" s="899"/>
      <c r="G359" s="899"/>
      <c r="H359" s="899"/>
      <c r="I359" s="899"/>
      <c r="J359" s="899"/>
      <c r="K359" s="899"/>
      <c r="L359" s="899"/>
      <c r="M359" s="141"/>
      <c r="N359" s="889"/>
      <c r="O359" s="889"/>
      <c r="P359" s="889"/>
      <c r="AA359" s="239"/>
      <c r="AB359" s="239"/>
    </row>
    <row r="360" spans="1:28" s="228" customFormat="1">
      <c r="A360" s="251"/>
      <c r="B360" s="980"/>
      <c r="C360" s="899"/>
      <c r="D360" s="899"/>
      <c r="E360" s="899"/>
      <c r="F360" s="899"/>
      <c r="G360" s="899"/>
      <c r="H360" s="899"/>
      <c r="I360" s="899"/>
      <c r="J360" s="899"/>
      <c r="K360" s="899"/>
      <c r="L360" s="899"/>
      <c r="M360" s="141"/>
      <c r="N360" s="889"/>
      <c r="O360" s="889"/>
      <c r="P360" s="889"/>
      <c r="AA360" s="239"/>
      <c r="AB360" s="239"/>
    </row>
    <row r="361" spans="1:28" s="228" customFormat="1">
      <c r="A361" s="251"/>
      <c r="B361" s="980"/>
      <c r="C361" s="899"/>
      <c r="D361" s="899"/>
      <c r="E361" s="899"/>
      <c r="F361" s="899"/>
      <c r="G361" s="899"/>
      <c r="H361" s="899"/>
      <c r="I361" s="899"/>
      <c r="J361" s="899"/>
      <c r="K361" s="899"/>
      <c r="L361" s="899"/>
      <c r="M361" s="141"/>
      <c r="N361" s="889"/>
      <c r="O361" s="889"/>
      <c r="P361" s="889"/>
      <c r="AA361" s="239"/>
      <c r="AB361" s="239"/>
    </row>
    <row r="362" spans="1:28" s="228" customFormat="1">
      <c r="A362" s="251"/>
      <c r="B362" s="980"/>
      <c r="C362" s="899"/>
      <c r="D362" s="899"/>
      <c r="E362" s="899"/>
      <c r="F362" s="899" t="s">
        <v>34</v>
      </c>
      <c r="G362" s="899"/>
      <c r="H362" s="899" t="s">
        <v>34</v>
      </c>
      <c r="I362" s="899"/>
      <c r="J362" s="899"/>
      <c r="K362" s="899"/>
      <c r="L362" s="899"/>
      <c r="M362" s="141"/>
      <c r="N362" s="889"/>
      <c r="O362" s="889"/>
      <c r="P362" s="889"/>
      <c r="AA362" s="239"/>
      <c r="AB362" s="239"/>
    </row>
    <row r="363" spans="1:28" s="228" customFormat="1">
      <c r="A363" s="251"/>
      <c r="B363" s="980"/>
      <c r="C363" s="899"/>
      <c r="D363" s="899"/>
      <c r="E363" s="899"/>
      <c r="F363" s="899" t="s">
        <v>34</v>
      </c>
      <c r="G363" s="899"/>
      <c r="H363" s="899" t="s">
        <v>34</v>
      </c>
      <c r="I363" s="899"/>
      <c r="J363" s="899"/>
      <c r="K363" s="899"/>
      <c r="L363" s="899"/>
      <c r="M363" s="141"/>
      <c r="N363" s="889"/>
      <c r="O363" s="889"/>
      <c r="P363" s="889"/>
      <c r="AA363" s="239"/>
      <c r="AB363" s="239"/>
    </row>
    <row r="364" spans="1:28" s="228" customFormat="1">
      <c r="A364" s="251"/>
      <c r="B364" s="980"/>
      <c r="C364" s="899"/>
      <c r="D364" s="899"/>
      <c r="E364" s="899"/>
      <c r="F364" s="899" t="s">
        <v>34</v>
      </c>
      <c r="G364" s="899"/>
      <c r="H364" s="899" t="s">
        <v>34</v>
      </c>
      <c r="I364" s="899"/>
      <c r="J364" s="899"/>
      <c r="K364" s="899"/>
      <c r="L364" s="899"/>
      <c r="M364" s="141"/>
      <c r="N364" s="889"/>
      <c r="O364" s="889"/>
      <c r="P364" s="889"/>
      <c r="AA364" s="239"/>
      <c r="AB364" s="239"/>
    </row>
    <row r="365" spans="1:28" s="228" customFormat="1">
      <c r="A365" s="251"/>
      <c r="B365" s="980"/>
      <c r="C365" s="899"/>
      <c r="D365" s="899"/>
      <c r="E365" s="899"/>
      <c r="F365" s="899" t="s">
        <v>34</v>
      </c>
      <c r="G365" s="899"/>
      <c r="H365" s="899" t="s">
        <v>34</v>
      </c>
      <c r="I365" s="899"/>
      <c r="J365" s="899"/>
      <c r="K365" s="899"/>
      <c r="L365" s="899"/>
      <c r="M365" s="141"/>
      <c r="N365" s="889"/>
      <c r="O365" s="889"/>
      <c r="P365" s="889"/>
      <c r="AA365" s="239"/>
      <c r="AB365" s="239"/>
    </row>
    <row r="366" spans="1:28" s="228" customFormat="1" ht="13.5" thickBot="1">
      <c r="A366" s="251"/>
      <c r="B366" s="981"/>
      <c r="C366" s="900"/>
      <c r="D366" s="900"/>
      <c r="E366" s="900"/>
      <c r="F366" s="900" t="s">
        <v>34</v>
      </c>
      <c r="G366" s="900"/>
      <c r="H366" s="900" t="s">
        <v>34</v>
      </c>
      <c r="I366" s="900"/>
      <c r="J366" s="900"/>
      <c r="K366" s="900"/>
      <c r="L366" s="900"/>
      <c r="M366" s="141"/>
      <c r="N366" s="889"/>
      <c r="O366" s="889"/>
      <c r="P366" s="889"/>
      <c r="AA366" s="239"/>
      <c r="AB366" s="239"/>
    </row>
    <row r="367" spans="1:28" s="228" customFormat="1" ht="15.75" thickBot="1">
      <c r="A367" s="251"/>
      <c r="B367" s="912"/>
      <c r="C367" s="264"/>
      <c r="D367" s="264"/>
      <c r="E367" s="264"/>
      <c r="F367" s="264"/>
      <c r="G367" s="264"/>
      <c r="H367" s="264"/>
      <c r="I367" s="264"/>
      <c r="J367" s="264"/>
      <c r="K367" s="264"/>
      <c r="L367" s="264"/>
      <c r="M367" s="141"/>
      <c r="N367" s="889"/>
      <c r="O367" s="889"/>
      <c r="P367" s="889"/>
      <c r="AA367" s="239"/>
      <c r="AB367" s="239"/>
    </row>
    <row r="368" spans="1:28" s="228" customFormat="1" ht="75" customHeight="1" thickBot="1">
      <c r="A368" s="251"/>
      <c r="B368" s="1913" t="s">
        <v>15</v>
      </c>
      <c r="C368" s="1910" t="s">
        <v>1022</v>
      </c>
      <c r="D368" s="1910" t="s">
        <v>1023</v>
      </c>
      <c r="E368" s="1910" t="s">
        <v>1024</v>
      </c>
      <c r="F368" s="1911" t="s">
        <v>25</v>
      </c>
      <c r="G368" s="1910" t="s">
        <v>1062</v>
      </c>
      <c r="H368" s="1910" t="s">
        <v>1063</v>
      </c>
      <c r="I368" s="1912" t="s">
        <v>1064</v>
      </c>
      <c r="J368" s="1885" t="s">
        <v>1065</v>
      </c>
      <c r="K368" s="1885" t="s">
        <v>1025</v>
      </c>
      <c r="L368" s="1885" t="s">
        <v>1026</v>
      </c>
      <c r="M368" s="141"/>
      <c r="N368" s="889"/>
      <c r="O368" s="889"/>
      <c r="P368" s="889"/>
      <c r="AA368" s="239"/>
      <c r="AB368" s="239"/>
    </row>
    <row r="369" spans="1:28" s="228" customFormat="1">
      <c r="A369" s="251"/>
      <c r="B369" s="979"/>
      <c r="C369" s="898"/>
      <c r="D369" s="898"/>
      <c r="E369" s="898"/>
      <c r="F369" s="898"/>
      <c r="G369" s="898"/>
      <c r="H369" s="898"/>
      <c r="I369" s="898"/>
      <c r="J369" s="898"/>
      <c r="K369" s="898"/>
      <c r="L369" s="898"/>
      <c r="M369" s="141"/>
      <c r="N369" s="889"/>
      <c r="O369" s="889"/>
      <c r="P369" s="889"/>
      <c r="AA369" s="239"/>
      <c r="AB369" s="239"/>
    </row>
    <row r="370" spans="1:28" s="228" customFormat="1">
      <c r="A370" s="251"/>
      <c r="B370" s="980"/>
      <c r="C370" s="899"/>
      <c r="D370" s="899"/>
      <c r="E370" s="899"/>
      <c r="F370" s="899"/>
      <c r="G370" s="899"/>
      <c r="H370" s="899"/>
      <c r="I370" s="899"/>
      <c r="J370" s="899"/>
      <c r="K370" s="899"/>
      <c r="L370" s="899"/>
      <c r="M370" s="141"/>
      <c r="N370" s="889"/>
      <c r="O370" s="889"/>
      <c r="P370" s="889"/>
      <c r="AA370" s="239"/>
      <c r="AB370" s="239"/>
    </row>
    <row r="371" spans="1:28" s="228" customFormat="1">
      <c r="A371" s="251"/>
      <c r="B371" s="980"/>
      <c r="C371" s="899"/>
      <c r="D371" s="899"/>
      <c r="E371" s="899"/>
      <c r="F371" s="899"/>
      <c r="G371" s="899"/>
      <c r="H371" s="899"/>
      <c r="I371" s="899"/>
      <c r="J371" s="899"/>
      <c r="K371" s="899"/>
      <c r="L371" s="899"/>
      <c r="M371" s="141"/>
      <c r="N371" s="889"/>
      <c r="O371" s="889"/>
      <c r="P371" s="889"/>
      <c r="AA371" s="239"/>
      <c r="AB371" s="239"/>
    </row>
    <row r="372" spans="1:28" s="228" customFormat="1">
      <c r="A372" s="251"/>
      <c r="B372" s="980"/>
      <c r="C372" s="899"/>
      <c r="D372" s="899"/>
      <c r="E372" s="899"/>
      <c r="F372" s="899"/>
      <c r="G372" s="899"/>
      <c r="H372" s="899"/>
      <c r="I372" s="899"/>
      <c r="J372" s="899"/>
      <c r="K372" s="899"/>
      <c r="L372" s="899"/>
      <c r="M372" s="141"/>
      <c r="N372" s="889"/>
      <c r="O372" s="889"/>
      <c r="P372" s="889"/>
      <c r="AA372" s="239"/>
      <c r="AB372" s="239"/>
    </row>
    <row r="373" spans="1:28" s="228" customFormat="1">
      <c r="A373" s="251"/>
      <c r="B373" s="980"/>
      <c r="C373" s="899"/>
      <c r="D373" s="899"/>
      <c r="E373" s="899"/>
      <c r="F373" s="899"/>
      <c r="G373" s="899"/>
      <c r="H373" s="899"/>
      <c r="I373" s="899"/>
      <c r="J373" s="899"/>
      <c r="K373" s="899"/>
      <c r="L373" s="899"/>
      <c r="M373" s="141"/>
      <c r="N373" s="889"/>
      <c r="O373" s="889"/>
      <c r="P373" s="889"/>
      <c r="AA373" s="239"/>
      <c r="AB373" s="239"/>
    </row>
    <row r="374" spans="1:28" s="228" customFormat="1">
      <c r="A374" s="251"/>
      <c r="B374" s="980"/>
      <c r="C374" s="899"/>
      <c r="D374" s="899"/>
      <c r="E374" s="899"/>
      <c r="F374" s="899"/>
      <c r="G374" s="899"/>
      <c r="H374" s="899"/>
      <c r="I374" s="899"/>
      <c r="J374" s="899"/>
      <c r="K374" s="899"/>
      <c r="L374" s="899"/>
      <c r="M374" s="141"/>
      <c r="N374" s="889"/>
      <c r="O374" s="889"/>
      <c r="P374" s="889"/>
      <c r="AA374" s="239"/>
      <c r="AB374" s="239"/>
    </row>
    <row r="375" spans="1:28" s="228" customFormat="1">
      <c r="A375" s="251"/>
      <c r="B375" s="980"/>
      <c r="C375" s="899"/>
      <c r="D375" s="899"/>
      <c r="E375" s="899"/>
      <c r="F375" s="899"/>
      <c r="G375" s="899"/>
      <c r="H375" s="899"/>
      <c r="I375" s="899"/>
      <c r="J375" s="899"/>
      <c r="K375" s="899"/>
      <c r="L375" s="899"/>
      <c r="M375" s="141"/>
      <c r="N375" s="889"/>
      <c r="O375" s="889"/>
      <c r="P375" s="889"/>
      <c r="AA375" s="239"/>
      <c r="AB375" s="239"/>
    </row>
    <row r="376" spans="1:28" s="228" customFormat="1">
      <c r="A376" s="251"/>
      <c r="B376" s="980"/>
      <c r="C376" s="899"/>
      <c r="D376" s="899"/>
      <c r="E376" s="899"/>
      <c r="F376" s="899"/>
      <c r="G376" s="899"/>
      <c r="H376" s="899"/>
      <c r="I376" s="899"/>
      <c r="J376" s="899"/>
      <c r="K376" s="899"/>
      <c r="L376" s="899"/>
      <c r="M376" s="141"/>
      <c r="N376" s="889"/>
      <c r="O376" s="889"/>
      <c r="P376" s="889"/>
      <c r="AA376" s="239"/>
      <c r="AB376" s="239"/>
    </row>
    <row r="377" spans="1:28" s="228" customFormat="1">
      <c r="A377" s="251"/>
      <c r="B377" s="980"/>
      <c r="C377" s="899"/>
      <c r="D377" s="899"/>
      <c r="E377" s="899"/>
      <c r="F377" s="899"/>
      <c r="G377" s="899"/>
      <c r="H377" s="899"/>
      <c r="I377" s="899"/>
      <c r="J377" s="899"/>
      <c r="K377" s="899"/>
      <c r="L377" s="899"/>
      <c r="M377" s="141"/>
      <c r="N377" s="889"/>
      <c r="O377" s="889"/>
      <c r="P377" s="889"/>
      <c r="AA377" s="239"/>
      <c r="AB377" s="239"/>
    </row>
    <row r="378" spans="1:28" s="228" customFormat="1">
      <c r="A378" s="251"/>
      <c r="B378" s="980"/>
      <c r="C378" s="899"/>
      <c r="D378" s="899"/>
      <c r="E378" s="899"/>
      <c r="F378" s="899"/>
      <c r="G378" s="899"/>
      <c r="H378" s="899"/>
      <c r="I378" s="899"/>
      <c r="J378" s="899"/>
      <c r="K378" s="899"/>
      <c r="L378" s="899"/>
      <c r="M378" s="141"/>
      <c r="N378" s="889"/>
      <c r="O378" s="889"/>
      <c r="P378" s="889"/>
      <c r="AA378" s="239"/>
      <c r="AB378" s="239"/>
    </row>
    <row r="379" spans="1:28" s="228" customFormat="1">
      <c r="A379" s="251"/>
      <c r="B379" s="980"/>
      <c r="C379" s="899"/>
      <c r="D379" s="899"/>
      <c r="E379" s="899"/>
      <c r="F379" s="899"/>
      <c r="G379" s="899"/>
      <c r="H379" s="899"/>
      <c r="I379" s="899"/>
      <c r="J379" s="899"/>
      <c r="K379" s="899"/>
      <c r="L379" s="899"/>
      <c r="M379" s="141"/>
      <c r="N379" s="889"/>
      <c r="O379" s="889"/>
      <c r="P379" s="889"/>
      <c r="AA379" s="239"/>
      <c r="AB379" s="239"/>
    </row>
    <row r="380" spans="1:28" s="228" customFormat="1">
      <c r="A380" s="251"/>
      <c r="B380" s="980"/>
      <c r="C380" s="899"/>
      <c r="D380" s="899"/>
      <c r="E380" s="899"/>
      <c r="F380" s="899"/>
      <c r="G380" s="899"/>
      <c r="H380" s="899"/>
      <c r="I380" s="899"/>
      <c r="J380" s="899"/>
      <c r="K380" s="899"/>
      <c r="L380" s="899"/>
      <c r="M380" s="141"/>
      <c r="N380" s="889"/>
      <c r="O380" s="889"/>
      <c r="P380" s="889"/>
      <c r="AA380" s="239"/>
      <c r="AB380" s="239"/>
    </row>
    <row r="381" spans="1:28" s="228" customFormat="1">
      <c r="A381" s="251"/>
      <c r="B381" s="980"/>
      <c r="C381" s="899"/>
      <c r="D381" s="899"/>
      <c r="E381" s="899"/>
      <c r="F381" s="899"/>
      <c r="G381" s="899"/>
      <c r="H381" s="899"/>
      <c r="I381" s="899"/>
      <c r="J381" s="899"/>
      <c r="K381" s="899"/>
      <c r="L381" s="899"/>
      <c r="M381" s="141"/>
      <c r="N381" s="889"/>
      <c r="O381" s="889"/>
      <c r="P381" s="889"/>
      <c r="AA381" s="239"/>
      <c r="AB381" s="239"/>
    </row>
    <row r="382" spans="1:28" s="228" customFormat="1">
      <c r="A382" s="251"/>
      <c r="B382" s="980"/>
      <c r="C382" s="899"/>
      <c r="D382" s="899"/>
      <c r="E382" s="899"/>
      <c r="F382" s="899"/>
      <c r="G382" s="899"/>
      <c r="H382" s="899"/>
      <c r="I382" s="899"/>
      <c r="J382" s="899"/>
      <c r="K382" s="899"/>
      <c r="L382" s="899"/>
      <c r="M382" s="141"/>
      <c r="N382" s="889"/>
      <c r="O382" s="889"/>
      <c r="P382" s="889"/>
      <c r="AA382" s="239"/>
      <c r="AB382" s="239"/>
    </row>
    <row r="383" spans="1:28" s="228" customFormat="1">
      <c r="A383" s="251"/>
      <c r="B383" s="980"/>
      <c r="C383" s="899"/>
      <c r="D383" s="899"/>
      <c r="E383" s="899"/>
      <c r="F383" s="899"/>
      <c r="G383" s="899"/>
      <c r="H383" s="899"/>
      <c r="I383" s="899"/>
      <c r="J383" s="899"/>
      <c r="K383" s="899"/>
      <c r="L383" s="899"/>
      <c r="M383" s="141"/>
      <c r="N383" s="889"/>
      <c r="O383" s="889"/>
      <c r="P383" s="889"/>
      <c r="AA383" s="239"/>
      <c r="AB383" s="239"/>
    </row>
    <row r="384" spans="1:28" s="228" customFormat="1">
      <c r="A384" s="251"/>
      <c r="B384" s="980"/>
      <c r="C384" s="899"/>
      <c r="D384" s="899"/>
      <c r="E384" s="899"/>
      <c r="F384" s="899" t="s">
        <v>34</v>
      </c>
      <c r="G384" s="899"/>
      <c r="H384" s="899" t="s">
        <v>34</v>
      </c>
      <c r="I384" s="899"/>
      <c r="J384" s="899"/>
      <c r="K384" s="899"/>
      <c r="L384" s="899"/>
      <c r="M384" s="141"/>
      <c r="N384" s="889"/>
      <c r="O384" s="889"/>
      <c r="P384" s="889"/>
      <c r="AA384" s="239"/>
      <c r="AB384" s="239"/>
    </row>
    <row r="385" spans="1:28" s="228" customFormat="1">
      <c r="A385" s="251"/>
      <c r="B385" s="980"/>
      <c r="C385" s="899"/>
      <c r="D385" s="899"/>
      <c r="E385" s="899"/>
      <c r="F385" s="899" t="s">
        <v>34</v>
      </c>
      <c r="G385" s="899"/>
      <c r="H385" s="899" t="s">
        <v>34</v>
      </c>
      <c r="I385" s="899"/>
      <c r="J385" s="899"/>
      <c r="K385" s="899"/>
      <c r="L385" s="899"/>
      <c r="M385" s="141"/>
      <c r="N385" s="889"/>
      <c r="O385" s="889"/>
      <c r="P385" s="889"/>
      <c r="AA385" s="239"/>
      <c r="AB385" s="239"/>
    </row>
    <row r="386" spans="1:28" s="228" customFormat="1">
      <c r="A386" s="251"/>
      <c r="B386" s="980"/>
      <c r="C386" s="899"/>
      <c r="D386" s="899"/>
      <c r="E386" s="899"/>
      <c r="F386" s="899" t="s">
        <v>34</v>
      </c>
      <c r="G386" s="899"/>
      <c r="H386" s="899" t="s">
        <v>34</v>
      </c>
      <c r="I386" s="899"/>
      <c r="J386" s="899"/>
      <c r="K386" s="899"/>
      <c r="L386" s="899"/>
      <c r="M386" s="141"/>
      <c r="N386" s="889"/>
      <c r="O386" s="889"/>
      <c r="P386" s="889"/>
      <c r="AA386" s="239"/>
      <c r="AB386" s="239"/>
    </row>
    <row r="387" spans="1:28" s="228" customFormat="1">
      <c r="A387" s="251"/>
      <c r="B387" s="980"/>
      <c r="C387" s="899"/>
      <c r="D387" s="899"/>
      <c r="E387" s="899"/>
      <c r="F387" s="899" t="s">
        <v>34</v>
      </c>
      <c r="G387" s="899"/>
      <c r="H387" s="899" t="s">
        <v>34</v>
      </c>
      <c r="I387" s="899"/>
      <c r="J387" s="899"/>
      <c r="K387" s="899"/>
      <c r="L387" s="899"/>
      <c r="M387" s="141"/>
      <c r="N387" s="889"/>
      <c r="O387" s="889"/>
      <c r="P387" s="889"/>
      <c r="AA387" s="239"/>
      <c r="AB387" s="239"/>
    </row>
    <row r="388" spans="1:28" s="226" customFormat="1" ht="13.5" thickBot="1">
      <c r="A388" s="235"/>
      <c r="B388" s="981"/>
      <c r="C388" s="900"/>
      <c r="D388" s="900"/>
      <c r="E388" s="900"/>
      <c r="F388" s="900" t="s">
        <v>34</v>
      </c>
      <c r="G388" s="900"/>
      <c r="H388" s="900" t="s">
        <v>34</v>
      </c>
      <c r="I388" s="900"/>
      <c r="J388" s="900"/>
      <c r="K388" s="900"/>
      <c r="L388" s="900"/>
      <c r="M388" s="141"/>
      <c r="N388" s="889"/>
      <c r="O388" s="889"/>
      <c r="P388" s="889"/>
      <c r="AA388" s="239"/>
      <c r="AB388" s="239"/>
    </row>
    <row r="389" spans="1:28" s="226" customFormat="1" ht="15" customHeight="1" thickBot="1">
      <c r="A389" s="235"/>
      <c r="B389" s="264"/>
      <c r="C389" s="264"/>
      <c r="D389" s="264"/>
      <c r="E389" s="264"/>
      <c r="F389" s="302"/>
      <c r="G389" s="303"/>
      <c r="H389" s="303"/>
      <c r="I389" s="263"/>
      <c r="J389" s="263"/>
      <c r="K389" s="141"/>
      <c r="L389" s="141"/>
      <c r="M389" s="141"/>
      <c r="N389" s="262"/>
      <c r="O389" s="262"/>
      <c r="P389" s="262"/>
      <c r="AA389" s="239"/>
      <c r="AB389" s="239"/>
    </row>
    <row r="390" spans="1:28" s="226" customFormat="1" ht="75" customHeight="1" thickBot="1">
      <c r="A390" s="235"/>
      <c r="B390" s="1913" t="s">
        <v>15</v>
      </c>
      <c r="C390" s="1910" t="s">
        <v>1022</v>
      </c>
      <c r="D390" s="1910" t="s">
        <v>1023</v>
      </c>
      <c r="E390" s="1910" t="s">
        <v>1024</v>
      </c>
      <c r="F390" s="1911" t="s">
        <v>25</v>
      </c>
      <c r="G390" s="1910" t="s">
        <v>1062</v>
      </c>
      <c r="H390" s="1910" t="s">
        <v>1063</v>
      </c>
      <c r="I390" s="1912" t="s">
        <v>1064</v>
      </c>
      <c r="J390" s="1885" t="s">
        <v>1065</v>
      </c>
      <c r="K390" s="1885" t="s">
        <v>1025</v>
      </c>
      <c r="L390" s="1885" t="s">
        <v>1026</v>
      </c>
      <c r="M390" s="141"/>
      <c r="N390" s="889"/>
      <c r="O390" s="889"/>
      <c r="P390" s="889"/>
      <c r="AA390" s="239"/>
      <c r="AB390" s="239"/>
    </row>
    <row r="391" spans="1:28" s="226" customFormat="1" ht="15" customHeight="1">
      <c r="A391" s="235"/>
      <c r="B391" s="979"/>
      <c r="C391" s="898"/>
      <c r="D391" s="898"/>
      <c r="E391" s="898"/>
      <c r="F391" s="898"/>
      <c r="G391" s="898"/>
      <c r="H391" s="898"/>
      <c r="I391" s="898"/>
      <c r="J391" s="898"/>
      <c r="K391" s="898"/>
      <c r="L391" s="898"/>
      <c r="M391" s="141"/>
      <c r="N391" s="889"/>
      <c r="O391" s="889"/>
      <c r="P391" s="889"/>
      <c r="AA391" s="239"/>
      <c r="AB391" s="239"/>
    </row>
    <row r="392" spans="1:28" s="226" customFormat="1" ht="15" customHeight="1">
      <c r="A392" s="235"/>
      <c r="B392" s="980"/>
      <c r="C392" s="899"/>
      <c r="D392" s="899"/>
      <c r="E392" s="899"/>
      <c r="F392" s="899"/>
      <c r="G392" s="899"/>
      <c r="H392" s="899"/>
      <c r="I392" s="899"/>
      <c r="J392" s="899"/>
      <c r="K392" s="899"/>
      <c r="L392" s="899"/>
      <c r="M392" s="141"/>
      <c r="N392" s="889"/>
      <c r="O392" s="889"/>
      <c r="P392" s="889"/>
      <c r="AA392" s="239"/>
      <c r="AB392" s="239"/>
    </row>
    <row r="393" spans="1:28" s="226" customFormat="1" ht="15" customHeight="1">
      <c r="A393" s="235"/>
      <c r="B393" s="980"/>
      <c r="C393" s="899"/>
      <c r="D393" s="899"/>
      <c r="E393" s="899"/>
      <c r="F393" s="899"/>
      <c r="G393" s="899"/>
      <c r="H393" s="899"/>
      <c r="I393" s="899"/>
      <c r="J393" s="899"/>
      <c r="K393" s="899"/>
      <c r="L393" s="899"/>
      <c r="M393" s="141"/>
      <c r="N393" s="889"/>
      <c r="O393" s="889"/>
      <c r="P393" s="889"/>
      <c r="AA393" s="239"/>
      <c r="AB393" s="239"/>
    </row>
    <row r="394" spans="1:28" s="226" customFormat="1" ht="15" customHeight="1">
      <c r="A394" s="235"/>
      <c r="B394" s="980"/>
      <c r="C394" s="899"/>
      <c r="D394" s="899"/>
      <c r="E394" s="899"/>
      <c r="F394" s="899"/>
      <c r="G394" s="899"/>
      <c r="H394" s="899"/>
      <c r="I394" s="899"/>
      <c r="J394" s="899"/>
      <c r="K394" s="899"/>
      <c r="L394" s="899"/>
      <c r="M394" s="141"/>
      <c r="N394" s="889"/>
      <c r="O394" s="889"/>
      <c r="P394" s="889"/>
      <c r="AA394" s="239"/>
      <c r="AB394" s="239"/>
    </row>
    <row r="395" spans="1:28" s="226" customFormat="1" ht="15" customHeight="1">
      <c r="A395" s="235"/>
      <c r="B395" s="980"/>
      <c r="C395" s="899"/>
      <c r="D395" s="899"/>
      <c r="E395" s="899"/>
      <c r="F395" s="899"/>
      <c r="G395" s="899"/>
      <c r="H395" s="899"/>
      <c r="I395" s="899"/>
      <c r="J395" s="899"/>
      <c r="K395" s="899"/>
      <c r="L395" s="899"/>
      <c r="M395" s="141"/>
      <c r="N395" s="889"/>
      <c r="O395" s="889"/>
      <c r="P395" s="889"/>
      <c r="AA395" s="239"/>
      <c r="AB395" s="239"/>
    </row>
    <row r="396" spans="1:28" s="226" customFormat="1" ht="15" customHeight="1">
      <c r="A396" s="235"/>
      <c r="B396" s="980"/>
      <c r="C396" s="899"/>
      <c r="D396" s="899"/>
      <c r="E396" s="899"/>
      <c r="F396" s="899"/>
      <c r="G396" s="899"/>
      <c r="H396" s="899"/>
      <c r="I396" s="899"/>
      <c r="J396" s="899"/>
      <c r="K396" s="899"/>
      <c r="L396" s="899"/>
      <c r="M396" s="141"/>
      <c r="N396" s="889"/>
      <c r="O396" s="889"/>
      <c r="P396" s="889"/>
      <c r="AA396" s="239"/>
      <c r="AB396" s="239"/>
    </row>
    <row r="397" spans="1:28" s="226" customFormat="1" ht="15" customHeight="1">
      <c r="A397" s="235"/>
      <c r="B397" s="980"/>
      <c r="C397" s="899"/>
      <c r="D397" s="899"/>
      <c r="E397" s="899"/>
      <c r="F397" s="899"/>
      <c r="G397" s="899"/>
      <c r="H397" s="899"/>
      <c r="I397" s="899"/>
      <c r="J397" s="899"/>
      <c r="K397" s="899"/>
      <c r="L397" s="899"/>
      <c r="M397" s="141"/>
      <c r="N397" s="889"/>
      <c r="O397" s="889"/>
      <c r="P397" s="889"/>
      <c r="AA397" s="239"/>
      <c r="AB397" s="239"/>
    </row>
    <row r="398" spans="1:28" s="226" customFormat="1" ht="15" customHeight="1">
      <c r="A398" s="235"/>
      <c r="B398" s="980"/>
      <c r="C398" s="899"/>
      <c r="D398" s="899"/>
      <c r="E398" s="899"/>
      <c r="F398" s="899"/>
      <c r="G398" s="899"/>
      <c r="H398" s="899"/>
      <c r="I398" s="899"/>
      <c r="J398" s="899"/>
      <c r="K398" s="899"/>
      <c r="L398" s="899"/>
      <c r="M398" s="141"/>
      <c r="N398" s="889"/>
      <c r="O398" s="889"/>
      <c r="P398" s="889"/>
      <c r="AA398" s="239"/>
      <c r="AB398" s="239"/>
    </row>
    <row r="399" spans="1:28" s="226" customFormat="1" ht="15" customHeight="1">
      <c r="A399" s="235"/>
      <c r="B399" s="980"/>
      <c r="C399" s="899"/>
      <c r="D399" s="899"/>
      <c r="E399" s="899"/>
      <c r="F399" s="899"/>
      <c r="G399" s="899"/>
      <c r="H399" s="899"/>
      <c r="I399" s="899"/>
      <c r="J399" s="899"/>
      <c r="K399" s="899"/>
      <c r="L399" s="899"/>
      <c r="M399" s="141"/>
      <c r="N399" s="889"/>
      <c r="O399" s="889"/>
      <c r="P399" s="889"/>
      <c r="AA399" s="239"/>
      <c r="AB399" s="239"/>
    </row>
    <row r="400" spans="1:28" s="226" customFormat="1" ht="15" customHeight="1">
      <c r="A400" s="235"/>
      <c r="B400" s="980"/>
      <c r="C400" s="899"/>
      <c r="D400" s="899"/>
      <c r="E400" s="899"/>
      <c r="F400" s="899"/>
      <c r="G400" s="899"/>
      <c r="H400" s="899"/>
      <c r="I400" s="899"/>
      <c r="J400" s="899"/>
      <c r="K400" s="899"/>
      <c r="L400" s="899"/>
      <c r="M400" s="141"/>
      <c r="N400" s="889"/>
      <c r="O400" s="889"/>
      <c r="P400" s="889"/>
      <c r="AA400" s="239"/>
      <c r="AB400" s="239"/>
    </row>
    <row r="401" spans="1:28" s="226" customFormat="1" ht="15" customHeight="1">
      <c r="A401" s="235"/>
      <c r="B401" s="980"/>
      <c r="C401" s="899"/>
      <c r="D401" s="899"/>
      <c r="E401" s="899"/>
      <c r="F401" s="899"/>
      <c r="G401" s="899"/>
      <c r="H401" s="899"/>
      <c r="I401" s="899"/>
      <c r="J401" s="899"/>
      <c r="K401" s="899"/>
      <c r="L401" s="899"/>
      <c r="M401" s="141"/>
      <c r="N401" s="889"/>
      <c r="O401" s="889"/>
      <c r="P401" s="889"/>
      <c r="AA401" s="239"/>
      <c r="AB401" s="239"/>
    </row>
    <row r="402" spans="1:28" s="226" customFormat="1" ht="15" customHeight="1">
      <c r="A402" s="235"/>
      <c r="B402" s="980"/>
      <c r="C402" s="899"/>
      <c r="D402" s="899"/>
      <c r="E402" s="899"/>
      <c r="F402" s="899"/>
      <c r="G402" s="899"/>
      <c r="H402" s="899"/>
      <c r="I402" s="899"/>
      <c r="J402" s="899"/>
      <c r="K402" s="899"/>
      <c r="L402" s="899"/>
      <c r="M402" s="141"/>
      <c r="N402" s="889"/>
      <c r="O402" s="889"/>
      <c r="P402" s="889"/>
      <c r="AA402" s="239"/>
      <c r="AB402" s="239"/>
    </row>
    <row r="403" spans="1:28" s="226" customFormat="1" ht="15" customHeight="1">
      <c r="A403" s="235"/>
      <c r="B403" s="980"/>
      <c r="C403" s="899"/>
      <c r="D403" s="899"/>
      <c r="E403" s="899"/>
      <c r="F403" s="899"/>
      <c r="G403" s="899"/>
      <c r="H403" s="899"/>
      <c r="I403" s="899"/>
      <c r="J403" s="899"/>
      <c r="K403" s="899"/>
      <c r="L403" s="899"/>
      <c r="M403" s="141"/>
      <c r="N403" s="889"/>
      <c r="O403" s="889"/>
      <c r="P403" s="889"/>
      <c r="AA403" s="239"/>
      <c r="AB403" s="239"/>
    </row>
    <row r="404" spans="1:28" s="226" customFormat="1" ht="15" customHeight="1">
      <c r="A404" s="235"/>
      <c r="B404" s="980"/>
      <c r="C404" s="899"/>
      <c r="D404" s="899"/>
      <c r="E404" s="899"/>
      <c r="F404" s="899"/>
      <c r="G404" s="899"/>
      <c r="H404" s="899"/>
      <c r="I404" s="899"/>
      <c r="J404" s="899"/>
      <c r="K404" s="899"/>
      <c r="L404" s="899"/>
      <c r="M404" s="141"/>
      <c r="N404" s="889"/>
      <c r="O404" s="889"/>
      <c r="P404" s="889"/>
      <c r="AA404" s="239"/>
      <c r="AB404" s="239"/>
    </row>
    <row r="405" spans="1:28" s="226" customFormat="1" ht="15" customHeight="1">
      <c r="A405" s="235"/>
      <c r="B405" s="980"/>
      <c r="C405" s="899"/>
      <c r="D405" s="899"/>
      <c r="E405" s="899"/>
      <c r="F405" s="899"/>
      <c r="G405" s="899"/>
      <c r="H405" s="899"/>
      <c r="I405" s="899"/>
      <c r="J405" s="899"/>
      <c r="K405" s="899"/>
      <c r="L405" s="899"/>
      <c r="M405" s="141"/>
      <c r="N405" s="889"/>
      <c r="O405" s="889"/>
      <c r="P405" s="889"/>
      <c r="AA405" s="239"/>
      <c r="AB405" s="239"/>
    </row>
    <row r="406" spans="1:28" s="226" customFormat="1" ht="15" customHeight="1">
      <c r="A406" s="235"/>
      <c r="B406" s="980"/>
      <c r="C406" s="899"/>
      <c r="D406" s="899"/>
      <c r="E406" s="899"/>
      <c r="F406" s="899" t="s">
        <v>34</v>
      </c>
      <c r="G406" s="899"/>
      <c r="H406" s="899" t="s">
        <v>34</v>
      </c>
      <c r="I406" s="899"/>
      <c r="J406" s="899"/>
      <c r="K406" s="899"/>
      <c r="L406" s="899"/>
      <c r="M406" s="141"/>
      <c r="N406" s="889"/>
      <c r="O406" s="889"/>
      <c r="P406" s="889"/>
      <c r="AA406" s="239"/>
      <c r="AB406" s="239"/>
    </row>
    <row r="407" spans="1:28" s="226" customFormat="1" ht="15" customHeight="1">
      <c r="A407" s="235"/>
      <c r="B407" s="980"/>
      <c r="C407" s="899"/>
      <c r="D407" s="899"/>
      <c r="E407" s="899"/>
      <c r="F407" s="899" t="s">
        <v>34</v>
      </c>
      <c r="G407" s="899"/>
      <c r="H407" s="899" t="s">
        <v>34</v>
      </c>
      <c r="I407" s="899"/>
      <c r="J407" s="899"/>
      <c r="K407" s="899"/>
      <c r="L407" s="899"/>
      <c r="M407" s="141"/>
      <c r="N407" s="889"/>
      <c r="O407" s="889"/>
      <c r="P407" s="889"/>
      <c r="AA407" s="239"/>
      <c r="AB407" s="239"/>
    </row>
    <row r="408" spans="1:28" s="226" customFormat="1" ht="15" customHeight="1">
      <c r="A408" s="235"/>
      <c r="B408" s="980"/>
      <c r="C408" s="899"/>
      <c r="D408" s="899"/>
      <c r="E408" s="899"/>
      <c r="F408" s="899" t="s">
        <v>34</v>
      </c>
      <c r="G408" s="899"/>
      <c r="H408" s="899" t="s">
        <v>34</v>
      </c>
      <c r="I408" s="899"/>
      <c r="J408" s="899"/>
      <c r="K408" s="899"/>
      <c r="L408" s="899"/>
      <c r="M408" s="141"/>
      <c r="N408" s="889"/>
      <c r="O408" s="889"/>
      <c r="P408" s="889"/>
      <c r="AA408" s="239"/>
      <c r="AB408" s="239"/>
    </row>
    <row r="409" spans="1:28" s="226" customFormat="1" ht="15" customHeight="1">
      <c r="A409" s="235"/>
      <c r="B409" s="980"/>
      <c r="C409" s="899"/>
      <c r="D409" s="899"/>
      <c r="E409" s="899"/>
      <c r="F409" s="899" t="s">
        <v>34</v>
      </c>
      <c r="G409" s="899"/>
      <c r="H409" s="899" t="s">
        <v>34</v>
      </c>
      <c r="I409" s="899"/>
      <c r="J409" s="899"/>
      <c r="K409" s="899"/>
      <c r="L409" s="899"/>
      <c r="M409" s="141"/>
      <c r="N409" s="889"/>
      <c r="O409" s="889"/>
      <c r="P409" s="889"/>
      <c r="AA409" s="239"/>
      <c r="AB409" s="239"/>
    </row>
    <row r="410" spans="1:28" s="226" customFormat="1" ht="15" customHeight="1" thickBot="1">
      <c r="A410" s="235"/>
      <c r="B410" s="981"/>
      <c r="C410" s="900"/>
      <c r="D410" s="900"/>
      <c r="E410" s="900"/>
      <c r="F410" s="900" t="s">
        <v>34</v>
      </c>
      <c r="G410" s="900"/>
      <c r="H410" s="900" t="s">
        <v>34</v>
      </c>
      <c r="I410" s="900"/>
      <c r="J410" s="900"/>
      <c r="K410" s="900"/>
      <c r="L410" s="900"/>
      <c r="M410" s="141"/>
      <c r="N410" s="889"/>
      <c r="O410" s="889"/>
      <c r="P410" s="889"/>
      <c r="AA410" s="239"/>
      <c r="AB410" s="239"/>
    </row>
    <row r="411" spans="1:28" s="226" customFormat="1" ht="15" customHeight="1" thickBot="1">
      <c r="A411" s="235"/>
      <c r="B411" s="264"/>
      <c r="C411" s="264"/>
      <c r="D411" s="264"/>
      <c r="E411" s="264"/>
      <c r="F411" s="302"/>
      <c r="G411" s="303"/>
      <c r="H411" s="303"/>
      <c r="I411" s="263"/>
      <c r="J411" s="263"/>
      <c r="K411" s="141"/>
      <c r="L411" s="141"/>
      <c r="M411" s="141"/>
      <c r="N411" s="889"/>
      <c r="O411" s="889"/>
      <c r="P411" s="889"/>
      <c r="AA411" s="239"/>
      <c r="AB411" s="239"/>
    </row>
    <row r="412" spans="1:28" s="226" customFormat="1" ht="75" customHeight="1" thickBot="1">
      <c r="A412" s="235"/>
      <c r="B412" s="1913" t="s">
        <v>15</v>
      </c>
      <c r="C412" s="1910" t="s">
        <v>1022</v>
      </c>
      <c r="D412" s="1910" t="s">
        <v>1023</v>
      </c>
      <c r="E412" s="1910" t="s">
        <v>1024</v>
      </c>
      <c r="F412" s="1911" t="s">
        <v>25</v>
      </c>
      <c r="G412" s="1910" t="s">
        <v>1062</v>
      </c>
      <c r="H412" s="1910" t="s">
        <v>1063</v>
      </c>
      <c r="I412" s="1912" t="s">
        <v>1064</v>
      </c>
      <c r="J412" s="1885" t="s">
        <v>1065</v>
      </c>
      <c r="K412" s="1885" t="s">
        <v>1025</v>
      </c>
      <c r="L412" s="1885" t="s">
        <v>1026</v>
      </c>
      <c r="M412" s="141"/>
      <c r="N412" s="889"/>
      <c r="O412" s="889"/>
      <c r="P412" s="889"/>
      <c r="AA412" s="239"/>
      <c r="AB412" s="239"/>
    </row>
    <row r="413" spans="1:28" s="226" customFormat="1" ht="15" customHeight="1">
      <c r="A413" s="235"/>
      <c r="B413" s="979"/>
      <c r="C413" s="898"/>
      <c r="D413" s="898"/>
      <c r="E413" s="898"/>
      <c r="F413" s="898"/>
      <c r="G413" s="898"/>
      <c r="H413" s="898"/>
      <c r="I413" s="898"/>
      <c r="J413" s="898"/>
      <c r="K413" s="898"/>
      <c r="L413" s="898"/>
      <c r="M413" s="141"/>
      <c r="N413" s="889"/>
      <c r="O413" s="889"/>
      <c r="P413" s="889"/>
      <c r="AA413" s="239"/>
      <c r="AB413" s="239"/>
    </row>
    <row r="414" spans="1:28" s="226" customFormat="1" ht="15" customHeight="1">
      <c r="A414" s="235"/>
      <c r="B414" s="980"/>
      <c r="C414" s="899"/>
      <c r="D414" s="899"/>
      <c r="E414" s="899"/>
      <c r="F414" s="899"/>
      <c r="G414" s="899"/>
      <c r="H414" s="899"/>
      <c r="I414" s="899"/>
      <c r="J414" s="899"/>
      <c r="K414" s="899"/>
      <c r="L414" s="899"/>
      <c r="M414" s="141"/>
      <c r="N414" s="889"/>
      <c r="O414" s="889"/>
      <c r="P414" s="889"/>
      <c r="AA414" s="239"/>
      <c r="AB414" s="239"/>
    </row>
    <row r="415" spans="1:28" s="226" customFormat="1" ht="15" customHeight="1">
      <c r="A415" s="235"/>
      <c r="B415" s="980"/>
      <c r="C415" s="899"/>
      <c r="D415" s="899"/>
      <c r="E415" s="899"/>
      <c r="F415" s="899"/>
      <c r="G415" s="899"/>
      <c r="H415" s="899"/>
      <c r="I415" s="899"/>
      <c r="J415" s="899"/>
      <c r="K415" s="899"/>
      <c r="L415" s="899"/>
      <c r="M415" s="141"/>
      <c r="N415" s="889"/>
      <c r="O415" s="889"/>
      <c r="P415" s="889"/>
      <c r="AA415" s="239"/>
      <c r="AB415" s="239"/>
    </row>
    <row r="416" spans="1:28" s="226" customFormat="1" ht="15" customHeight="1">
      <c r="A416" s="235"/>
      <c r="B416" s="980"/>
      <c r="C416" s="899"/>
      <c r="D416" s="899"/>
      <c r="E416" s="899"/>
      <c r="F416" s="899"/>
      <c r="G416" s="899"/>
      <c r="H416" s="899"/>
      <c r="I416" s="899"/>
      <c r="J416" s="899"/>
      <c r="K416" s="899"/>
      <c r="L416" s="899"/>
      <c r="M416" s="141"/>
      <c r="N416" s="889"/>
      <c r="O416" s="889"/>
      <c r="P416" s="889"/>
      <c r="AA416" s="239"/>
      <c r="AB416" s="239"/>
    </row>
    <row r="417" spans="1:28" s="226" customFormat="1" ht="15" customHeight="1">
      <c r="A417" s="235"/>
      <c r="B417" s="980"/>
      <c r="C417" s="899"/>
      <c r="D417" s="899"/>
      <c r="E417" s="899"/>
      <c r="F417" s="899"/>
      <c r="G417" s="899"/>
      <c r="H417" s="899"/>
      <c r="I417" s="899"/>
      <c r="J417" s="899"/>
      <c r="K417" s="899"/>
      <c r="L417" s="899"/>
      <c r="M417" s="141"/>
      <c r="N417" s="889"/>
      <c r="O417" s="889"/>
      <c r="P417" s="889"/>
      <c r="AA417" s="239"/>
      <c r="AB417" s="239"/>
    </row>
    <row r="418" spans="1:28" s="226" customFormat="1" ht="15" customHeight="1">
      <c r="A418" s="235"/>
      <c r="B418" s="980"/>
      <c r="C418" s="899"/>
      <c r="D418" s="899"/>
      <c r="E418" s="899"/>
      <c r="F418" s="899"/>
      <c r="G418" s="899"/>
      <c r="H418" s="899"/>
      <c r="I418" s="899"/>
      <c r="J418" s="899"/>
      <c r="K418" s="899"/>
      <c r="L418" s="899"/>
      <c r="M418" s="141"/>
      <c r="N418" s="889"/>
      <c r="O418" s="889"/>
      <c r="P418" s="889"/>
      <c r="AA418" s="239"/>
      <c r="AB418" s="239"/>
    </row>
    <row r="419" spans="1:28" s="226" customFormat="1" ht="15" customHeight="1">
      <c r="A419" s="235"/>
      <c r="B419" s="980"/>
      <c r="C419" s="899"/>
      <c r="D419" s="899"/>
      <c r="E419" s="899"/>
      <c r="F419" s="899"/>
      <c r="G419" s="899"/>
      <c r="H419" s="899"/>
      <c r="I419" s="899"/>
      <c r="J419" s="899"/>
      <c r="K419" s="899"/>
      <c r="L419" s="899"/>
      <c r="M419" s="141"/>
      <c r="N419" s="889"/>
      <c r="O419" s="889"/>
      <c r="P419" s="889"/>
      <c r="AA419" s="239"/>
      <c r="AB419" s="239"/>
    </row>
    <row r="420" spans="1:28" s="226" customFormat="1" ht="15" customHeight="1">
      <c r="A420" s="235"/>
      <c r="B420" s="980"/>
      <c r="C420" s="899"/>
      <c r="D420" s="899"/>
      <c r="E420" s="899"/>
      <c r="F420" s="899"/>
      <c r="G420" s="899"/>
      <c r="H420" s="899"/>
      <c r="I420" s="899"/>
      <c r="J420" s="899"/>
      <c r="K420" s="899"/>
      <c r="L420" s="899"/>
      <c r="M420" s="141"/>
      <c r="N420" s="889"/>
      <c r="O420" s="889"/>
      <c r="P420" s="889"/>
      <c r="AA420" s="239"/>
      <c r="AB420" s="239"/>
    </row>
    <row r="421" spans="1:28" s="226" customFormat="1" ht="15" customHeight="1">
      <c r="A421" s="235"/>
      <c r="B421" s="980"/>
      <c r="C421" s="899"/>
      <c r="D421" s="899"/>
      <c r="E421" s="899"/>
      <c r="F421" s="899"/>
      <c r="G421" s="899"/>
      <c r="H421" s="899"/>
      <c r="I421" s="899"/>
      <c r="J421" s="899"/>
      <c r="K421" s="899"/>
      <c r="L421" s="899"/>
      <c r="M421" s="141"/>
      <c r="N421" s="889"/>
      <c r="O421" s="889"/>
      <c r="P421" s="889"/>
      <c r="AA421" s="239"/>
      <c r="AB421" s="239"/>
    </row>
    <row r="422" spans="1:28" s="226" customFormat="1" ht="15" customHeight="1">
      <c r="A422" s="235"/>
      <c r="B422" s="980"/>
      <c r="C422" s="899"/>
      <c r="D422" s="899"/>
      <c r="E422" s="899"/>
      <c r="F422" s="899"/>
      <c r="G422" s="899"/>
      <c r="H422" s="899"/>
      <c r="I422" s="899"/>
      <c r="J422" s="899"/>
      <c r="K422" s="899"/>
      <c r="L422" s="899"/>
      <c r="M422" s="141"/>
      <c r="N422" s="889"/>
      <c r="O422" s="889"/>
      <c r="P422" s="889"/>
      <c r="AA422" s="239"/>
      <c r="AB422" s="239"/>
    </row>
    <row r="423" spans="1:28" s="226" customFormat="1" ht="15" customHeight="1">
      <c r="A423" s="235"/>
      <c r="B423" s="980"/>
      <c r="C423" s="899"/>
      <c r="D423" s="899"/>
      <c r="E423" s="899"/>
      <c r="F423" s="899"/>
      <c r="G423" s="899"/>
      <c r="H423" s="899"/>
      <c r="I423" s="899"/>
      <c r="J423" s="899"/>
      <c r="K423" s="899"/>
      <c r="L423" s="899"/>
      <c r="M423" s="141"/>
      <c r="N423" s="889"/>
      <c r="O423" s="889"/>
      <c r="P423" s="889"/>
      <c r="AA423" s="239"/>
      <c r="AB423" s="239"/>
    </row>
    <row r="424" spans="1:28" s="226" customFormat="1" ht="15" customHeight="1">
      <c r="A424" s="235"/>
      <c r="B424" s="980"/>
      <c r="C424" s="899"/>
      <c r="D424" s="899"/>
      <c r="E424" s="899"/>
      <c r="F424" s="899"/>
      <c r="G424" s="899"/>
      <c r="H424" s="899"/>
      <c r="I424" s="899"/>
      <c r="J424" s="899"/>
      <c r="K424" s="899"/>
      <c r="L424" s="899"/>
      <c r="M424" s="141"/>
      <c r="N424" s="889"/>
      <c r="O424" s="889"/>
      <c r="P424" s="889"/>
      <c r="AA424" s="239"/>
      <c r="AB424" s="239"/>
    </row>
    <row r="425" spans="1:28" s="226" customFormat="1" ht="15" customHeight="1">
      <c r="A425" s="235"/>
      <c r="B425" s="980"/>
      <c r="C425" s="899"/>
      <c r="D425" s="899"/>
      <c r="E425" s="899"/>
      <c r="F425" s="899"/>
      <c r="G425" s="899"/>
      <c r="H425" s="899"/>
      <c r="I425" s="899"/>
      <c r="J425" s="899"/>
      <c r="K425" s="899"/>
      <c r="L425" s="899"/>
      <c r="M425" s="141"/>
      <c r="N425" s="889"/>
      <c r="O425" s="889"/>
      <c r="P425" s="889"/>
      <c r="AA425" s="239"/>
      <c r="AB425" s="239"/>
    </row>
    <row r="426" spans="1:28" s="226" customFormat="1" ht="15" customHeight="1">
      <c r="A426" s="235"/>
      <c r="B426" s="980"/>
      <c r="C426" s="899"/>
      <c r="D426" s="899"/>
      <c r="E426" s="899"/>
      <c r="F426" s="899"/>
      <c r="G426" s="899"/>
      <c r="H426" s="899"/>
      <c r="I426" s="899"/>
      <c r="J426" s="899"/>
      <c r="K426" s="899"/>
      <c r="L426" s="899"/>
      <c r="M426" s="141"/>
      <c r="N426" s="889"/>
      <c r="O426" s="889"/>
      <c r="P426" s="889"/>
      <c r="AA426" s="239"/>
      <c r="AB426" s="239"/>
    </row>
    <row r="427" spans="1:28" s="226" customFormat="1" ht="15" customHeight="1">
      <c r="A427" s="235"/>
      <c r="B427" s="980"/>
      <c r="C427" s="899"/>
      <c r="D427" s="899"/>
      <c r="E427" s="899"/>
      <c r="F427" s="899"/>
      <c r="G427" s="899"/>
      <c r="H427" s="899"/>
      <c r="I427" s="899"/>
      <c r="J427" s="899"/>
      <c r="K427" s="899"/>
      <c r="L427" s="899"/>
      <c r="M427" s="141"/>
      <c r="N427" s="889"/>
      <c r="O427" s="889"/>
      <c r="P427" s="889"/>
      <c r="AA427" s="239"/>
      <c r="AB427" s="239"/>
    </row>
    <row r="428" spans="1:28" s="226" customFormat="1" ht="15" customHeight="1">
      <c r="A428" s="235"/>
      <c r="B428" s="980"/>
      <c r="C428" s="899"/>
      <c r="D428" s="899"/>
      <c r="E428" s="899"/>
      <c r="F428" s="899" t="s">
        <v>34</v>
      </c>
      <c r="G428" s="899"/>
      <c r="H428" s="899" t="s">
        <v>34</v>
      </c>
      <c r="I428" s="899"/>
      <c r="J428" s="899"/>
      <c r="K428" s="899"/>
      <c r="L428" s="899"/>
      <c r="M428" s="141"/>
      <c r="N428" s="889"/>
      <c r="O428" s="889"/>
      <c r="P428" s="889"/>
      <c r="AA428" s="239"/>
      <c r="AB428" s="239"/>
    </row>
    <row r="429" spans="1:28" s="226" customFormat="1" ht="15" customHeight="1">
      <c r="A429" s="235"/>
      <c r="B429" s="980"/>
      <c r="C429" s="899"/>
      <c r="D429" s="899"/>
      <c r="E429" s="899"/>
      <c r="F429" s="899" t="s">
        <v>34</v>
      </c>
      <c r="G429" s="899"/>
      <c r="H429" s="899" t="s">
        <v>34</v>
      </c>
      <c r="I429" s="899"/>
      <c r="J429" s="899"/>
      <c r="K429" s="899"/>
      <c r="L429" s="899"/>
      <c r="M429" s="141"/>
      <c r="N429" s="889"/>
      <c r="O429" s="889"/>
      <c r="P429" s="889"/>
      <c r="AA429" s="239"/>
      <c r="AB429" s="239"/>
    </row>
    <row r="430" spans="1:28" s="226" customFormat="1" ht="15" customHeight="1">
      <c r="A430" s="235"/>
      <c r="B430" s="980"/>
      <c r="C430" s="899"/>
      <c r="D430" s="899"/>
      <c r="E430" s="899"/>
      <c r="F430" s="899" t="s">
        <v>34</v>
      </c>
      <c r="G430" s="899"/>
      <c r="H430" s="899" t="s">
        <v>34</v>
      </c>
      <c r="I430" s="899"/>
      <c r="J430" s="899"/>
      <c r="K430" s="899"/>
      <c r="L430" s="899"/>
      <c r="M430" s="141"/>
      <c r="N430" s="889"/>
      <c r="O430" s="889"/>
      <c r="P430" s="889"/>
      <c r="AA430" s="239"/>
      <c r="AB430" s="239"/>
    </row>
    <row r="431" spans="1:28" s="226" customFormat="1" ht="15" customHeight="1">
      <c r="A431" s="235"/>
      <c r="B431" s="980"/>
      <c r="C431" s="899"/>
      <c r="D431" s="899"/>
      <c r="E431" s="899"/>
      <c r="F431" s="899" t="s">
        <v>34</v>
      </c>
      <c r="G431" s="899"/>
      <c r="H431" s="899" t="s">
        <v>34</v>
      </c>
      <c r="I431" s="899"/>
      <c r="J431" s="899"/>
      <c r="K431" s="899"/>
      <c r="L431" s="899"/>
      <c r="M431" s="141"/>
      <c r="N431" s="889"/>
      <c r="O431" s="889"/>
      <c r="P431" s="889"/>
      <c r="AA431" s="239"/>
      <c r="AB431" s="239"/>
    </row>
    <row r="432" spans="1:28" s="226" customFormat="1" ht="15" customHeight="1" thickBot="1">
      <c r="A432" s="235"/>
      <c r="B432" s="981"/>
      <c r="C432" s="900"/>
      <c r="D432" s="900"/>
      <c r="E432" s="900"/>
      <c r="F432" s="900" t="s">
        <v>34</v>
      </c>
      <c r="G432" s="900"/>
      <c r="H432" s="900" t="s">
        <v>34</v>
      </c>
      <c r="I432" s="900"/>
      <c r="J432" s="900"/>
      <c r="K432" s="900"/>
      <c r="L432" s="900"/>
      <c r="M432" s="141"/>
      <c r="N432" s="889"/>
      <c r="O432" s="889"/>
      <c r="P432" s="889"/>
      <c r="AA432" s="239"/>
      <c r="AB432" s="239"/>
    </row>
    <row r="433" spans="1:28" s="226" customFormat="1" ht="15" customHeight="1">
      <c r="A433" s="235"/>
      <c r="B433" s="264"/>
      <c r="C433" s="264"/>
      <c r="D433" s="264"/>
      <c r="E433" s="264"/>
      <c r="F433" s="302"/>
      <c r="G433" s="303"/>
      <c r="H433" s="303"/>
      <c r="I433" s="263"/>
      <c r="J433" s="263"/>
      <c r="K433" s="141"/>
      <c r="L433" s="141"/>
      <c r="M433" s="141"/>
      <c r="N433" s="889"/>
      <c r="O433" s="889"/>
      <c r="P433" s="889"/>
      <c r="AA433" s="239"/>
      <c r="AB433" s="239"/>
    </row>
    <row r="434" spans="1:28" ht="15" customHeight="1">
      <c r="A434" s="217"/>
      <c r="B434" s="205" t="s">
        <v>130</v>
      </c>
    </row>
    <row r="435" spans="1:28" ht="15" customHeight="1" thickBot="1">
      <c r="A435" s="217"/>
    </row>
    <row r="436" spans="1:28" ht="150" customHeight="1" thickBot="1">
      <c r="A436" s="217"/>
      <c r="B436" s="1898"/>
      <c r="C436" s="1899"/>
      <c r="D436" s="1899"/>
      <c r="E436" s="1900"/>
      <c r="F436" s="871"/>
      <c r="G436" s="871"/>
      <c r="H436" s="871"/>
      <c r="I436" s="871"/>
      <c r="J436" s="871"/>
      <c r="K436" s="871"/>
      <c r="L436" s="871"/>
      <c r="M436" s="676"/>
      <c r="N436" s="676"/>
      <c r="O436" s="676"/>
      <c r="P436" s="676"/>
    </row>
    <row r="437" spans="1:28" s="226" customFormat="1" ht="15" customHeight="1">
      <c r="A437" s="235"/>
      <c r="B437" s="889"/>
      <c r="C437" s="889"/>
      <c r="D437" s="889"/>
      <c r="E437" s="889"/>
      <c r="F437" s="889"/>
      <c r="G437" s="889"/>
      <c r="H437" s="889"/>
      <c r="I437" s="889"/>
      <c r="J437" s="889"/>
      <c r="K437" s="889"/>
      <c r="L437" s="889"/>
      <c r="M437" s="262"/>
      <c r="N437" s="262"/>
      <c r="O437" s="262"/>
      <c r="P437" s="262"/>
      <c r="AA437" s="239"/>
      <c r="AB437" s="239"/>
    </row>
    <row r="438" spans="1:28" s="226" customFormat="1" ht="15" customHeight="1">
      <c r="A438" s="235"/>
      <c r="B438" s="889"/>
      <c r="C438" s="889"/>
      <c r="D438" s="889"/>
      <c r="E438" s="889"/>
      <c r="F438" s="889"/>
      <c r="G438" s="889"/>
      <c r="H438" s="889"/>
      <c r="I438" s="889"/>
      <c r="J438" s="889"/>
      <c r="K438" s="889"/>
      <c r="L438" s="889"/>
      <c r="M438" s="727"/>
      <c r="N438" s="727"/>
      <c r="O438" s="727"/>
      <c r="P438" s="727"/>
      <c r="AA438" s="239"/>
      <c r="AB438" s="239"/>
    </row>
    <row r="439" spans="1:28" s="701" customFormat="1" ht="18.75">
      <c r="A439" s="706"/>
      <c r="B439" s="707" t="s">
        <v>132</v>
      </c>
      <c r="AA439" s="703"/>
      <c r="AB439" s="703"/>
    </row>
    <row r="440" spans="1:28" ht="12.75" customHeight="1">
      <c r="A440" s="217"/>
      <c r="B440" s="209"/>
      <c r="K440" s="215"/>
      <c r="L440" s="215"/>
    </row>
    <row r="441" spans="1:28" ht="68.25" customHeight="1">
      <c r="A441" s="217"/>
      <c r="B441" s="982" t="s">
        <v>672</v>
      </c>
      <c r="C441" s="982"/>
      <c r="D441" s="982"/>
      <c r="E441" s="982"/>
      <c r="F441" s="982"/>
      <c r="G441" s="982"/>
      <c r="H441" s="982"/>
      <c r="I441" s="870"/>
      <c r="J441" s="870"/>
      <c r="K441" s="870"/>
      <c r="L441" s="870"/>
      <c r="M441" s="673"/>
      <c r="N441" s="673"/>
      <c r="O441" s="673"/>
      <c r="Q441" s="228"/>
    </row>
    <row r="442" spans="1:28" ht="12.75" customHeight="1" thickBot="1">
      <c r="A442" s="217"/>
      <c r="B442" s="270"/>
      <c r="K442" s="215"/>
      <c r="L442" s="215"/>
      <c r="Q442" s="228"/>
    </row>
    <row r="443" spans="1:28" ht="75" customHeight="1" thickBot="1">
      <c r="A443" s="217"/>
      <c r="B443" s="1921" t="s">
        <v>15</v>
      </c>
      <c r="C443" s="1916" t="s">
        <v>27</v>
      </c>
      <c r="D443" s="1910" t="s">
        <v>25</v>
      </c>
      <c r="E443" s="1916" t="s">
        <v>1027</v>
      </c>
      <c r="F443" s="1916" t="s">
        <v>1028</v>
      </c>
      <c r="G443" s="1916" t="s">
        <v>1029</v>
      </c>
      <c r="H443" s="1916" t="s">
        <v>1030</v>
      </c>
      <c r="I443" s="1916" t="s">
        <v>1031</v>
      </c>
      <c r="J443" s="1912" t="s">
        <v>1066</v>
      </c>
      <c r="K443" s="1912" t="s">
        <v>1067</v>
      </c>
      <c r="L443" s="1912" t="s">
        <v>1068</v>
      </c>
      <c r="M443" s="1912" t="s">
        <v>616</v>
      </c>
      <c r="N443" s="1920" t="s">
        <v>617</v>
      </c>
      <c r="O443" s="206"/>
      <c r="P443" s="206"/>
      <c r="AA443" s="205"/>
      <c r="AB443" s="205"/>
    </row>
    <row r="444" spans="1:28" s="202" customFormat="1" ht="12.75" customHeight="1">
      <c r="A444" s="219"/>
      <c r="B444" s="979"/>
      <c r="C444" s="903"/>
      <c r="D444" s="903"/>
      <c r="E444" s="903"/>
      <c r="F444" s="903"/>
      <c r="G444" s="903" t="s">
        <v>34</v>
      </c>
      <c r="H444" s="903" t="s">
        <v>34</v>
      </c>
      <c r="I444" s="903"/>
      <c r="J444" s="903"/>
      <c r="K444" s="903"/>
      <c r="L444" s="903"/>
      <c r="M444" s="903"/>
      <c r="N444" s="905"/>
    </row>
    <row r="445" spans="1:28" s="202" customFormat="1" ht="12.75" customHeight="1">
      <c r="A445" s="219"/>
      <c r="B445" s="980"/>
      <c r="C445" s="903"/>
      <c r="D445" s="903"/>
      <c r="E445" s="903"/>
      <c r="F445" s="903"/>
      <c r="G445" s="903" t="s">
        <v>34</v>
      </c>
      <c r="H445" s="903" t="s">
        <v>34</v>
      </c>
      <c r="I445" s="903"/>
      <c r="J445" s="903"/>
      <c r="K445" s="903"/>
      <c r="L445" s="903"/>
      <c r="M445" s="903"/>
      <c r="N445" s="906"/>
    </row>
    <row r="446" spans="1:28" s="202" customFormat="1" ht="12.75" customHeight="1">
      <c r="A446" s="219"/>
      <c r="B446" s="980"/>
      <c r="C446" s="903"/>
      <c r="D446" s="903"/>
      <c r="E446" s="903"/>
      <c r="F446" s="903"/>
      <c r="G446" s="903"/>
      <c r="H446" s="903"/>
      <c r="I446" s="903"/>
      <c r="J446" s="903"/>
      <c r="K446" s="903"/>
      <c r="L446" s="903"/>
      <c r="M446" s="903"/>
      <c r="N446" s="906"/>
    </row>
    <row r="447" spans="1:28" s="202" customFormat="1" ht="12.75" customHeight="1">
      <c r="A447" s="219"/>
      <c r="B447" s="980"/>
      <c r="C447" s="903"/>
      <c r="D447" s="903"/>
      <c r="E447" s="903"/>
      <c r="F447" s="903"/>
      <c r="G447" s="903"/>
      <c r="H447" s="903"/>
      <c r="I447" s="903"/>
      <c r="J447" s="903"/>
      <c r="K447" s="903"/>
      <c r="L447" s="903"/>
      <c r="M447" s="903"/>
      <c r="N447" s="906"/>
    </row>
    <row r="448" spans="1:28" s="202" customFormat="1" ht="12.75" customHeight="1">
      <c r="A448" s="219"/>
      <c r="B448" s="980"/>
      <c r="C448" s="903"/>
      <c r="D448" s="903"/>
      <c r="E448" s="903"/>
      <c r="F448" s="903"/>
      <c r="G448" s="903"/>
      <c r="H448" s="903"/>
      <c r="I448" s="903"/>
      <c r="J448" s="903"/>
      <c r="K448" s="903"/>
      <c r="L448" s="903"/>
      <c r="M448" s="903"/>
      <c r="N448" s="906"/>
    </row>
    <row r="449" spans="1:28" s="202" customFormat="1" ht="12.75" customHeight="1">
      <c r="A449" s="219"/>
      <c r="B449" s="980"/>
      <c r="C449" s="903"/>
      <c r="D449" s="903"/>
      <c r="E449" s="903"/>
      <c r="F449" s="903"/>
      <c r="G449" s="903"/>
      <c r="H449" s="903"/>
      <c r="I449" s="903"/>
      <c r="J449" s="903"/>
      <c r="K449" s="903"/>
      <c r="L449" s="903"/>
      <c r="M449" s="903"/>
      <c r="N449" s="906"/>
    </row>
    <row r="450" spans="1:28" s="202" customFormat="1" ht="12.75" customHeight="1">
      <c r="A450" s="219"/>
      <c r="B450" s="980"/>
      <c r="C450" s="903"/>
      <c r="D450" s="903"/>
      <c r="E450" s="903"/>
      <c r="F450" s="903"/>
      <c r="G450" s="903"/>
      <c r="H450" s="903"/>
      <c r="I450" s="903"/>
      <c r="J450" s="903"/>
      <c r="K450" s="903"/>
      <c r="L450" s="903"/>
      <c r="M450" s="903"/>
      <c r="N450" s="906"/>
    </row>
    <row r="451" spans="1:28" s="202" customFormat="1" ht="12.75" customHeight="1">
      <c r="A451" s="219"/>
      <c r="B451" s="980"/>
      <c r="C451" s="903"/>
      <c r="D451" s="903"/>
      <c r="E451" s="903"/>
      <c r="F451" s="903"/>
      <c r="G451" s="903" t="s">
        <v>34</v>
      </c>
      <c r="H451" s="903" t="s">
        <v>34</v>
      </c>
      <c r="I451" s="903"/>
      <c r="J451" s="903"/>
      <c r="K451" s="903"/>
      <c r="L451" s="903"/>
      <c r="M451" s="903"/>
      <c r="N451" s="906"/>
    </row>
    <row r="452" spans="1:28" s="202" customFormat="1" ht="12.75" customHeight="1">
      <c r="A452" s="219"/>
      <c r="B452" s="980"/>
      <c r="C452" s="903"/>
      <c r="D452" s="903"/>
      <c r="E452" s="903"/>
      <c r="F452" s="903"/>
      <c r="G452" s="903" t="s">
        <v>34</v>
      </c>
      <c r="H452" s="903" t="s">
        <v>34</v>
      </c>
      <c r="I452" s="903"/>
      <c r="J452" s="903"/>
      <c r="K452" s="903"/>
      <c r="L452" s="903"/>
      <c r="M452" s="903"/>
      <c r="N452" s="906"/>
    </row>
    <row r="453" spans="1:28" s="202" customFormat="1" ht="12.75" customHeight="1">
      <c r="A453" s="219"/>
      <c r="B453" s="980"/>
      <c r="C453" s="903"/>
      <c r="D453" s="903"/>
      <c r="E453" s="903"/>
      <c r="F453" s="903"/>
      <c r="G453" s="903"/>
      <c r="H453" s="903"/>
      <c r="I453" s="903"/>
      <c r="J453" s="903"/>
      <c r="K453" s="903"/>
      <c r="L453" s="903"/>
      <c r="M453" s="903"/>
      <c r="N453" s="906"/>
    </row>
    <row r="454" spans="1:28" s="202" customFormat="1" ht="12.75" customHeight="1">
      <c r="A454" s="219"/>
      <c r="B454" s="980"/>
      <c r="C454" s="903"/>
      <c r="D454" s="903"/>
      <c r="E454" s="903"/>
      <c r="F454" s="903"/>
      <c r="G454" s="903"/>
      <c r="H454" s="903"/>
      <c r="I454" s="903"/>
      <c r="J454" s="903"/>
      <c r="K454" s="903"/>
      <c r="L454" s="903"/>
      <c r="M454" s="903"/>
      <c r="N454" s="906"/>
    </row>
    <row r="455" spans="1:28" s="202" customFormat="1" ht="12.75" customHeight="1">
      <c r="A455" s="219"/>
      <c r="B455" s="980"/>
      <c r="C455" s="903"/>
      <c r="D455" s="903"/>
      <c r="E455" s="903"/>
      <c r="F455" s="903"/>
      <c r="G455" s="903"/>
      <c r="H455" s="903"/>
      <c r="I455" s="903"/>
      <c r="J455" s="903"/>
      <c r="K455" s="903"/>
      <c r="L455" s="903"/>
      <c r="M455" s="903"/>
      <c r="N455" s="906"/>
    </row>
    <row r="456" spans="1:28" s="202" customFormat="1" ht="12.75" customHeight="1">
      <c r="A456" s="219"/>
      <c r="B456" s="980"/>
      <c r="C456" s="903"/>
      <c r="D456" s="903"/>
      <c r="E456" s="903"/>
      <c r="F456" s="903"/>
      <c r="G456" s="903"/>
      <c r="H456" s="903"/>
      <c r="I456" s="903"/>
      <c r="J456" s="903"/>
      <c r="K456" s="903"/>
      <c r="L456" s="903"/>
      <c r="M456" s="903"/>
      <c r="N456" s="906"/>
    </row>
    <row r="457" spans="1:28" s="202" customFormat="1" ht="12.75" customHeight="1">
      <c r="A457" s="219"/>
      <c r="B457" s="980"/>
      <c r="C457" s="903"/>
      <c r="D457" s="903"/>
      <c r="E457" s="903"/>
      <c r="F457" s="903"/>
      <c r="G457" s="903"/>
      <c r="H457" s="903"/>
      <c r="I457" s="903"/>
      <c r="J457" s="903"/>
      <c r="K457" s="903"/>
      <c r="L457" s="903"/>
      <c r="M457" s="903"/>
      <c r="N457" s="906"/>
    </row>
    <row r="458" spans="1:28" s="202" customFormat="1" ht="12.75" customHeight="1">
      <c r="A458" s="219"/>
      <c r="B458" s="980"/>
      <c r="C458" s="903"/>
      <c r="D458" s="903"/>
      <c r="E458" s="903"/>
      <c r="F458" s="903"/>
      <c r="G458" s="903" t="s">
        <v>34</v>
      </c>
      <c r="H458" s="903" t="s">
        <v>34</v>
      </c>
      <c r="I458" s="903"/>
      <c r="J458" s="903"/>
      <c r="K458" s="903"/>
      <c r="L458" s="903"/>
      <c r="M458" s="903"/>
      <c r="N458" s="906"/>
    </row>
    <row r="459" spans="1:28" s="202" customFormat="1" ht="12.75" customHeight="1">
      <c r="A459" s="219"/>
      <c r="B459" s="980"/>
      <c r="C459" s="903"/>
      <c r="D459" s="903"/>
      <c r="E459" s="903"/>
      <c r="F459" s="903"/>
      <c r="G459" s="903" t="s">
        <v>34</v>
      </c>
      <c r="H459" s="903" t="s">
        <v>34</v>
      </c>
      <c r="I459" s="903"/>
      <c r="J459" s="903"/>
      <c r="K459" s="903"/>
      <c r="L459" s="903"/>
      <c r="M459" s="903"/>
      <c r="N459" s="906"/>
    </row>
    <row r="460" spans="1:28" s="202" customFormat="1" ht="12.75" customHeight="1">
      <c r="A460" s="219"/>
      <c r="B460" s="980"/>
      <c r="C460" s="903"/>
      <c r="D460" s="903"/>
      <c r="E460" s="903"/>
      <c r="F460" s="903"/>
      <c r="G460" s="903"/>
      <c r="H460" s="903"/>
      <c r="I460" s="903"/>
      <c r="J460" s="903"/>
      <c r="K460" s="903"/>
      <c r="L460" s="903"/>
      <c r="M460" s="903"/>
      <c r="N460" s="906"/>
    </row>
    <row r="461" spans="1:28" s="202" customFormat="1" ht="12.75" customHeight="1">
      <c r="A461" s="219"/>
      <c r="B461" s="980"/>
      <c r="C461" s="903"/>
      <c r="D461" s="903"/>
      <c r="E461" s="903"/>
      <c r="F461" s="903"/>
      <c r="G461" s="903" t="s">
        <v>34</v>
      </c>
      <c r="H461" s="903" t="s">
        <v>34</v>
      </c>
      <c r="I461" s="903"/>
      <c r="J461" s="903"/>
      <c r="K461" s="903"/>
      <c r="L461" s="903"/>
      <c r="M461" s="903"/>
      <c r="N461" s="906"/>
    </row>
    <row r="462" spans="1:28" s="202" customFormat="1" ht="12.75" customHeight="1">
      <c r="A462" s="219"/>
      <c r="B462" s="980"/>
      <c r="C462" s="903"/>
      <c r="D462" s="903"/>
      <c r="E462" s="903"/>
      <c r="F462" s="903"/>
      <c r="G462" s="903" t="s">
        <v>34</v>
      </c>
      <c r="H462" s="903" t="s">
        <v>34</v>
      </c>
      <c r="I462" s="903" t="s">
        <v>34</v>
      </c>
      <c r="J462" s="903"/>
      <c r="K462" s="903"/>
      <c r="L462" s="903"/>
      <c r="M462" s="903"/>
      <c r="N462" s="906"/>
    </row>
    <row r="463" spans="1:28" ht="12.75" customHeight="1" thickBot="1">
      <c r="A463" s="217"/>
      <c r="B463" s="981"/>
      <c r="C463" s="904"/>
      <c r="D463" s="904"/>
      <c r="E463" s="904"/>
      <c r="F463" s="904"/>
      <c r="G463" s="904" t="s">
        <v>34</v>
      </c>
      <c r="H463" s="904" t="s">
        <v>34</v>
      </c>
      <c r="I463" s="904" t="s">
        <v>34</v>
      </c>
      <c r="J463" s="904"/>
      <c r="K463" s="904"/>
      <c r="L463" s="904"/>
      <c r="M463" s="904"/>
      <c r="N463" s="907"/>
      <c r="AA463" s="205"/>
      <c r="AB463" s="205"/>
    </row>
    <row r="464" spans="1:28" ht="13.5" thickBot="1">
      <c r="A464" s="217"/>
      <c r="B464" s="270"/>
      <c r="J464" s="205" t="s">
        <v>34</v>
      </c>
      <c r="K464" s="205" t="s">
        <v>34</v>
      </c>
      <c r="L464" s="205" t="s">
        <v>34</v>
      </c>
      <c r="N464" s="205" t="s">
        <v>34</v>
      </c>
      <c r="O464" s="228"/>
      <c r="P464" s="205" t="s">
        <v>34</v>
      </c>
      <c r="R464" s="205" t="s">
        <v>34</v>
      </c>
      <c r="AA464" s="205"/>
      <c r="AB464" s="205"/>
    </row>
    <row r="465" spans="1:14" s="228" customFormat="1" ht="75" customHeight="1" thickBot="1">
      <c r="A465" s="251"/>
      <c r="B465" s="1921" t="s">
        <v>15</v>
      </c>
      <c r="C465" s="1916" t="s">
        <v>27</v>
      </c>
      <c r="D465" s="1910" t="s">
        <v>25</v>
      </c>
      <c r="E465" s="1916" t="s">
        <v>1027</v>
      </c>
      <c r="F465" s="1916" t="s">
        <v>1028</v>
      </c>
      <c r="G465" s="1916" t="s">
        <v>1029</v>
      </c>
      <c r="H465" s="1916" t="s">
        <v>1030</v>
      </c>
      <c r="I465" s="1916" t="s">
        <v>1031</v>
      </c>
      <c r="J465" s="1912" t="s">
        <v>1066</v>
      </c>
      <c r="K465" s="1912" t="s">
        <v>1067</v>
      </c>
      <c r="L465" s="1912" t="s">
        <v>1068</v>
      </c>
      <c r="M465" s="1912" t="s">
        <v>616</v>
      </c>
      <c r="N465" s="1920" t="s">
        <v>617</v>
      </c>
    </row>
    <row r="466" spans="1:14" s="228" customFormat="1">
      <c r="A466" s="251"/>
      <c r="B466" s="979"/>
      <c r="C466" s="903"/>
      <c r="D466" s="903"/>
      <c r="E466" s="903"/>
      <c r="F466" s="903"/>
      <c r="G466" s="903" t="s">
        <v>34</v>
      </c>
      <c r="H466" s="903" t="s">
        <v>34</v>
      </c>
      <c r="I466" s="903"/>
      <c r="J466" s="903"/>
      <c r="K466" s="903"/>
      <c r="L466" s="903"/>
      <c r="M466" s="903"/>
      <c r="N466" s="905"/>
    </row>
    <row r="467" spans="1:14" s="228" customFormat="1" ht="12.75" customHeight="1">
      <c r="A467" s="251"/>
      <c r="B467" s="980"/>
      <c r="C467" s="903"/>
      <c r="D467" s="903"/>
      <c r="E467" s="903"/>
      <c r="F467" s="903"/>
      <c r="G467" s="903" t="s">
        <v>34</v>
      </c>
      <c r="H467" s="903" t="s">
        <v>34</v>
      </c>
      <c r="I467" s="903"/>
      <c r="J467" s="903"/>
      <c r="K467" s="903"/>
      <c r="L467" s="903"/>
      <c r="M467" s="903"/>
      <c r="N467" s="906"/>
    </row>
    <row r="468" spans="1:14" s="228" customFormat="1" ht="12.75" customHeight="1">
      <c r="A468" s="251"/>
      <c r="B468" s="980"/>
      <c r="C468" s="903"/>
      <c r="D468" s="903"/>
      <c r="E468" s="903"/>
      <c r="F468" s="903"/>
      <c r="G468" s="903"/>
      <c r="H468" s="903"/>
      <c r="I468" s="903"/>
      <c r="J468" s="903"/>
      <c r="K468" s="903"/>
      <c r="L468" s="903"/>
      <c r="M468" s="903"/>
      <c r="N468" s="906"/>
    </row>
    <row r="469" spans="1:14" s="228" customFormat="1" ht="12.75" customHeight="1">
      <c r="A469" s="251"/>
      <c r="B469" s="980"/>
      <c r="C469" s="903"/>
      <c r="D469" s="903"/>
      <c r="E469" s="903"/>
      <c r="F469" s="903"/>
      <c r="G469" s="903"/>
      <c r="H469" s="903"/>
      <c r="I469" s="903"/>
      <c r="J469" s="903"/>
      <c r="K469" s="903"/>
      <c r="L469" s="903"/>
      <c r="M469" s="903"/>
      <c r="N469" s="906"/>
    </row>
    <row r="470" spans="1:14" s="228" customFormat="1" ht="12.75" customHeight="1">
      <c r="A470" s="251"/>
      <c r="B470" s="980"/>
      <c r="C470" s="903"/>
      <c r="D470" s="903"/>
      <c r="E470" s="903"/>
      <c r="F470" s="903"/>
      <c r="G470" s="903"/>
      <c r="H470" s="903"/>
      <c r="I470" s="903"/>
      <c r="J470" s="903"/>
      <c r="K470" s="903"/>
      <c r="L470" s="903"/>
      <c r="M470" s="903"/>
      <c r="N470" s="906"/>
    </row>
    <row r="471" spans="1:14" s="228" customFormat="1" ht="12.75" customHeight="1">
      <c r="A471" s="251"/>
      <c r="B471" s="980"/>
      <c r="C471" s="903"/>
      <c r="D471" s="903"/>
      <c r="E471" s="903"/>
      <c r="F471" s="903"/>
      <c r="G471" s="903"/>
      <c r="H471" s="903"/>
      <c r="I471" s="903"/>
      <c r="J471" s="903"/>
      <c r="K471" s="903"/>
      <c r="L471" s="903"/>
      <c r="M471" s="903"/>
      <c r="N471" s="906"/>
    </row>
    <row r="472" spans="1:14" s="228" customFormat="1" ht="12.75" customHeight="1">
      <c r="A472" s="251"/>
      <c r="B472" s="980"/>
      <c r="C472" s="903"/>
      <c r="D472" s="903"/>
      <c r="E472" s="903"/>
      <c r="F472" s="903"/>
      <c r="G472" s="903"/>
      <c r="H472" s="903"/>
      <c r="I472" s="903"/>
      <c r="J472" s="903"/>
      <c r="K472" s="903"/>
      <c r="L472" s="903"/>
      <c r="M472" s="903"/>
      <c r="N472" s="906"/>
    </row>
    <row r="473" spans="1:14" s="228" customFormat="1" ht="12.75" customHeight="1">
      <c r="A473" s="251"/>
      <c r="B473" s="980"/>
      <c r="C473" s="903"/>
      <c r="D473" s="903"/>
      <c r="E473" s="903"/>
      <c r="F473" s="903"/>
      <c r="G473" s="903" t="s">
        <v>34</v>
      </c>
      <c r="H473" s="903" t="s">
        <v>34</v>
      </c>
      <c r="I473" s="903"/>
      <c r="J473" s="903"/>
      <c r="K473" s="903"/>
      <c r="L473" s="903"/>
      <c r="M473" s="903"/>
      <c r="N473" s="906"/>
    </row>
    <row r="474" spans="1:14" s="228" customFormat="1" ht="12.75" customHeight="1">
      <c r="A474" s="251"/>
      <c r="B474" s="980"/>
      <c r="C474" s="903"/>
      <c r="D474" s="903"/>
      <c r="E474" s="903"/>
      <c r="F474" s="903"/>
      <c r="G474" s="903" t="s">
        <v>34</v>
      </c>
      <c r="H474" s="903" t="s">
        <v>34</v>
      </c>
      <c r="I474" s="903"/>
      <c r="J474" s="903"/>
      <c r="K474" s="903"/>
      <c r="L474" s="903"/>
      <c r="M474" s="903"/>
      <c r="N474" s="906"/>
    </row>
    <row r="475" spans="1:14" s="228" customFormat="1" ht="12.75" customHeight="1">
      <c r="A475" s="251"/>
      <c r="B475" s="980"/>
      <c r="C475" s="903"/>
      <c r="D475" s="903"/>
      <c r="E475" s="903"/>
      <c r="F475" s="903"/>
      <c r="G475" s="903"/>
      <c r="H475" s="903"/>
      <c r="I475" s="903"/>
      <c r="J475" s="903"/>
      <c r="K475" s="903"/>
      <c r="L475" s="903"/>
      <c r="M475" s="903"/>
      <c r="N475" s="906"/>
    </row>
    <row r="476" spans="1:14" s="228" customFormat="1" ht="12.75" customHeight="1">
      <c r="A476" s="251"/>
      <c r="B476" s="980"/>
      <c r="C476" s="903"/>
      <c r="D476" s="903"/>
      <c r="E476" s="903"/>
      <c r="F476" s="903"/>
      <c r="G476" s="903"/>
      <c r="H476" s="903"/>
      <c r="I476" s="903"/>
      <c r="J476" s="903"/>
      <c r="K476" s="903"/>
      <c r="L476" s="903"/>
      <c r="M476" s="903"/>
      <c r="N476" s="906"/>
    </row>
    <row r="477" spans="1:14" s="228" customFormat="1" ht="12.75" customHeight="1">
      <c r="A477" s="251"/>
      <c r="B477" s="980"/>
      <c r="C477" s="903"/>
      <c r="D477" s="903"/>
      <c r="E477" s="903"/>
      <c r="F477" s="903"/>
      <c r="G477" s="903"/>
      <c r="H477" s="903"/>
      <c r="I477" s="903"/>
      <c r="J477" s="903"/>
      <c r="K477" s="903"/>
      <c r="L477" s="903"/>
      <c r="M477" s="903"/>
      <c r="N477" s="906"/>
    </row>
    <row r="478" spans="1:14" s="228" customFormat="1" ht="12.75" customHeight="1">
      <c r="A478" s="251"/>
      <c r="B478" s="980"/>
      <c r="C478" s="903"/>
      <c r="D478" s="903"/>
      <c r="E478" s="903"/>
      <c r="F478" s="903"/>
      <c r="G478" s="903"/>
      <c r="H478" s="903"/>
      <c r="I478" s="903"/>
      <c r="J478" s="903"/>
      <c r="K478" s="903"/>
      <c r="L478" s="903"/>
      <c r="M478" s="903"/>
      <c r="N478" s="906"/>
    </row>
    <row r="479" spans="1:14" s="228" customFormat="1" ht="12.75" customHeight="1">
      <c r="A479" s="251"/>
      <c r="B479" s="980"/>
      <c r="C479" s="903"/>
      <c r="D479" s="903"/>
      <c r="E479" s="903"/>
      <c r="F479" s="903"/>
      <c r="G479" s="903"/>
      <c r="H479" s="903"/>
      <c r="I479" s="903"/>
      <c r="J479" s="903"/>
      <c r="K479" s="903"/>
      <c r="L479" s="903"/>
      <c r="M479" s="903"/>
      <c r="N479" s="906"/>
    </row>
    <row r="480" spans="1:14" s="228" customFormat="1" ht="12.75" customHeight="1">
      <c r="A480" s="251"/>
      <c r="B480" s="980"/>
      <c r="C480" s="903"/>
      <c r="D480" s="903"/>
      <c r="E480" s="903"/>
      <c r="F480" s="903"/>
      <c r="G480" s="903" t="s">
        <v>34</v>
      </c>
      <c r="H480" s="903" t="s">
        <v>34</v>
      </c>
      <c r="I480" s="903"/>
      <c r="J480" s="903"/>
      <c r="K480" s="903"/>
      <c r="L480" s="903"/>
      <c r="M480" s="903"/>
      <c r="N480" s="906"/>
    </row>
    <row r="481" spans="1:14" s="228" customFormat="1" ht="12.75" customHeight="1">
      <c r="A481" s="251"/>
      <c r="B481" s="980"/>
      <c r="C481" s="903"/>
      <c r="D481" s="903"/>
      <c r="E481" s="903"/>
      <c r="F481" s="903"/>
      <c r="G481" s="903" t="s">
        <v>34</v>
      </c>
      <c r="H481" s="903" t="s">
        <v>34</v>
      </c>
      <c r="I481" s="903"/>
      <c r="J481" s="903"/>
      <c r="K481" s="903"/>
      <c r="L481" s="903"/>
      <c r="M481" s="903"/>
      <c r="N481" s="906"/>
    </row>
    <row r="482" spans="1:14" s="228" customFormat="1" ht="12.75" customHeight="1">
      <c r="A482" s="251"/>
      <c r="B482" s="980"/>
      <c r="C482" s="903"/>
      <c r="D482" s="903"/>
      <c r="E482" s="903"/>
      <c r="F482" s="903"/>
      <c r="G482" s="903"/>
      <c r="H482" s="903"/>
      <c r="I482" s="903"/>
      <c r="J482" s="903"/>
      <c r="K482" s="903"/>
      <c r="L482" s="903"/>
      <c r="M482" s="903"/>
      <c r="N482" s="906"/>
    </row>
    <row r="483" spans="1:14" s="228" customFormat="1" ht="12.75" customHeight="1">
      <c r="A483" s="251"/>
      <c r="B483" s="980"/>
      <c r="C483" s="903"/>
      <c r="D483" s="903"/>
      <c r="E483" s="903"/>
      <c r="F483" s="903"/>
      <c r="G483" s="903" t="s">
        <v>34</v>
      </c>
      <c r="H483" s="903" t="s">
        <v>34</v>
      </c>
      <c r="I483" s="903"/>
      <c r="J483" s="903"/>
      <c r="K483" s="903"/>
      <c r="L483" s="903"/>
      <c r="M483" s="903"/>
      <c r="N483" s="906"/>
    </row>
    <row r="484" spans="1:14" s="228" customFormat="1" ht="12.75" customHeight="1">
      <c r="A484" s="251"/>
      <c r="B484" s="980"/>
      <c r="C484" s="903"/>
      <c r="D484" s="903"/>
      <c r="E484" s="903"/>
      <c r="F484" s="903"/>
      <c r="G484" s="903" t="s">
        <v>34</v>
      </c>
      <c r="H484" s="903" t="s">
        <v>34</v>
      </c>
      <c r="I484" s="903" t="s">
        <v>34</v>
      </c>
      <c r="J484" s="903"/>
      <c r="K484" s="903"/>
      <c r="L484" s="903"/>
      <c r="M484" s="903"/>
      <c r="N484" s="906"/>
    </row>
    <row r="485" spans="1:14" s="228" customFormat="1" ht="12.75" customHeight="1" thickBot="1">
      <c r="A485" s="251"/>
      <c r="B485" s="981"/>
      <c r="C485" s="904"/>
      <c r="D485" s="904"/>
      <c r="E485" s="904"/>
      <c r="F485" s="904"/>
      <c r="G485" s="904" t="s">
        <v>34</v>
      </c>
      <c r="H485" s="904" t="s">
        <v>34</v>
      </c>
      <c r="I485" s="904" t="s">
        <v>34</v>
      </c>
      <c r="J485" s="904"/>
      <c r="K485" s="904"/>
      <c r="L485" s="904"/>
      <c r="M485" s="904"/>
      <c r="N485" s="907"/>
    </row>
    <row r="486" spans="1:14" s="228" customFormat="1" ht="12.75" customHeight="1" thickBot="1">
      <c r="A486" s="251"/>
      <c r="B486" s="912"/>
      <c r="C486" s="264"/>
      <c r="D486" s="264"/>
      <c r="E486" s="264"/>
      <c r="F486" s="264"/>
      <c r="G486" s="264"/>
      <c r="H486" s="264"/>
      <c r="I486" s="264"/>
      <c r="J486" s="264"/>
      <c r="K486" s="264"/>
      <c r="L486" s="264"/>
      <c r="M486" s="264"/>
      <c r="N486" s="264"/>
    </row>
    <row r="487" spans="1:14" s="228" customFormat="1" ht="75.75" customHeight="1" thickBot="1">
      <c r="A487" s="251"/>
      <c r="B487" s="1921" t="s">
        <v>15</v>
      </c>
      <c r="C487" s="1916" t="s">
        <v>27</v>
      </c>
      <c r="D487" s="1910" t="s">
        <v>25</v>
      </c>
      <c r="E487" s="1916" t="s">
        <v>1027</v>
      </c>
      <c r="F487" s="1916" t="s">
        <v>1028</v>
      </c>
      <c r="G487" s="1916" t="s">
        <v>1029</v>
      </c>
      <c r="H487" s="1916" t="s">
        <v>1030</v>
      </c>
      <c r="I487" s="1916" t="s">
        <v>1031</v>
      </c>
      <c r="J487" s="1912" t="s">
        <v>1066</v>
      </c>
      <c r="K487" s="1912" t="s">
        <v>1067</v>
      </c>
      <c r="L487" s="1912" t="s">
        <v>1068</v>
      </c>
      <c r="M487" s="1912" t="s">
        <v>616</v>
      </c>
      <c r="N487" s="1920" t="s">
        <v>617</v>
      </c>
    </row>
    <row r="488" spans="1:14" s="228" customFormat="1" ht="12.75" customHeight="1">
      <c r="A488" s="251"/>
      <c r="B488" s="979"/>
      <c r="C488" s="903"/>
      <c r="D488" s="903"/>
      <c r="E488" s="903"/>
      <c r="F488" s="903"/>
      <c r="G488" s="903" t="s">
        <v>34</v>
      </c>
      <c r="H488" s="903" t="s">
        <v>34</v>
      </c>
      <c r="I488" s="903"/>
      <c r="J488" s="903"/>
      <c r="K488" s="903"/>
      <c r="L488" s="903"/>
      <c r="M488" s="903"/>
      <c r="N488" s="905"/>
    </row>
    <row r="489" spans="1:14" s="228" customFormat="1" ht="12.75" customHeight="1">
      <c r="A489" s="251"/>
      <c r="B489" s="980"/>
      <c r="C489" s="903"/>
      <c r="D489" s="903"/>
      <c r="E489" s="903"/>
      <c r="F489" s="903"/>
      <c r="G489" s="903" t="s">
        <v>34</v>
      </c>
      <c r="H489" s="903" t="s">
        <v>34</v>
      </c>
      <c r="I489" s="903"/>
      <c r="J489" s="903"/>
      <c r="K489" s="903"/>
      <c r="L489" s="903"/>
      <c r="M489" s="903"/>
      <c r="N489" s="906"/>
    </row>
    <row r="490" spans="1:14" s="228" customFormat="1" ht="12.75" customHeight="1">
      <c r="A490" s="251"/>
      <c r="B490" s="980"/>
      <c r="C490" s="903"/>
      <c r="D490" s="903"/>
      <c r="E490" s="903"/>
      <c r="F490" s="903"/>
      <c r="G490" s="903"/>
      <c r="H490" s="903"/>
      <c r="I490" s="903"/>
      <c r="J490" s="903"/>
      <c r="K490" s="903"/>
      <c r="L490" s="903"/>
      <c r="M490" s="903"/>
      <c r="N490" s="906"/>
    </row>
    <row r="491" spans="1:14" s="228" customFormat="1" ht="12.75" customHeight="1">
      <c r="A491" s="251"/>
      <c r="B491" s="980"/>
      <c r="C491" s="903"/>
      <c r="D491" s="903"/>
      <c r="E491" s="903"/>
      <c r="F491" s="903"/>
      <c r="G491" s="903"/>
      <c r="H491" s="903"/>
      <c r="I491" s="903"/>
      <c r="J491" s="903"/>
      <c r="K491" s="903"/>
      <c r="L491" s="903"/>
      <c r="M491" s="903"/>
      <c r="N491" s="906"/>
    </row>
    <row r="492" spans="1:14" s="228" customFormat="1" ht="12.75" customHeight="1">
      <c r="A492" s="251"/>
      <c r="B492" s="980"/>
      <c r="C492" s="903"/>
      <c r="D492" s="903"/>
      <c r="E492" s="903"/>
      <c r="F492" s="903"/>
      <c r="G492" s="903"/>
      <c r="H492" s="903"/>
      <c r="I492" s="903"/>
      <c r="J492" s="903"/>
      <c r="K492" s="903"/>
      <c r="L492" s="903"/>
      <c r="M492" s="903"/>
      <c r="N492" s="906"/>
    </row>
    <row r="493" spans="1:14" s="228" customFormat="1" ht="12.75" customHeight="1">
      <c r="A493" s="251"/>
      <c r="B493" s="980"/>
      <c r="C493" s="903"/>
      <c r="D493" s="903"/>
      <c r="E493" s="903"/>
      <c r="F493" s="903"/>
      <c r="G493" s="903"/>
      <c r="H493" s="903"/>
      <c r="I493" s="903"/>
      <c r="J493" s="903"/>
      <c r="K493" s="903"/>
      <c r="L493" s="903"/>
      <c r="M493" s="903"/>
      <c r="N493" s="906"/>
    </row>
    <row r="494" spans="1:14" s="228" customFormat="1" ht="12.75" customHeight="1">
      <c r="A494" s="251"/>
      <c r="B494" s="980"/>
      <c r="C494" s="903"/>
      <c r="D494" s="903"/>
      <c r="E494" s="903"/>
      <c r="F494" s="903"/>
      <c r="G494" s="903"/>
      <c r="H494" s="903"/>
      <c r="I494" s="903"/>
      <c r="J494" s="903"/>
      <c r="K494" s="903"/>
      <c r="L494" s="903"/>
      <c r="M494" s="903"/>
      <c r="N494" s="906"/>
    </row>
    <row r="495" spans="1:14" s="228" customFormat="1" ht="12.75" customHeight="1">
      <c r="A495" s="251"/>
      <c r="B495" s="980"/>
      <c r="C495" s="903"/>
      <c r="D495" s="903"/>
      <c r="E495" s="903"/>
      <c r="F495" s="903"/>
      <c r="G495" s="903" t="s">
        <v>34</v>
      </c>
      <c r="H495" s="903" t="s">
        <v>34</v>
      </c>
      <c r="I495" s="903"/>
      <c r="J495" s="903"/>
      <c r="K495" s="903"/>
      <c r="L495" s="903"/>
      <c r="M495" s="903"/>
      <c r="N495" s="906"/>
    </row>
    <row r="496" spans="1:14" s="228" customFormat="1" ht="12.75" customHeight="1">
      <c r="A496" s="251"/>
      <c r="B496" s="980"/>
      <c r="C496" s="903"/>
      <c r="D496" s="903"/>
      <c r="E496" s="903"/>
      <c r="F496" s="903"/>
      <c r="G496" s="903" t="s">
        <v>34</v>
      </c>
      <c r="H496" s="903" t="s">
        <v>34</v>
      </c>
      <c r="I496" s="903"/>
      <c r="J496" s="903"/>
      <c r="K496" s="903"/>
      <c r="L496" s="903"/>
      <c r="M496" s="903"/>
      <c r="N496" s="906"/>
    </row>
    <row r="497" spans="1:14" s="228" customFormat="1" ht="12.75" customHeight="1">
      <c r="A497" s="251"/>
      <c r="B497" s="980"/>
      <c r="C497" s="903"/>
      <c r="D497" s="903"/>
      <c r="E497" s="903"/>
      <c r="F497" s="903"/>
      <c r="G497" s="903"/>
      <c r="H497" s="903"/>
      <c r="I497" s="903"/>
      <c r="J497" s="903"/>
      <c r="K497" s="903"/>
      <c r="L497" s="903"/>
      <c r="M497" s="903"/>
      <c r="N497" s="906"/>
    </row>
    <row r="498" spans="1:14" s="228" customFormat="1" ht="12.75" customHeight="1">
      <c r="A498" s="251"/>
      <c r="B498" s="980"/>
      <c r="C498" s="903"/>
      <c r="D498" s="903"/>
      <c r="E498" s="903"/>
      <c r="F498" s="903"/>
      <c r="G498" s="903"/>
      <c r="H498" s="903"/>
      <c r="I498" s="903"/>
      <c r="J498" s="903"/>
      <c r="K498" s="903"/>
      <c r="L498" s="903"/>
      <c r="M498" s="903"/>
      <c r="N498" s="906"/>
    </row>
    <row r="499" spans="1:14" s="228" customFormat="1" ht="12.75" customHeight="1">
      <c r="A499" s="251"/>
      <c r="B499" s="980"/>
      <c r="C499" s="903"/>
      <c r="D499" s="903"/>
      <c r="E499" s="903"/>
      <c r="F499" s="903"/>
      <c r="G499" s="903"/>
      <c r="H499" s="903"/>
      <c r="I499" s="903"/>
      <c r="J499" s="903"/>
      <c r="K499" s="903"/>
      <c r="L499" s="903"/>
      <c r="M499" s="903"/>
      <c r="N499" s="906"/>
    </row>
    <row r="500" spans="1:14" s="228" customFormat="1" ht="12.75" customHeight="1">
      <c r="A500" s="251"/>
      <c r="B500" s="980"/>
      <c r="C500" s="903"/>
      <c r="D500" s="903"/>
      <c r="E500" s="903"/>
      <c r="F500" s="903"/>
      <c r="G500" s="903"/>
      <c r="H500" s="903"/>
      <c r="I500" s="903"/>
      <c r="J500" s="903"/>
      <c r="K500" s="903"/>
      <c r="L500" s="903"/>
      <c r="M500" s="903"/>
      <c r="N500" s="906"/>
    </row>
    <row r="501" spans="1:14" s="228" customFormat="1" ht="12.75" customHeight="1">
      <c r="A501" s="251"/>
      <c r="B501" s="980"/>
      <c r="C501" s="903"/>
      <c r="D501" s="903"/>
      <c r="E501" s="903"/>
      <c r="F501" s="903"/>
      <c r="G501" s="903"/>
      <c r="H501" s="903"/>
      <c r="I501" s="903"/>
      <c r="J501" s="903"/>
      <c r="K501" s="903"/>
      <c r="L501" s="903"/>
      <c r="M501" s="903"/>
      <c r="N501" s="906"/>
    </row>
    <row r="502" spans="1:14" s="228" customFormat="1" ht="12.75" customHeight="1">
      <c r="A502" s="251"/>
      <c r="B502" s="980"/>
      <c r="C502" s="903"/>
      <c r="D502" s="903"/>
      <c r="E502" s="903"/>
      <c r="F502" s="903"/>
      <c r="G502" s="903" t="s">
        <v>34</v>
      </c>
      <c r="H502" s="903" t="s">
        <v>34</v>
      </c>
      <c r="I502" s="903"/>
      <c r="J502" s="903"/>
      <c r="K502" s="903"/>
      <c r="L502" s="903"/>
      <c r="M502" s="903"/>
      <c r="N502" s="906"/>
    </row>
    <row r="503" spans="1:14" s="228" customFormat="1" ht="12.75" customHeight="1">
      <c r="A503" s="251"/>
      <c r="B503" s="980"/>
      <c r="C503" s="903"/>
      <c r="D503" s="903"/>
      <c r="E503" s="903"/>
      <c r="F503" s="903"/>
      <c r="G503" s="903" t="s">
        <v>34</v>
      </c>
      <c r="H503" s="903" t="s">
        <v>34</v>
      </c>
      <c r="I503" s="903"/>
      <c r="J503" s="903"/>
      <c r="K503" s="903"/>
      <c r="L503" s="903"/>
      <c r="M503" s="903"/>
      <c r="N503" s="906"/>
    </row>
    <row r="504" spans="1:14" s="228" customFormat="1" ht="12.75" customHeight="1">
      <c r="A504" s="251"/>
      <c r="B504" s="980"/>
      <c r="C504" s="903"/>
      <c r="D504" s="903"/>
      <c r="E504" s="903"/>
      <c r="F504" s="903"/>
      <c r="G504" s="903"/>
      <c r="H504" s="903"/>
      <c r="I504" s="903"/>
      <c r="J504" s="903"/>
      <c r="K504" s="903"/>
      <c r="L504" s="903"/>
      <c r="M504" s="903"/>
      <c r="N504" s="906"/>
    </row>
    <row r="505" spans="1:14" s="228" customFormat="1" ht="12.75" customHeight="1">
      <c r="A505" s="251"/>
      <c r="B505" s="980"/>
      <c r="C505" s="903"/>
      <c r="D505" s="903"/>
      <c r="E505" s="903"/>
      <c r="F505" s="903"/>
      <c r="G505" s="903" t="s">
        <v>34</v>
      </c>
      <c r="H505" s="903" t="s">
        <v>34</v>
      </c>
      <c r="I505" s="903"/>
      <c r="J505" s="903"/>
      <c r="K505" s="903"/>
      <c r="L505" s="903"/>
      <c r="M505" s="903"/>
      <c r="N505" s="906"/>
    </row>
    <row r="506" spans="1:14" s="228" customFormat="1" ht="12.75" customHeight="1">
      <c r="A506" s="251"/>
      <c r="B506" s="980"/>
      <c r="C506" s="903"/>
      <c r="D506" s="903"/>
      <c r="E506" s="903"/>
      <c r="F506" s="903"/>
      <c r="G506" s="903" t="s">
        <v>34</v>
      </c>
      <c r="H506" s="903" t="s">
        <v>34</v>
      </c>
      <c r="I506" s="903" t="s">
        <v>34</v>
      </c>
      <c r="J506" s="903"/>
      <c r="K506" s="903"/>
      <c r="L506" s="903"/>
      <c r="M506" s="903"/>
      <c r="N506" s="906"/>
    </row>
    <row r="507" spans="1:14" s="228" customFormat="1" ht="12.75" customHeight="1" thickBot="1">
      <c r="A507" s="251"/>
      <c r="B507" s="981"/>
      <c r="C507" s="904"/>
      <c r="D507" s="904"/>
      <c r="E507" s="904"/>
      <c r="F507" s="904"/>
      <c r="G507" s="904" t="s">
        <v>34</v>
      </c>
      <c r="H507" s="904" t="s">
        <v>34</v>
      </c>
      <c r="I507" s="904" t="s">
        <v>34</v>
      </c>
      <c r="J507" s="904"/>
      <c r="K507" s="904"/>
      <c r="L507" s="904"/>
      <c r="M507" s="904"/>
      <c r="N507" s="907"/>
    </row>
    <row r="508" spans="1:14" s="228" customFormat="1" ht="12.75" customHeight="1" thickBot="1">
      <c r="A508" s="251"/>
      <c r="B508" s="912"/>
      <c r="C508" s="264"/>
      <c r="D508" s="264"/>
      <c r="E508" s="264"/>
      <c r="F508" s="264"/>
      <c r="G508" s="264"/>
      <c r="H508" s="264"/>
      <c r="I508" s="264"/>
      <c r="J508" s="264"/>
      <c r="K508" s="264"/>
      <c r="L508" s="264"/>
      <c r="M508" s="264"/>
      <c r="N508" s="264"/>
    </row>
    <row r="509" spans="1:14" s="228" customFormat="1" ht="75.75" customHeight="1" thickBot="1">
      <c r="A509" s="251"/>
      <c r="B509" s="1921" t="s">
        <v>15</v>
      </c>
      <c r="C509" s="1916" t="s">
        <v>27</v>
      </c>
      <c r="D509" s="1910" t="s">
        <v>25</v>
      </c>
      <c r="E509" s="1916" t="s">
        <v>1027</v>
      </c>
      <c r="F509" s="1916" t="s">
        <v>1028</v>
      </c>
      <c r="G509" s="1916" t="s">
        <v>1029</v>
      </c>
      <c r="H509" s="1916" t="s">
        <v>1030</v>
      </c>
      <c r="I509" s="1916" t="s">
        <v>1031</v>
      </c>
      <c r="J509" s="1912" t="s">
        <v>1066</v>
      </c>
      <c r="K509" s="1912" t="s">
        <v>1067</v>
      </c>
      <c r="L509" s="1912" t="s">
        <v>1068</v>
      </c>
      <c r="M509" s="1912" t="s">
        <v>616</v>
      </c>
      <c r="N509" s="1920" t="s">
        <v>617</v>
      </c>
    </row>
    <row r="510" spans="1:14" s="228" customFormat="1" ht="12.75" customHeight="1">
      <c r="A510" s="251"/>
      <c r="B510" s="979"/>
      <c r="C510" s="903"/>
      <c r="D510" s="903"/>
      <c r="E510" s="903"/>
      <c r="F510" s="903"/>
      <c r="G510" s="903" t="s">
        <v>34</v>
      </c>
      <c r="H510" s="903" t="s">
        <v>34</v>
      </c>
      <c r="I510" s="903"/>
      <c r="J510" s="903"/>
      <c r="K510" s="903"/>
      <c r="L510" s="903"/>
      <c r="M510" s="903"/>
      <c r="N510" s="905"/>
    </row>
    <row r="511" spans="1:14" s="228" customFormat="1" ht="12.75" customHeight="1">
      <c r="A511" s="251"/>
      <c r="B511" s="980"/>
      <c r="C511" s="903"/>
      <c r="D511" s="903"/>
      <c r="E511" s="903"/>
      <c r="F511" s="903"/>
      <c r="G511" s="903" t="s">
        <v>34</v>
      </c>
      <c r="H511" s="903" t="s">
        <v>34</v>
      </c>
      <c r="I511" s="903"/>
      <c r="J511" s="903"/>
      <c r="K511" s="903"/>
      <c r="L511" s="903"/>
      <c r="M511" s="903"/>
      <c r="N511" s="906"/>
    </row>
    <row r="512" spans="1:14" s="228" customFormat="1" ht="12.75" customHeight="1">
      <c r="A512" s="251"/>
      <c r="B512" s="980"/>
      <c r="C512" s="903"/>
      <c r="D512" s="903"/>
      <c r="E512" s="903"/>
      <c r="F512" s="903"/>
      <c r="G512" s="903"/>
      <c r="H512" s="903"/>
      <c r="I512" s="903"/>
      <c r="J512" s="903"/>
      <c r="K512" s="903"/>
      <c r="L512" s="903"/>
      <c r="M512" s="903"/>
      <c r="N512" s="906"/>
    </row>
    <row r="513" spans="1:14" s="228" customFormat="1" ht="12.75" customHeight="1">
      <c r="A513" s="251"/>
      <c r="B513" s="980"/>
      <c r="C513" s="903"/>
      <c r="D513" s="903"/>
      <c r="E513" s="903"/>
      <c r="F513" s="903"/>
      <c r="G513" s="903"/>
      <c r="H513" s="903"/>
      <c r="I513" s="903"/>
      <c r="J513" s="903"/>
      <c r="K513" s="903"/>
      <c r="L513" s="903"/>
      <c r="M513" s="903"/>
      <c r="N513" s="906"/>
    </row>
    <row r="514" spans="1:14" s="228" customFormat="1" ht="12.75" customHeight="1">
      <c r="A514" s="251"/>
      <c r="B514" s="980"/>
      <c r="C514" s="903"/>
      <c r="D514" s="903"/>
      <c r="E514" s="903"/>
      <c r="F514" s="903"/>
      <c r="G514" s="903"/>
      <c r="H514" s="903"/>
      <c r="I514" s="903"/>
      <c r="J514" s="903"/>
      <c r="K514" s="903"/>
      <c r="L514" s="903"/>
      <c r="M514" s="903"/>
      <c r="N514" s="906"/>
    </row>
    <row r="515" spans="1:14" s="228" customFormat="1" ht="12.75" customHeight="1">
      <c r="A515" s="251"/>
      <c r="B515" s="980"/>
      <c r="C515" s="903"/>
      <c r="D515" s="903"/>
      <c r="E515" s="903"/>
      <c r="F515" s="903"/>
      <c r="G515" s="903"/>
      <c r="H515" s="903"/>
      <c r="I515" s="903"/>
      <c r="J515" s="903"/>
      <c r="K515" s="903"/>
      <c r="L515" s="903"/>
      <c r="M515" s="903"/>
      <c r="N515" s="906"/>
    </row>
    <row r="516" spans="1:14" s="228" customFormat="1" ht="12.75" customHeight="1">
      <c r="A516" s="251"/>
      <c r="B516" s="980"/>
      <c r="C516" s="903"/>
      <c r="D516" s="903"/>
      <c r="E516" s="903"/>
      <c r="F516" s="903"/>
      <c r="G516" s="903"/>
      <c r="H516" s="903"/>
      <c r="I516" s="903"/>
      <c r="J516" s="903"/>
      <c r="K516" s="903"/>
      <c r="L516" s="903"/>
      <c r="M516" s="903"/>
      <c r="N516" s="906"/>
    </row>
    <row r="517" spans="1:14" s="228" customFormat="1" ht="12.75" customHeight="1">
      <c r="A517" s="251"/>
      <c r="B517" s="980"/>
      <c r="C517" s="903"/>
      <c r="D517" s="903"/>
      <c r="E517" s="903"/>
      <c r="F517" s="903"/>
      <c r="G517" s="903" t="s">
        <v>34</v>
      </c>
      <c r="H517" s="903" t="s">
        <v>34</v>
      </c>
      <c r="I517" s="903"/>
      <c r="J517" s="903"/>
      <c r="K517" s="903"/>
      <c r="L517" s="903"/>
      <c r="M517" s="903"/>
      <c r="N517" s="906"/>
    </row>
    <row r="518" spans="1:14" s="228" customFormat="1" ht="12.75" customHeight="1">
      <c r="A518" s="251"/>
      <c r="B518" s="980"/>
      <c r="C518" s="903"/>
      <c r="D518" s="903"/>
      <c r="E518" s="903"/>
      <c r="F518" s="903"/>
      <c r="G518" s="903" t="s">
        <v>34</v>
      </c>
      <c r="H518" s="903" t="s">
        <v>34</v>
      </c>
      <c r="I518" s="903"/>
      <c r="J518" s="903"/>
      <c r="K518" s="903"/>
      <c r="L518" s="903"/>
      <c r="M518" s="903"/>
      <c r="N518" s="906"/>
    </row>
    <row r="519" spans="1:14" s="228" customFormat="1" ht="12.75" customHeight="1">
      <c r="A519" s="251"/>
      <c r="B519" s="980"/>
      <c r="C519" s="903"/>
      <c r="D519" s="903"/>
      <c r="E519" s="903"/>
      <c r="F519" s="903"/>
      <c r="G519" s="903"/>
      <c r="H519" s="903"/>
      <c r="I519" s="903"/>
      <c r="J519" s="903"/>
      <c r="K519" s="903"/>
      <c r="L519" s="903"/>
      <c r="M519" s="903"/>
      <c r="N519" s="906"/>
    </row>
    <row r="520" spans="1:14" s="228" customFormat="1" ht="12.75" customHeight="1">
      <c r="A520" s="251"/>
      <c r="B520" s="980"/>
      <c r="C520" s="903"/>
      <c r="D520" s="903"/>
      <c r="E520" s="903"/>
      <c r="F520" s="903"/>
      <c r="G520" s="903"/>
      <c r="H520" s="903"/>
      <c r="I520" s="903"/>
      <c r="J520" s="903"/>
      <c r="K520" s="903"/>
      <c r="L520" s="903"/>
      <c r="M520" s="903"/>
      <c r="N520" s="906"/>
    </row>
    <row r="521" spans="1:14" s="228" customFormat="1" ht="12.75" customHeight="1">
      <c r="A521" s="251"/>
      <c r="B521" s="980"/>
      <c r="C521" s="903"/>
      <c r="D521" s="903"/>
      <c r="E521" s="903"/>
      <c r="F521" s="903"/>
      <c r="G521" s="903"/>
      <c r="H521" s="903"/>
      <c r="I521" s="903"/>
      <c r="J521" s="903"/>
      <c r="K521" s="903"/>
      <c r="L521" s="903"/>
      <c r="M521" s="903"/>
      <c r="N521" s="906"/>
    </row>
    <row r="522" spans="1:14" s="228" customFormat="1" ht="12.75" customHeight="1">
      <c r="A522" s="251"/>
      <c r="B522" s="980"/>
      <c r="C522" s="903"/>
      <c r="D522" s="903"/>
      <c r="E522" s="903"/>
      <c r="F522" s="903"/>
      <c r="G522" s="903"/>
      <c r="H522" s="903"/>
      <c r="I522" s="903"/>
      <c r="J522" s="903"/>
      <c r="K522" s="903"/>
      <c r="L522" s="903"/>
      <c r="M522" s="903"/>
      <c r="N522" s="906"/>
    </row>
    <row r="523" spans="1:14" s="228" customFormat="1" ht="12.75" customHeight="1">
      <c r="A523" s="251"/>
      <c r="B523" s="980"/>
      <c r="C523" s="903"/>
      <c r="D523" s="903"/>
      <c r="E523" s="903"/>
      <c r="F523" s="903"/>
      <c r="G523" s="903"/>
      <c r="H523" s="903"/>
      <c r="I523" s="903"/>
      <c r="J523" s="903"/>
      <c r="K523" s="903"/>
      <c r="L523" s="903"/>
      <c r="M523" s="903"/>
      <c r="N523" s="906"/>
    </row>
    <row r="524" spans="1:14" s="228" customFormat="1" ht="12.75" customHeight="1">
      <c r="A524" s="251"/>
      <c r="B524" s="980"/>
      <c r="C524" s="903"/>
      <c r="D524" s="903"/>
      <c r="E524" s="903"/>
      <c r="F524" s="903"/>
      <c r="G524" s="903" t="s">
        <v>34</v>
      </c>
      <c r="H524" s="903" t="s">
        <v>34</v>
      </c>
      <c r="I524" s="903"/>
      <c r="J524" s="903"/>
      <c r="K524" s="903"/>
      <c r="L524" s="903"/>
      <c r="M524" s="903"/>
      <c r="N524" s="906"/>
    </row>
    <row r="525" spans="1:14" s="228" customFormat="1" ht="12.75" customHeight="1">
      <c r="A525" s="251"/>
      <c r="B525" s="980"/>
      <c r="C525" s="903"/>
      <c r="D525" s="903"/>
      <c r="E525" s="903"/>
      <c r="F525" s="903"/>
      <c r="G525" s="903" t="s">
        <v>34</v>
      </c>
      <c r="H525" s="903" t="s">
        <v>34</v>
      </c>
      <c r="I525" s="903"/>
      <c r="J525" s="903"/>
      <c r="K525" s="903"/>
      <c r="L525" s="903"/>
      <c r="M525" s="903"/>
      <c r="N525" s="906"/>
    </row>
    <row r="526" spans="1:14" s="228" customFormat="1" ht="12.75" customHeight="1">
      <c r="A526" s="251"/>
      <c r="B526" s="980"/>
      <c r="C526" s="903"/>
      <c r="D526" s="903"/>
      <c r="E526" s="903"/>
      <c r="F526" s="903"/>
      <c r="G526" s="903"/>
      <c r="H526" s="903"/>
      <c r="I526" s="903"/>
      <c r="J526" s="903"/>
      <c r="K526" s="903"/>
      <c r="L526" s="903"/>
      <c r="M526" s="903"/>
      <c r="N526" s="906"/>
    </row>
    <row r="527" spans="1:14" s="228" customFormat="1" ht="12.75" customHeight="1">
      <c r="A527" s="251"/>
      <c r="B527" s="980"/>
      <c r="C527" s="903"/>
      <c r="D527" s="903"/>
      <c r="E527" s="903"/>
      <c r="F527" s="903"/>
      <c r="G527" s="903" t="s">
        <v>34</v>
      </c>
      <c r="H527" s="903" t="s">
        <v>34</v>
      </c>
      <c r="I527" s="903"/>
      <c r="J527" s="903"/>
      <c r="K527" s="903"/>
      <c r="L527" s="903"/>
      <c r="M527" s="903"/>
      <c r="N527" s="906"/>
    </row>
    <row r="528" spans="1:14" s="228" customFormat="1" ht="12.75" customHeight="1">
      <c r="A528" s="251"/>
      <c r="B528" s="980"/>
      <c r="C528" s="903"/>
      <c r="D528" s="903"/>
      <c r="E528" s="903"/>
      <c r="F528" s="903"/>
      <c r="G528" s="903" t="s">
        <v>34</v>
      </c>
      <c r="H528" s="903" t="s">
        <v>34</v>
      </c>
      <c r="I528" s="903" t="s">
        <v>34</v>
      </c>
      <c r="J528" s="903"/>
      <c r="K528" s="903"/>
      <c r="L528" s="903"/>
      <c r="M528" s="903"/>
      <c r="N528" s="906"/>
    </row>
    <row r="529" spans="1:14" s="228" customFormat="1" ht="12.75" customHeight="1" thickBot="1">
      <c r="A529" s="251"/>
      <c r="B529" s="981"/>
      <c r="C529" s="904"/>
      <c r="D529" s="904"/>
      <c r="E529" s="904"/>
      <c r="F529" s="904"/>
      <c r="G529" s="904" t="s">
        <v>34</v>
      </c>
      <c r="H529" s="904" t="s">
        <v>34</v>
      </c>
      <c r="I529" s="904" t="s">
        <v>34</v>
      </c>
      <c r="J529" s="904"/>
      <c r="K529" s="904"/>
      <c r="L529" s="904"/>
      <c r="M529" s="904"/>
      <c r="N529" s="907"/>
    </row>
    <row r="530" spans="1:14" s="228" customFormat="1" ht="12.75" customHeight="1" thickBot="1">
      <c r="A530" s="251"/>
      <c r="B530" s="912"/>
      <c r="C530" s="264"/>
      <c r="D530" s="264"/>
      <c r="E530" s="264"/>
      <c r="F530" s="264"/>
      <c r="G530" s="264"/>
      <c r="H530" s="264"/>
      <c r="I530" s="264"/>
      <c r="J530" s="264"/>
      <c r="K530" s="264"/>
      <c r="L530" s="264"/>
      <c r="M530" s="264"/>
      <c r="N530" s="264"/>
    </row>
    <row r="531" spans="1:14" s="228" customFormat="1" ht="75" customHeight="1" thickBot="1">
      <c r="A531" s="251"/>
      <c r="B531" s="1921" t="s">
        <v>15</v>
      </c>
      <c r="C531" s="1916" t="s">
        <v>27</v>
      </c>
      <c r="D531" s="1910" t="s">
        <v>25</v>
      </c>
      <c r="E531" s="1916" t="s">
        <v>1027</v>
      </c>
      <c r="F531" s="1916" t="s">
        <v>1028</v>
      </c>
      <c r="G531" s="1916" t="s">
        <v>1029</v>
      </c>
      <c r="H531" s="1916" t="s">
        <v>1030</v>
      </c>
      <c r="I531" s="1916" t="s">
        <v>1031</v>
      </c>
      <c r="J531" s="1912" t="s">
        <v>1066</v>
      </c>
      <c r="K531" s="1912" t="s">
        <v>1067</v>
      </c>
      <c r="L531" s="1912" t="s">
        <v>1068</v>
      </c>
      <c r="M531" s="1912" t="s">
        <v>616</v>
      </c>
      <c r="N531" s="1920" t="s">
        <v>617</v>
      </c>
    </row>
    <row r="532" spans="1:14" s="228" customFormat="1" ht="12.75" customHeight="1">
      <c r="A532" s="251"/>
      <c r="B532" s="979"/>
      <c r="C532" s="903"/>
      <c r="D532" s="903"/>
      <c r="E532" s="903"/>
      <c r="F532" s="903"/>
      <c r="G532" s="903" t="s">
        <v>34</v>
      </c>
      <c r="H532" s="903" t="s">
        <v>34</v>
      </c>
      <c r="I532" s="903"/>
      <c r="J532" s="903"/>
      <c r="K532" s="903"/>
      <c r="L532" s="903"/>
      <c r="M532" s="903"/>
      <c r="N532" s="905"/>
    </row>
    <row r="533" spans="1:14" s="228" customFormat="1" ht="12.75" customHeight="1">
      <c r="A533" s="251"/>
      <c r="B533" s="980"/>
      <c r="C533" s="903"/>
      <c r="D533" s="903"/>
      <c r="E533" s="903"/>
      <c r="F533" s="903"/>
      <c r="G533" s="903" t="s">
        <v>34</v>
      </c>
      <c r="H533" s="903" t="s">
        <v>34</v>
      </c>
      <c r="I533" s="903"/>
      <c r="J533" s="903"/>
      <c r="K533" s="903"/>
      <c r="L533" s="903"/>
      <c r="M533" s="903"/>
      <c r="N533" s="906"/>
    </row>
    <row r="534" spans="1:14" s="228" customFormat="1" ht="12.75" customHeight="1">
      <c r="A534" s="251"/>
      <c r="B534" s="980"/>
      <c r="C534" s="903"/>
      <c r="D534" s="903"/>
      <c r="E534" s="903"/>
      <c r="F534" s="903"/>
      <c r="G534" s="903"/>
      <c r="H534" s="903"/>
      <c r="I534" s="903"/>
      <c r="J534" s="903"/>
      <c r="K534" s="903"/>
      <c r="L534" s="903"/>
      <c r="M534" s="903"/>
      <c r="N534" s="906"/>
    </row>
    <row r="535" spans="1:14" s="228" customFormat="1" ht="12.75" customHeight="1">
      <c r="A535" s="251"/>
      <c r="B535" s="980"/>
      <c r="C535" s="903"/>
      <c r="D535" s="903"/>
      <c r="E535" s="903"/>
      <c r="F535" s="903"/>
      <c r="G535" s="903"/>
      <c r="H535" s="903"/>
      <c r="I535" s="903"/>
      <c r="J535" s="903"/>
      <c r="K535" s="903"/>
      <c r="L535" s="903"/>
      <c r="M535" s="903"/>
      <c r="N535" s="906"/>
    </row>
    <row r="536" spans="1:14" s="228" customFormat="1" ht="12.75" customHeight="1">
      <c r="A536" s="251"/>
      <c r="B536" s="980"/>
      <c r="C536" s="903"/>
      <c r="D536" s="903"/>
      <c r="E536" s="903"/>
      <c r="F536" s="903"/>
      <c r="G536" s="903"/>
      <c r="H536" s="903"/>
      <c r="I536" s="903"/>
      <c r="J536" s="903"/>
      <c r="K536" s="903"/>
      <c r="L536" s="903"/>
      <c r="M536" s="903"/>
      <c r="N536" s="906"/>
    </row>
    <row r="537" spans="1:14" s="228" customFormat="1" ht="12.75" customHeight="1">
      <c r="A537" s="251"/>
      <c r="B537" s="980"/>
      <c r="C537" s="903"/>
      <c r="D537" s="903"/>
      <c r="E537" s="903"/>
      <c r="F537" s="903"/>
      <c r="G537" s="903"/>
      <c r="H537" s="903"/>
      <c r="I537" s="903"/>
      <c r="J537" s="903"/>
      <c r="K537" s="903"/>
      <c r="L537" s="903"/>
      <c r="M537" s="903"/>
      <c r="N537" s="906"/>
    </row>
    <row r="538" spans="1:14" s="228" customFormat="1" ht="12.75" customHeight="1">
      <c r="A538" s="251"/>
      <c r="B538" s="980"/>
      <c r="C538" s="903"/>
      <c r="D538" s="903"/>
      <c r="E538" s="903"/>
      <c r="F538" s="903"/>
      <c r="G538" s="903"/>
      <c r="H538" s="903"/>
      <c r="I538" s="903"/>
      <c r="J538" s="903"/>
      <c r="K538" s="903"/>
      <c r="L538" s="903"/>
      <c r="M538" s="903"/>
      <c r="N538" s="906"/>
    </row>
    <row r="539" spans="1:14" s="228" customFormat="1" ht="12.75" customHeight="1">
      <c r="A539" s="251"/>
      <c r="B539" s="980"/>
      <c r="C539" s="903"/>
      <c r="D539" s="903"/>
      <c r="E539" s="903"/>
      <c r="F539" s="903"/>
      <c r="G539" s="903" t="s">
        <v>34</v>
      </c>
      <c r="H539" s="903" t="s">
        <v>34</v>
      </c>
      <c r="I539" s="903"/>
      <c r="J539" s="903"/>
      <c r="K539" s="903"/>
      <c r="L539" s="903"/>
      <c r="M539" s="903"/>
      <c r="N539" s="906"/>
    </row>
    <row r="540" spans="1:14" s="228" customFormat="1" ht="12.75" customHeight="1">
      <c r="A540" s="251"/>
      <c r="B540" s="980"/>
      <c r="C540" s="903"/>
      <c r="D540" s="903"/>
      <c r="E540" s="903"/>
      <c r="F540" s="903"/>
      <c r="G540" s="903" t="s">
        <v>34</v>
      </c>
      <c r="H540" s="903" t="s">
        <v>34</v>
      </c>
      <c r="I540" s="903"/>
      <c r="J540" s="903"/>
      <c r="K540" s="903"/>
      <c r="L540" s="903"/>
      <c r="M540" s="903"/>
      <c r="N540" s="906"/>
    </row>
    <row r="541" spans="1:14" s="228" customFormat="1" ht="12.75" customHeight="1">
      <c r="A541" s="251"/>
      <c r="B541" s="980"/>
      <c r="C541" s="903"/>
      <c r="D541" s="903"/>
      <c r="E541" s="903"/>
      <c r="F541" s="903"/>
      <c r="G541" s="903"/>
      <c r="H541" s="903"/>
      <c r="I541" s="903"/>
      <c r="J541" s="903"/>
      <c r="K541" s="903"/>
      <c r="L541" s="903"/>
      <c r="M541" s="903"/>
      <c r="N541" s="906"/>
    </row>
    <row r="542" spans="1:14" s="228" customFormat="1" ht="12.75" customHeight="1">
      <c r="A542" s="251"/>
      <c r="B542" s="980"/>
      <c r="C542" s="903"/>
      <c r="D542" s="903"/>
      <c r="E542" s="903"/>
      <c r="F542" s="903"/>
      <c r="G542" s="903"/>
      <c r="H542" s="903"/>
      <c r="I542" s="903"/>
      <c r="J542" s="903"/>
      <c r="K542" s="903"/>
      <c r="L542" s="903"/>
      <c r="M542" s="903"/>
      <c r="N542" s="906"/>
    </row>
    <row r="543" spans="1:14" s="228" customFormat="1" ht="13.5" customHeight="1">
      <c r="A543" s="251"/>
      <c r="B543" s="980"/>
      <c r="C543" s="903"/>
      <c r="D543" s="903"/>
      <c r="E543" s="903"/>
      <c r="F543" s="903"/>
      <c r="G543" s="903"/>
      <c r="H543" s="903"/>
      <c r="I543" s="903"/>
      <c r="J543" s="903"/>
      <c r="K543" s="903"/>
      <c r="L543" s="903"/>
      <c r="M543" s="903"/>
      <c r="N543" s="906"/>
    </row>
    <row r="544" spans="1:14" s="228" customFormat="1">
      <c r="A544" s="251"/>
      <c r="B544" s="980"/>
      <c r="C544" s="903"/>
      <c r="D544" s="903"/>
      <c r="E544" s="903"/>
      <c r="F544" s="903"/>
      <c r="G544" s="903"/>
      <c r="H544" s="903"/>
      <c r="I544" s="903"/>
      <c r="J544" s="903"/>
      <c r="K544" s="903"/>
      <c r="L544" s="903"/>
      <c r="M544" s="903"/>
      <c r="N544" s="906"/>
    </row>
    <row r="545" spans="1:14" s="228" customFormat="1">
      <c r="A545" s="251"/>
      <c r="B545" s="980"/>
      <c r="C545" s="903"/>
      <c r="D545" s="903"/>
      <c r="E545" s="903"/>
      <c r="F545" s="903"/>
      <c r="G545" s="903"/>
      <c r="H545" s="903"/>
      <c r="I545" s="903"/>
      <c r="J545" s="903"/>
      <c r="K545" s="903"/>
      <c r="L545" s="903"/>
      <c r="M545" s="903"/>
      <c r="N545" s="906"/>
    </row>
    <row r="546" spans="1:14" s="228" customFormat="1">
      <c r="A546" s="251"/>
      <c r="B546" s="980"/>
      <c r="C546" s="903"/>
      <c r="D546" s="903"/>
      <c r="E546" s="903"/>
      <c r="F546" s="903"/>
      <c r="G546" s="903" t="s">
        <v>34</v>
      </c>
      <c r="H546" s="903" t="s">
        <v>34</v>
      </c>
      <c r="I546" s="903"/>
      <c r="J546" s="903"/>
      <c r="K546" s="903"/>
      <c r="L546" s="903"/>
      <c r="M546" s="903"/>
      <c r="N546" s="906"/>
    </row>
    <row r="547" spans="1:14" s="228" customFormat="1">
      <c r="A547" s="251"/>
      <c r="B547" s="980"/>
      <c r="C547" s="903"/>
      <c r="D547" s="903"/>
      <c r="E547" s="903"/>
      <c r="F547" s="903"/>
      <c r="G547" s="903" t="s">
        <v>34</v>
      </c>
      <c r="H547" s="903" t="s">
        <v>34</v>
      </c>
      <c r="I547" s="903"/>
      <c r="J547" s="903"/>
      <c r="K547" s="903"/>
      <c r="L547" s="903"/>
      <c r="M547" s="903"/>
      <c r="N547" s="906"/>
    </row>
    <row r="548" spans="1:14" s="228" customFormat="1">
      <c r="A548" s="251"/>
      <c r="B548" s="980"/>
      <c r="C548" s="903"/>
      <c r="D548" s="903"/>
      <c r="E548" s="903"/>
      <c r="F548" s="903"/>
      <c r="G548" s="903"/>
      <c r="H548" s="903"/>
      <c r="I548" s="903"/>
      <c r="J548" s="903"/>
      <c r="K548" s="903"/>
      <c r="L548" s="903"/>
      <c r="M548" s="903"/>
      <c r="N548" s="906"/>
    </row>
    <row r="549" spans="1:14" s="228" customFormat="1">
      <c r="A549" s="251"/>
      <c r="B549" s="980"/>
      <c r="C549" s="903"/>
      <c r="D549" s="903"/>
      <c r="E549" s="903"/>
      <c r="F549" s="903"/>
      <c r="G549" s="903" t="s">
        <v>34</v>
      </c>
      <c r="H549" s="903" t="s">
        <v>34</v>
      </c>
      <c r="I549" s="903"/>
      <c r="J549" s="903"/>
      <c r="K549" s="903"/>
      <c r="L549" s="903"/>
      <c r="M549" s="903"/>
      <c r="N549" s="906"/>
    </row>
    <row r="550" spans="1:14" s="228" customFormat="1">
      <c r="A550" s="251"/>
      <c r="B550" s="980"/>
      <c r="C550" s="903"/>
      <c r="D550" s="903"/>
      <c r="E550" s="903"/>
      <c r="F550" s="903"/>
      <c r="G550" s="903" t="s">
        <v>34</v>
      </c>
      <c r="H550" s="903" t="s">
        <v>34</v>
      </c>
      <c r="I550" s="903" t="s">
        <v>34</v>
      </c>
      <c r="J550" s="903"/>
      <c r="K550" s="903"/>
      <c r="L550" s="903"/>
      <c r="M550" s="903"/>
      <c r="N550" s="906"/>
    </row>
    <row r="551" spans="1:14" s="228" customFormat="1" ht="13.5" thickBot="1">
      <c r="A551" s="251"/>
      <c r="B551" s="981"/>
      <c r="C551" s="904"/>
      <c r="D551" s="904"/>
      <c r="E551" s="904"/>
      <c r="F551" s="904"/>
      <c r="G551" s="904" t="s">
        <v>34</v>
      </c>
      <c r="H551" s="904" t="s">
        <v>34</v>
      </c>
      <c r="I551" s="904" t="s">
        <v>34</v>
      </c>
      <c r="J551" s="904"/>
      <c r="K551" s="904"/>
      <c r="L551" s="904"/>
      <c r="M551" s="904"/>
      <c r="N551" s="907"/>
    </row>
    <row r="552" spans="1:14" s="228" customFormat="1" ht="15.75" thickBot="1">
      <c r="A552" s="251"/>
      <c r="B552" s="912"/>
      <c r="C552" s="264"/>
      <c r="D552" s="264"/>
      <c r="E552" s="264"/>
      <c r="F552" s="264"/>
      <c r="G552" s="264"/>
      <c r="H552" s="264"/>
      <c r="I552" s="264"/>
      <c r="J552" s="264"/>
      <c r="K552" s="264"/>
      <c r="L552" s="264"/>
      <c r="M552" s="264"/>
      <c r="N552" s="264"/>
    </row>
    <row r="553" spans="1:14" s="228" customFormat="1" ht="75" customHeight="1" thickBot="1">
      <c r="A553" s="251"/>
      <c r="B553" s="1921" t="s">
        <v>15</v>
      </c>
      <c r="C553" s="1916" t="s">
        <v>27</v>
      </c>
      <c r="D553" s="1910" t="s">
        <v>25</v>
      </c>
      <c r="E553" s="1916" t="s">
        <v>1027</v>
      </c>
      <c r="F553" s="1916" t="s">
        <v>1028</v>
      </c>
      <c r="G553" s="1916" t="s">
        <v>1029</v>
      </c>
      <c r="H553" s="1916" t="s">
        <v>1030</v>
      </c>
      <c r="I553" s="1916" t="s">
        <v>1031</v>
      </c>
      <c r="J553" s="1912" t="s">
        <v>1066</v>
      </c>
      <c r="K553" s="1912" t="s">
        <v>1067</v>
      </c>
      <c r="L553" s="1912" t="s">
        <v>1068</v>
      </c>
      <c r="M553" s="1912" t="s">
        <v>616</v>
      </c>
      <c r="N553" s="1920" t="s">
        <v>617</v>
      </c>
    </row>
    <row r="554" spans="1:14" s="228" customFormat="1">
      <c r="A554" s="251"/>
      <c r="B554" s="979"/>
      <c r="C554" s="903"/>
      <c r="D554" s="903"/>
      <c r="E554" s="903"/>
      <c r="F554" s="903"/>
      <c r="G554" s="903" t="s">
        <v>34</v>
      </c>
      <c r="H554" s="903" t="s">
        <v>34</v>
      </c>
      <c r="I554" s="903"/>
      <c r="J554" s="903"/>
      <c r="K554" s="903"/>
      <c r="L554" s="903"/>
      <c r="M554" s="903"/>
      <c r="N554" s="905"/>
    </row>
    <row r="555" spans="1:14" s="228" customFormat="1">
      <c r="A555" s="251"/>
      <c r="B555" s="980"/>
      <c r="C555" s="903"/>
      <c r="D555" s="903"/>
      <c r="E555" s="903"/>
      <c r="F555" s="903"/>
      <c r="G555" s="903" t="s">
        <v>34</v>
      </c>
      <c r="H555" s="903" t="s">
        <v>34</v>
      </c>
      <c r="I555" s="903"/>
      <c r="J555" s="903"/>
      <c r="K555" s="903"/>
      <c r="L555" s="903"/>
      <c r="M555" s="903"/>
      <c r="N555" s="906"/>
    </row>
    <row r="556" spans="1:14" s="228" customFormat="1">
      <c r="A556" s="251"/>
      <c r="B556" s="980"/>
      <c r="C556" s="903"/>
      <c r="D556" s="903"/>
      <c r="E556" s="903"/>
      <c r="F556" s="903"/>
      <c r="G556" s="903"/>
      <c r="H556" s="903"/>
      <c r="I556" s="903"/>
      <c r="J556" s="903"/>
      <c r="K556" s="903"/>
      <c r="L556" s="903"/>
      <c r="M556" s="903"/>
      <c r="N556" s="906"/>
    </row>
    <row r="557" spans="1:14" s="228" customFormat="1">
      <c r="A557" s="251"/>
      <c r="B557" s="980"/>
      <c r="C557" s="903"/>
      <c r="D557" s="903"/>
      <c r="E557" s="903"/>
      <c r="F557" s="903"/>
      <c r="G557" s="903"/>
      <c r="H557" s="903"/>
      <c r="I557" s="903"/>
      <c r="J557" s="903"/>
      <c r="K557" s="903"/>
      <c r="L557" s="903"/>
      <c r="M557" s="903"/>
      <c r="N557" s="906"/>
    </row>
    <row r="558" spans="1:14" s="228" customFormat="1">
      <c r="A558" s="251"/>
      <c r="B558" s="980"/>
      <c r="C558" s="903"/>
      <c r="D558" s="903"/>
      <c r="E558" s="903"/>
      <c r="F558" s="903"/>
      <c r="G558" s="903"/>
      <c r="H558" s="903"/>
      <c r="I558" s="903"/>
      <c r="J558" s="903"/>
      <c r="K558" s="903"/>
      <c r="L558" s="903"/>
      <c r="M558" s="903"/>
      <c r="N558" s="906"/>
    </row>
    <row r="559" spans="1:14" s="228" customFormat="1">
      <c r="A559" s="251"/>
      <c r="B559" s="980"/>
      <c r="C559" s="903"/>
      <c r="D559" s="903"/>
      <c r="E559" s="903"/>
      <c r="F559" s="903"/>
      <c r="G559" s="903"/>
      <c r="H559" s="903"/>
      <c r="I559" s="903"/>
      <c r="J559" s="903"/>
      <c r="K559" s="903"/>
      <c r="L559" s="903"/>
      <c r="M559" s="903"/>
      <c r="N559" s="906"/>
    </row>
    <row r="560" spans="1:14" s="228" customFormat="1">
      <c r="A560" s="251"/>
      <c r="B560" s="980"/>
      <c r="C560" s="903"/>
      <c r="D560" s="903"/>
      <c r="E560" s="903"/>
      <c r="F560" s="903"/>
      <c r="G560" s="903"/>
      <c r="H560" s="903"/>
      <c r="I560" s="903"/>
      <c r="J560" s="903"/>
      <c r="K560" s="903"/>
      <c r="L560" s="903"/>
      <c r="M560" s="903"/>
      <c r="N560" s="906"/>
    </row>
    <row r="561" spans="1:14" s="228" customFormat="1">
      <c r="A561" s="251"/>
      <c r="B561" s="980"/>
      <c r="C561" s="903"/>
      <c r="D561" s="903"/>
      <c r="E561" s="903"/>
      <c r="F561" s="903"/>
      <c r="G561" s="903" t="s">
        <v>34</v>
      </c>
      <c r="H561" s="903" t="s">
        <v>34</v>
      </c>
      <c r="I561" s="903"/>
      <c r="J561" s="903"/>
      <c r="K561" s="903"/>
      <c r="L561" s="903"/>
      <c r="M561" s="903"/>
      <c r="N561" s="906"/>
    </row>
    <row r="562" spans="1:14" s="228" customFormat="1" ht="16.5" customHeight="1">
      <c r="A562" s="251"/>
      <c r="B562" s="980"/>
      <c r="C562" s="903"/>
      <c r="D562" s="903"/>
      <c r="E562" s="903"/>
      <c r="F562" s="903"/>
      <c r="G562" s="903" t="s">
        <v>34</v>
      </c>
      <c r="H562" s="903" t="s">
        <v>34</v>
      </c>
      <c r="I562" s="903"/>
      <c r="J562" s="903"/>
      <c r="K562" s="903"/>
      <c r="L562" s="903"/>
      <c r="M562" s="903"/>
      <c r="N562" s="906"/>
    </row>
    <row r="563" spans="1:14" s="228" customFormat="1">
      <c r="A563" s="251"/>
      <c r="B563" s="980"/>
      <c r="C563" s="903"/>
      <c r="D563" s="903"/>
      <c r="E563" s="903"/>
      <c r="F563" s="903"/>
      <c r="G563" s="903"/>
      <c r="H563" s="903"/>
      <c r="I563" s="903"/>
      <c r="J563" s="903"/>
      <c r="K563" s="903"/>
      <c r="L563" s="903"/>
      <c r="M563" s="903"/>
      <c r="N563" s="906"/>
    </row>
    <row r="564" spans="1:14" s="228" customFormat="1">
      <c r="A564" s="251"/>
      <c r="B564" s="980"/>
      <c r="C564" s="903"/>
      <c r="D564" s="903"/>
      <c r="E564" s="903"/>
      <c r="F564" s="903"/>
      <c r="G564" s="903"/>
      <c r="H564" s="903"/>
      <c r="I564" s="903"/>
      <c r="J564" s="903"/>
      <c r="K564" s="903"/>
      <c r="L564" s="903"/>
      <c r="M564" s="903"/>
      <c r="N564" s="906"/>
    </row>
    <row r="565" spans="1:14" s="228" customFormat="1">
      <c r="A565" s="251"/>
      <c r="B565" s="980"/>
      <c r="C565" s="903"/>
      <c r="D565" s="903"/>
      <c r="E565" s="903"/>
      <c r="F565" s="903"/>
      <c r="G565" s="903"/>
      <c r="H565" s="903"/>
      <c r="I565" s="903"/>
      <c r="J565" s="903"/>
      <c r="K565" s="903"/>
      <c r="L565" s="903"/>
      <c r="M565" s="903"/>
      <c r="N565" s="906"/>
    </row>
    <row r="566" spans="1:14" s="228" customFormat="1">
      <c r="A566" s="251"/>
      <c r="B566" s="980"/>
      <c r="C566" s="903"/>
      <c r="D566" s="903"/>
      <c r="E566" s="903"/>
      <c r="F566" s="903"/>
      <c r="G566" s="903"/>
      <c r="H566" s="903"/>
      <c r="I566" s="903"/>
      <c r="J566" s="903"/>
      <c r="K566" s="903"/>
      <c r="L566" s="903"/>
      <c r="M566" s="903"/>
      <c r="N566" s="906"/>
    </row>
    <row r="567" spans="1:14" s="228" customFormat="1">
      <c r="A567" s="251"/>
      <c r="B567" s="980"/>
      <c r="C567" s="903"/>
      <c r="D567" s="903"/>
      <c r="E567" s="903"/>
      <c r="F567" s="903"/>
      <c r="G567" s="903"/>
      <c r="H567" s="903"/>
      <c r="I567" s="903"/>
      <c r="J567" s="903"/>
      <c r="K567" s="903"/>
      <c r="L567" s="903"/>
      <c r="M567" s="903"/>
      <c r="N567" s="906"/>
    </row>
    <row r="568" spans="1:14" s="228" customFormat="1">
      <c r="A568" s="251"/>
      <c r="B568" s="980"/>
      <c r="C568" s="903"/>
      <c r="D568" s="903"/>
      <c r="E568" s="903"/>
      <c r="F568" s="903"/>
      <c r="G568" s="903" t="s">
        <v>34</v>
      </c>
      <c r="H568" s="903" t="s">
        <v>34</v>
      </c>
      <c r="I568" s="903"/>
      <c r="J568" s="903"/>
      <c r="K568" s="903"/>
      <c r="L568" s="903"/>
      <c r="M568" s="903"/>
      <c r="N568" s="906"/>
    </row>
    <row r="569" spans="1:14" s="228" customFormat="1">
      <c r="A569" s="251"/>
      <c r="B569" s="980"/>
      <c r="C569" s="903"/>
      <c r="D569" s="903"/>
      <c r="E569" s="903"/>
      <c r="F569" s="903"/>
      <c r="G569" s="903" t="s">
        <v>34</v>
      </c>
      <c r="H569" s="903" t="s">
        <v>34</v>
      </c>
      <c r="I569" s="903"/>
      <c r="J569" s="903"/>
      <c r="K569" s="903"/>
      <c r="L569" s="903"/>
      <c r="M569" s="903"/>
      <c r="N569" s="906"/>
    </row>
    <row r="570" spans="1:14" s="228" customFormat="1">
      <c r="A570" s="251"/>
      <c r="B570" s="980"/>
      <c r="C570" s="903"/>
      <c r="D570" s="903"/>
      <c r="E570" s="903"/>
      <c r="F570" s="903"/>
      <c r="G570" s="903"/>
      <c r="H570" s="903"/>
      <c r="I570" s="903"/>
      <c r="J570" s="903"/>
      <c r="K570" s="903"/>
      <c r="L570" s="903"/>
      <c r="M570" s="903"/>
      <c r="N570" s="906"/>
    </row>
    <row r="571" spans="1:14" s="228" customFormat="1">
      <c r="A571" s="251"/>
      <c r="B571" s="980"/>
      <c r="C571" s="903"/>
      <c r="D571" s="903"/>
      <c r="E571" s="903"/>
      <c r="F571" s="903"/>
      <c r="G571" s="903" t="s">
        <v>34</v>
      </c>
      <c r="H571" s="903" t="s">
        <v>34</v>
      </c>
      <c r="I571" s="903"/>
      <c r="J571" s="903"/>
      <c r="K571" s="903"/>
      <c r="L571" s="903"/>
      <c r="M571" s="903"/>
      <c r="N571" s="906"/>
    </row>
    <row r="572" spans="1:14" s="228" customFormat="1">
      <c r="A572" s="251"/>
      <c r="B572" s="980"/>
      <c r="C572" s="903"/>
      <c r="D572" s="903"/>
      <c r="E572" s="903"/>
      <c r="F572" s="903"/>
      <c r="G572" s="903" t="s">
        <v>34</v>
      </c>
      <c r="H572" s="903" t="s">
        <v>34</v>
      </c>
      <c r="I572" s="903" t="s">
        <v>34</v>
      </c>
      <c r="J572" s="903"/>
      <c r="K572" s="903"/>
      <c r="L572" s="903"/>
      <c r="M572" s="903"/>
      <c r="N572" s="906"/>
    </row>
    <row r="573" spans="1:14" s="228" customFormat="1" ht="13.5" thickBot="1">
      <c r="A573" s="251"/>
      <c r="B573" s="981"/>
      <c r="C573" s="904"/>
      <c r="D573" s="904"/>
      <c r="E573" s="904"/>
      <c r="F573" s="904"/>
      <c r="G573" s="904" t="s">
        <v>34</v>
      </c>
      <c r="H573" s="904" t="s">
        <v>34</v>
      </c>
      <c r="I573" s="904" t="s">
        <v>34</v>
      </c>
      <c r="J573" s="904"/>
      <c r="K573" s="904"/>
      <c r="L573" s="904"/>
      <c r="M573" s="904"/>
      <c r="N573" s="907"/>
    </row>
    <row r="574" spans="1:14" s="228" customFormat="1" ht="15.75" thickBot="1">
      <c r="A574" s="251"/>
      <c r="B574" s="912"/>
      <c r="C574" s="264"/>
      <c r="D574" s="264"/>
      <c r="E574" s="264"/>
      <c r="F574" s="264"/>
      <c r="G574" s="264"/>
      <c r="H574" s="264"/>
      <c r="I574" s="264"/>
      <c r="J574" s="264"/>
      <c r="K574" s="264"/>
      <c r="L574" s="264"/>
      <c r="M574" s="264"/>
      <c r="N574" s="264"/>
    </row>
    <row r="575" spans="1:14" s="228" customFormat="1" ht="75" customHeight="1" thickBot="1">
      <c r="A575" s="251"/>
      <c r="B575" s="1921" t="s">
        <v>15</v>
      </c>
      <c r="C575" s="1916" t="s">
        <v>27</v>
      </c>
      <c r="D575" s="1910" t="s">
        <v>25</v>
      </c>
      <c r="E575" s="1916" t="s">
        <v>1027</v>
      </c>
      <c r="F575" s="1916" t="s">
        <v>1028</v>
      </c>
      <c r="G575" s="1916" t="s">
        <v>1029</v>
      </c>
      <c r="H575" s="1916" t="s">
        <v>1030</v>
      </c>
      <c r="I575" s="1916" t="s">
        <v>1031</v>
      </c>
      <c r="J575" s="1912" t="s">
        <v>1066</v>
      </c>
      <c r="K575" s="1912" t="s">
        <v>1067</v>
      </c>
      <c r="L575" s="1912" t="s">
        <v>1068</v>
      </c>
      <c r="M575" s="1912" t="s">
        <v>616</v>
      </c>
      <c r="N575" s="1920" t="s">
        <v>617</v>
      </c>
    </row>
    <row r="576" spans="1:14" s="228" customFormat="1">
      <c r="A576" s="251"/>
      <c r="B576" s="979"/>
      <c r="C576" s="903"/>
      <c r="D576" s="903"/>
      <c r="E576" s="903"/>
      <c r="F576" s="903"/>
      <c r="G576" s="903" t="s">
        <v>34</v>
      </c>
      <c r="H576" s="903" t="s">
        <v>34</v>
      </c>
      <c r="I576" s="903"/>
      <c r="J576" s="903"/>
      <c r="K576" s="903"/>
      <c r="L576" s="903"/>
      <c r="M576" s="903"/>
      <c r="N576" s="905"/>
    </row>
    <row r="577" spans="1:14" s="228" customFormat="1" ht="12.75" customHeight="1">
      <c r="A577" s="251"/>
      <c r="B577" s="980"/>
      <c r="C577" s="903"/>
      <c r="D577" s="903"/>
      <c r="E577" s="903"/>
      <c r="F577" s="903"/>
      <c r="G577" s="903" t="s">
        <v>34</v>
      </c>
      <c r="H577" s="903" t="s">
        <v>34</v>
      </c>
      <c r="I577" s="903"/>
      <c r="J577" s="903"/>
      <c r="K577" s="903"/>
      <c r="L577" s="903"/>
      <c r="M577" s="903"/>
      <c r="N577" s="906"/>
    </row>
    <row r="578" spans="1:14" s="228" customFormat="1" ht="12.75" customHeight="1">
      <c r="A578" s="251"/>
      <c r="B578" s="980"/>
      <c r="C578" s="903"/>
      <c r="D578" s="903"/>
      <c r="E578" s="903"/>
      <c r="F578" s="903"/>
      <c r="G578" s="903"/>
      <c r="H578" s="903"/>
      <c r="I578" s="903"/>
      <c r="J578" s="903"/>
      <c r="K578" s="903"/>
      <c r="L578" s="903"/>
      <c r="M578" s="903"/>
      <c r="N578" s="906"/>
    </row>
    <row r="579" spans="1:14" s="228" customFormat="1" ht="17.25" customHeight="1">
      <c r="A579" s="251"/>
      <c r="B579" s="980"/>
      <c r="C579" s="903"/>
      <c r="D579" s="903"/>
      <c r="E579" s="903"/>
      <c r="F579" s="903"/>
      <c r="G579" s="903"/>
      <c r="H579" s="903"/>
      <c r="I579" s="903"/>
      <c r="J579" s="903"/>
      <c r="K579" s="903"/>
      <c r="L579" s="903"/>
      <c r="M579" s="903"/>
      <c r="N579" s="906"/>
    </row>
    <row r="580" spans="1:14" s="228" customFormat="1" ht="12.75" customHeight="1">
      <c r="A580" s="251"/>
      <c r="B580" s="980"/>
      <c r="C580" s="903"/>
      <c r="D580" s="903"/>
      <c r="E580" s="903"/>
      <c r="F580" s="903"/>
      <c r="G580" s="903"/>
      <c r="H580" s="903"/>
      <c r="I580" s="903"/>
      <c r="J580" s="903"/>
      <c r="K580" s="903"/>
      <c r="L580" s="903"/>
      <c r="M580" s="903"/>
      <c r="N580" s="906"/>
    </row>
    <row r="581" spans="1:14" s="228" customFormat="1" ht="12.75" customHeight="1">
      <c r="A581" s="251"/>
      <c r="B581" s="980"/>
      <c r="C581" s="903"/>
      <c r="D581" s="903"/>
      <c r="E581" s="903"/>
      <c r="F581" s="903"/>
      <c r="G581" s="903"/>
      <c r="H581" s="903"/>
      <c r="I581" s="903"/>
      <c r="J581" s="903"/>
      <c r="K581" s="903"/>
      <c r="L581" s="903"/>
      <c r="M581" s="903"/>
      <c r="N581" s="906"/>
    </row>
    <row r="582" spans="1:14" s="228" customFormat="1" ht="12.75" customHeight="1">
      <c r="A582" s="251"/>
      <c r="B582" s="980"/>
      <c r="C582" s="903"/>
      <c r="D582" s="903"/>
      <c r="E582" s="903"/>
      <c r="F582" s="903"/>
      <c r="G582" s="903"/>
      <c r="H582" s="903"/>
      <c r="I582" s="903"/>
      <c r="J582" s="903"/>
      <c r="K582" s="903"/>
      <c r="L582" s="903"/>
      <c r="M582" s="903"/>
      <c r="N582" s="906"/>
    </row>
    <row r="583" spans="1:14" s="228" customFormat="1" ht="12.75" customHeight="1">
      <c r="A583" s="251"/>
      <c r="B583" s="980"/>
      <c r="C583" s="903"/>
      <c r="D583" s="903"/>
      <c r="E583" s="903"/>
      <c r="F583" s="903"/>
      <c r="G583" s="903" t="s">
        <v>34</v>
      </c>
      <c r="H583" s="903" t="s">
        <v>34</v>
      </c>
      <c r="I583" s="903"/>
      <c r="J583" s="903"/>
      <c r="K583" s="903"/>
      <c r="L583" s="903"/>
      <c r="M583" s="903"/>
      <c r="N583" s="906"/>
    </row>
    <row r="584" spans="1:14" s="228" customFormat="1" ht="12.75" customHeight="1">
      <c r="A584" s="251"/>
      <c r="B584" s="980"/>
      <c r="C584" s="903"/>
      <c r="D584" s="903"/>
      <c r="E584" s="903"/>
      <c r="F584" s="903"/>
      <c r="G584" s="903" t="s">
        <v>34</v>
      </c>
      <c r="H584" s="903" t="s">
        <v>34</v>
      </c>
      <c r="I584" s="903"/>
      <c r="J584" s="903"/>
      <c r="K584" s="903"/>
      <c r="L584" s="903"/>
      <c r="M584" s="903"/>
      <c r="N584" s="906"/>
    </row>
    <row r="585" spans="1:14" s="228" customFormat="1" ht="12.75" customHeight="1">
      <c r="A585" s="251"/>
      <c r="B585" s="980"/>
      <c r="C585" s="903"/>
      <c r="D585" s="903"/>
      <c r="E585" s="903"/>
      <c r="F585" s="903"/>
      <c r="G585" s="903"/>
      <c r="H585" s="903"/>
      <c r="I585" s="903"/>
      <c r="J585" s="903"/>
      <c r="K585" s="903"/>
      <c r="L585" s="903"/>
      <c r="M585" s="903"/>
      <c r="N585" s="906"/>
    </row>
    <row r="586" spans="1:14" s="228" customFormat="1" ht="12.75" customHeight="1">
      <c r="A586" s="251"/>
      <c r="B586" s="980"/>
      <c r="C586" s="903"/>
      <c r="D586" s="903"/>
      <c r="E586" s="903"/>
      <c r="F586" s="903"/>
      <c r="G586" s="903"/>
      <c r="H586" s="903"/>
      <c r="I586" s="903"/>
      <c r="J586" s="903"/>
      <c r="K586" s="903"/>
      <c r="L586" s="903"/>
      <c r="M586" s="903"/>
      <c r="N586" s="906"/>
    </row>
    <row r="587" spans="1:14" s="228" customFormat="1" ht="12.75" customHeight="1">
      <c r="A587" s="251"/>
      <c r="B587" s="980"/>
      <c r="C587" s="903"/>
      <c r="D587" s="903"/>
      <c r="E587" s="903"/>
      <c r="F587" s="903"/>
      <c r="G587" s="903"/>
      <c r="H587" s="903"/>
      <c r="I587" s="903"/>
      <c r="J587" s="903"/>
      <c r="K587" s="903"/>
      <c r="L587" s="903"/>
      <c r="M587" s="903"/>
      <c r="N587" s="906"/>
    </row>
    <row r="588" spans="1:14" s="228" customFormat="1" ht="12.75" customHeight="1">
      <c r="A588" s="251"/>
      <c r="B588" s="980"/>
      <c r="C588" s="903"/>
      <c r="D588" s="903"/>
      <c r="E588" s="903"/>
      <c r="F588" s="903"/>
      <c r="G588" s="903"/>
      <c r="H588" s="903"/>
      <c r="I588" s="903"/>
      <c r="J588" s="903"/>
      <c r="K588" s="903"/>
      <c r="L588" s="903"/>
      <c r="M588" s="903"/>
      <c r="N588" s="906"/>
    </row>
    <row r="589" spans="1:14" s="228" customFormat="1" ht="12.75" customHeight="1">
      <c r="A589" s="251"/>
      <c r="B589" s="980"/>
      <c r="C589" s="903"/>
      <c r="D589" s="903"/>
      <c r="E589" s="903"/>
      <c r="F589" s="903"/>
      <c r="G589" s="903"/>
      <c r="H589" s="903"/>
      <c r="I589" s="903"/>
      <c r="J589" s="903"/>
      <c r="K589" s="903"/>
      <c r="L589" s="903"/>
      <c r="M589" s="903"/>
      <c r="N589" s="906"/>
    </row>
    <row r="590" spans="1:14" s="228" customFormat="1" ht="13.5" customHeight="1">
      <c r="A590" s="251"/>
      <c r="B590" s="980"/>
      <c r="C590" s="903"/>
      <c r="D590" s="903"/>
      <c r="E590" s="903"/>
      <c r="F590" s="903"/>
      <c r="G590" s="903" t="s">
        <v>34</v>
      </c>
      <c r="H590" s="903" t="s">
        <v>34</v>
      </c>
      <c r="I590" s="903"/>
      <c r="J590" s="903"/>
      <c r="K590" s="903"/>
      <c r="L590" s="903"/>
      <c r="M590" s="903"/>
      <c r="N590" s="906"/>
    </row>
    <row r="591" spans="1:14" s="228" customFormat="1">
      <c r="A591" s="251"/>
      <c r="B591" s="980"/>
      <c r="C591" s="903"/>
      <c r="D591" s="903"/>
      <c r="E591" s="903"/>
      <c r="F591" s="903"/>
      <c r="G591" s="903" t="s">
        <v>34</v>
      </c>
      <c r="H591" s="903" t="s">
        <v>34</v>
      </c>
      <c r="I591" s="903"/>
      <c r="J591" s="903"/>
      <c r="K591" s="903"/>
      <c r="L591" s="903"/>
      <c r="M591" s="903"/>
      <c r="N591" s="906"/>
    </row>
    <row r="592" spans="1:14" s="228" customFormat="1">
      <c r="A592" s="251"/>
      <c r="B592" s="980"/>
      <c r="C592" s="903"/>
      <c r="D592" s="903"/>
      <c r="E592" s="903"/>
      <c r="F592" s="903"/>
      <c r="G592" s="903"/>
      <c r="H592" s="903"/>
      <c r="I592" s="903"/>
      <c r="J592" s="903"/>
      <c r="K592" s="903"/>
      <c r="L592" s="903"/>
      <c r="M592" s="903"/>
      <c r="N592" s="906"/>
    </row>
    <row r="593" spans="1:14" s="228" customFormat="1" ht="12.75" customHeight="1">
      <c r="A593" s="251"/>
      <c r="B593" s="980"/>
      <c r="C593" s="903"/>
      <c r="D593" s="903"/>
      <c r="E593" s="903"/>
      <c r="F593" s="903"/>
      <c r="G593" s="903" t="s">
        <v>34</v>
      </c>
      <c r="H593" s="903" t="s">
        <v>34</v>
      </c>
      <c r="I593" s="903"/>
      <c r="J593" s="903"/>
      <c r="K593" s="903"/>
      <c r="L593" s="903"/>
      <c r="M593" s="903"/>
      <c r="N593" s="906"/>
    </row>
    <row r="594" spans="1:14" s="228" customFormat="1" ht="12.75" customHeight="1">
      <c r="A594" s="251"/>
      <c r="B594" s="980"/>
      <c r="C594" s="903"/>
      <c r="D594" s="903"/>
      <c r="E594" s="903"/>
      <c r="F594" s="903"/>
      <c r="G594" s="903" t="s">
        <v>34</v>
      </c>
      <c r="H594" s="903" t="s">
        <v>34</v>
      </c>
      <c r="I594" s="903" t="s">
        <v>34</v>
      </c>
      <c r="J594" s="903"/>
      <c r="K594" s="903"/>
      <c r="L594" s="903"/>
      <c r="M594" s="903"/>
      <c r="N594" s="906"/>
    </row>
    <row r="595" spans="1:14" s="228" customFormat="1" ht="12.75" customHeight="1" thickBot="1">
      <c r="A595" s="251"/>
      <c r="B595" s="981"/>
      <c r="C595" s="904"/>
      <c r="D595" s="904"/>
      <c r="E595" s="904"/>
      <c r="F595" s="904"/>
      <c r="G595" s="904" t="s">
        <v>34</v>
      </c>
      <c r="H595" s="904" t="s">
        <v>34</v>
      </c>
      <c r="I595" s="904" t="s">
        <v>34</v>
      </c>
      <c r="J595" s="904"/>
      <c r="K595" s="904"/>
      <c r="L595" s="904"/>
      <c r="M595" s="904"/>
      <c r="N595" s="907"/>
    </row>
    <row r="596" spans="1:14" s="228" customFormat="1" ht="16.5" customHeight="1" thickBot="1">
      <c r="A596" s="251"/>
      <c r="B596" s="351"/>
      <c r="C596" s="351"/>
      <c r="D596" s="351"/>
      <c r="E596" s="351"/>
      <c r="F596" s="351"/>
      <c r="G596" s="351"/>
      <c r="H596" s="351"/>
      <c r="I596" s="351"/>
      <c r="J596" s="351"/>
      <c r="K596" s="351"/>
      <c r="L596" s="351"/>
      <c r="M596" s="351"/>
      <c r="N596" s="351"/>
    </row>
    <row r="597" spans="1:14" s="228" customFormat="1" ht="75.75" customHeight="1" thickBot="1">
      <c r="A597" s="251"/>
      <c r="B597" s="1921" t="s">
        <v>15</v>
      </c>
      <c r="C597" s="1916" t="s">
        <v>27</v>
      </c>
      <c r="D597" s="1910" t="s">
        <v>25</v>
      </c>
      <c r="E597" s="1916" t="s">
        <v>1027</v>
      </c>
      <c r="F597" s="1916" t="s">
        <v>1028</v>
      </c>
      <c r="G597" s="1916" t="s">
        <v>1029</v>
      </c>
      <c r="H597" s="1916" t="s">
        <v>1030</v>
      </c>
      <c r="I597" s="1916" t="s">
        <v>1031</v>
      </c>
      <c r="J597" s="1912" t="s">
        <v>1066</v>
      </c>
      <c r="K597" s="1912" t="s">
        <v>1067</v>
      </c>
      <c r="L597" s="1912" t="s">
        <v>1068</v>
      </c>
      <c r="M597" s="1912" t="s">
        <v>616</v>
      </c>
      <c r="N597" s="1920" t="s">
        <v>617</v>
      </c>
    </row>
    <row r="598" spans="1:14" s="228" customFormat="1" ht="12.75" customHeight="1">
      <c r="A598" s="251"/>
      <c r="B598" s="979"/>
      <c r="C598" s="903"/>
      <c r="D598" s="903"/>
      <c r="E598" s="903"/>
      <c r="F598" s="903"/>
      <c r="G598" s="903" t="s">
        <v>34</v>
      </c>
      <c r="H598" s="903" t="s">
        <v>34</v>
      </c>
      <c r="I598" s="903"/>
      <c r="J598" s="903"/>
      <c r="K598" s="903"/>
      <c r="L598" s="903"/>
      <c r="M598" s="903"/>
      <c r="N598" s="905"/>
    </row>
    <row r="599" spans="1:14" s="228" customFormat="1" ht="12.75" customHeight="1">
      <c r="A599" s="251"/>
      <c r="B599" s="980"/>
      <c r="C599" s="903"/>
      <c r="D599" s="903"/>
      <c r="E599" s="903"/>
      <c r="F599" s="903"/>
      <c r="G599" s="903" t="s">
        <v>34</v>
      </c>
      <c r="H599" s="903" t="s">
        <v>34</v>
      </c>
      <c r="I599" s="903"/>
      <c r="J599" s="903"/>
      <c r="K599" s="903"/>
      <c r="L599" s="903"/>
      <c r="M599" s="903"/>
      <c r="N599" s="906"/>
    </row>
    <row r="600" spans="1:14" s="228" customFormat="1" ht="12.75" customHeight="1">
      <c r="A600" s="251"/>
      <c r="B600" s="980"/>
      <c r="C600" s="903"/>
      <c r="D600" s="903"/>
      <c r="E600" s="903"/>
      <c r="F600" s="903"/>
      <c r="G600" s="903"/>
      <c r="H600" s="903"/>
      <c r="I600" s="903"/>
      <c r="J600" s="903"/>
      <c r="K600" s="903"/>
      <c r="L600" s="903"/>
      <c r="M600" s="903"/>
      <c r="N600" s="906"/>
    </row>
    <row r="601" spans="1:14" s="228" customFormat="1" ht="12.75" customHeight="1">
      <c r="A601" s="251"/>
      <c r="B601" s="980"/>
      <c r="C601" s="903"/>
      <c r="D601" s="903"/>
      <c r="E601" s="903"/>
      <c r="F601" s="903"/>
      <c r="G601" s="903"/>
      <c r="H601" s="903"/>
      <c r="I601" s="903"/>
      <c r="J601" s="903"/>
      <c r="K601" s="903"/>
      <c r="L601" s="903"/>
      <c r="M601" s="903"/>
      <c r="N601" s="906"/>
    </row>
    <row r="602" spans="1:14" s="228" customFormat="1" ht="12.75" customHeight="1">
      <c r="A602" s="251"/>
      <c r="B602" s="980"/>
      <c r="C602" s="903"/>
      <c r="D602" s="903"/>
      <c r="E602" s="903"/>
      <c r="F602" s="903"/>
      <c r="G602" s="903"/>
      <c r="H602" s="903"/>
      <c r="I602" s="903"/>
      <c r="J602" s="903"/>
      <c r="K602" s="903"/>
      <c r="L602" s="903"/>
      <c r="M602" s="903"/>
      <c r="N602" s="906"/>
    </row>
    <row r="603" spans="1:14" s="228" customFormat="1" ht="12.75" customHeight="1">
      <c r="A603" s="251"/>
      <c r="B603" s="980"/>
      <c r="C603" s="903"/>
      <c r="D603" s="903"/>
      <c r="E603" s="903"/>
      <c r="F603" s="903"/>
      <c r="G603" s="903"/>
      <c r="H603" s="903"/>
      <c r="I603" s="903"/>
      <c r="J603" s="903"/>
      <c r="K603" s="903"/>
      <c r="L603" s="903"/>
      <c r="M603" s="903"/>
      <c r="N603" s="906"/>
    </row>
    <row r="604" spans="1:14" s="228" customFormat="1" ht="12.75" customHeight="1">
      <c r="A604" s="251"/>
      <c r="B604" s="980"/>
      <c r="C604" s="903"/>
      <c r="D604" s="903"/>
      <c r="E604" s="903"/>
      <c r="F604" s="903"/>
      <c r="G604" s="903"/>
      <c r="H604" s="903"/>
      <c r="I604" s="903"/>
      <c r="J604" s="903"/>
      <c r="K604" s="903"/>
      <c r="L604" s="903"/>
      <c r="M604" s="903"/>
      <c r="N604" s="906"/>
    </row>
    <row r="605" spans="1:14" s="228" customFormat="1" ht="12.75" customHeight="1">
      <c r="A605" s="251"/>
      <c r="B605" s="980"/>
      <c r="C605" s="903"/>
      <c r="D605" s="903"/>
      <c r="E605" s="903"/>
      <c r="F605" s="903"/>
      <c r="G605" s="903" t="s">
        <v>34</v>
      </c>
      <c r="H605" s="903" t="s">
        <v>34</v>
      </c>
      <c r="I605" s="903"/>
      <c r="J605" s="903"/>
      <c r="K605" s="903"/>
      <c r="L605" s="903"/>
      <c r="M605" s="903"/>
      <c r="N605" s="906"/>
    </row>
    <row r="606" spans="1:14" s="228" customFormat="1" ht="12.75" customHeight="1">
      <c r="A606" s="251"/>
      <c r="B606" s="980"/>
      <c r="C606" s="903"/>
      <c r="D606" s="903"/>
      <c r="E606" s="903"/>
      <c r="F606" s="903"/>
      <c r="G606" s="903" t="s">
        <v>34</v>
      </c>
      <c r="H606" s="903" t="s">
        <v>34</v>
      </c>
      <c r="I606" s="903"/>
      <c r="J606" s="903"/>
      <c r="K606" s="903"/>
      <c r="L606" s="903"/>
      <c r="M606" s="903"/>
      <c r="N606" s="906"/>
    </row>
    <row r="607" spans="1:14" s="228" customFormat="1" ht="13.5" customHeight="1">
      <c r="A607" s="251"/>
      <c r="B607" s="980"/>
      <c r="C607" s="903"/>
      <c r="D607" s="903"/>
      <c r="E607" s="903"/>
      <c r="F607" s="903"/>
      <c r="G607" s="903"/>
      <c r="H607" s="903"/>
      <c r="I607" s="903"/>
      <c r="J607" s="903"/>
      <c r="K607" s="903"/>
      <c r="L607" s="903"/>
      <c r="M607" s="903"/>
      <c r="N607" s="906"/>
    </row>
    <row r="608" spans="1:14" s="228" customFormat="1">
      <c r="A608" s="251"/>
      <c r="B608" s="980"/>
      <c r="C608" s="903"/>
      <c r="D608" s="903"/>
      <c r="E608" s="903"/>
      <c r="F608" s="903"/>
      <c r="G608" s="903"/>
      <c r="H608" s="903"/>
      <c r="I608" s="903"/>
      <c r="J608" s="903"/>
      <c r="K608" s="903"/>
      <c r="L608" s="903"/>
      <c r="M608" s="903"/>
      <c r="N608" s="906"/>
    </row>
    <row r="609" spans="1:14" s="228" customFormat="1">
      <c r="A609" s="251"/>
      <c r="B609" s="980"/>
      <c r="C609" s="903"/>
      <c r="D609" s="903"/>
      <c r="E609" s="903"/>
      <c r="F609" s="903"/>
      <c r="G609" s="903"/>
      <c r="H609" s="903"/>
      <c r="I609" s="903"/>
      <c r="J609" s="903"/>
      <c r="K609" s="903"/>
      <c r="L609" s="903"/>
      <c r="M609" s="903"/>
      <c r="N609" s="906"/>
    </row>
    <row r="610" spans="1:14" s="228" customFormat="1">
      <c r="A610" s="251"/>
      <c r="B610" s="980"/>
      <c r="C610" s="903"/>
      <c r="D610" s="903"/>
      <c r="E610" s="903"/>
      <c r="F610" s="903"/>
      <c r="G610" s="903"/>
      <c r="H610" s="903"/>
      <c r="I610" s="903"/>
      <c r="J610" s="903"/>
      <c r="K610" s="903"/>
      <c r="L610" s="903"/>
      <c r="M610" s="903"/>
      <c r="N610" s="906"/>
    </row>
    <row r="611" spans="1:14" s="228" customFormat="1">
      <c r="A611" s="251"/>
      <c r="B611" s="980"/>
      <c r="C611" s="903"/>
      <c r="D611" s="903"/>
      <c r="E611" s="903"/>
      <c r="F611" s="903"/>
      <c r="G611" s="903"/>
      <c r="H611" s="903"/>
      <c r="I611" s="903"/>
      <c r="J611" s="903"/>
      <c r="K611" s="903"/>
      <c r="L611" s="903"/>
      <c r="M611" s="903"/>
      <c r="N611" s="906"/>
    </row>
    <row r="612" spans="1:14" s="228" customFormat="1">
      <c r="A612" s="251"/>
      <c r="B612" s="980"/>
      <c r="C612" s="903"/>
      <c r="D612" s="903"/>
      <c r="E612" s="903"/>
      <c r="F612" s="903"/>
      <c r="G612" s="903" t="s">
        <v>34</v>
      </c>
      <c r="H612" s="903" t="s">
        <v>34</v>
      </c>
      <c r="I612" s="903"/>
      <c r="J612" s="903"/>
      <c r="K612" s="903"/>
      <c r="L612" s="903"/>
      <c r="M612" s="903"/>
      <c r="N612" s="906"/>
    </row>
    <row r="613" spans="1:14" s="228" customFormat="1" ht="16.5" customHeight="1">
      <c r="A613" s="251"/>
      <c r="B613" s="980"/>
      <c r="C613" s="903"/>
      <c r="D613" s="903"/>
      <c r="E613" s="903"/>
      <c r="F613" s="903"/>
      <c r="G613" s="903" t="s">
        <v>34</v>
      </c>
      <c r="H613" s="903" t="s">
        <v>34</v>
      </c>
      <c r="I613" s="903"/>
      <c r="J613" s="903"/>
      <c r="K613" s="903"/>
      <c r="L613" s="903"/>
      <c r="M613" s="903"/>
      <c r="N613" s="906"/>
    </row>
    <row r="614" spans="1:14" s="228" customFormat="1">
      <c r="A614" s="251"/>
      <c r="B614" s="980"/>
      <c r="C614" s="903"/>
      <c r="D614" s="903"/>
      <c r="E614" s="903"/>
      <c r="F614" s="903"/>
      <c r="G614" s="903"/>
      <c r="H614" s="903"/>
      <c r="I614" s="903"/>
      <c r="J614" s="903"/>
      <c r="K614" s="903"/>
      <c r="L614" s="903"/>
      <c r="M614" s="903"/>
      <c r="N614" s="906"/>
    </row>
    <row r="615" spans="1:14" s="228" customFormat="1">
      <c r="A615" s="251"/>
      <c r="B615" s="980"/>
      <c r="C615" s="903"/>
      <c r="D615" s="903"/>
      <c r="E615" s="903"/>
      <c r="F615" s="903"/>
      <c r="G615" s="903" t="s">
        <v>34</v>
      </c>
      <c r="H615" s="903" t="s">
        <v>34</v>
      </c>
      <c r="I615" s="903"/>
      <c r="J615" s="903"/>
      <c r="K615" s="903"/>
      <c r="L615" s="903"/>
      <c r="M615" s="903"/>
      <c r="N615" s="906"/>
    </row>
    <row r="616" spans="1:14" s="228" customFormat="1">
      <c r="A616" s="251"/>
      <c r="B616" s="980"/>
      <c r="C616" s="903"/>
      <c r="D616" s="903"/>
      <c r="E616" s="903"/>
      <c r="F616" s="903"/>
      <c r="G616" s="903" t="s">
        <v>34</v>
      </c>
      <c r="H616" s="903" t="s">
        <v>34</v>
      </c>
      <c r="I616" s="903" t="s">
        <v>34</v>
      </c>
      <c r="J616" s="903"/>
      <c r="K616" s="903"/>
      <c r="L616" s="903"/>
      <c r="M616" s="903"/>
      <c r="N616" s="906"/>
    </row>
    <row r="617" spans="1:14" s="228" customFormat="1" ht="13.5" thickBot="1">
      <c r="A617" s="251"/>
      <c r="B617" s="981"/>
      <c r="C617" s="904"/>
      <c r="D617" s="904"/>
      <c r="E617" s="904"/>
      <c r="F617" s="904"/>
      <c r="G617" s="904" t="s">
        <v>34</v>
      </c>
      <c r="H617" s="904" t="s">
        <v>34</v>
      </c>
      <c r="I617" s="904" t="s">
        <v>34</v>
      </c>
      <c r="J617" s="904"/>
      <c r="K617" s="904"/>
      <c r="L617" s="904"/>
      <c r="M617" s="904"/>
      <c r="N617" s="907"/>
    </row>
    <row r="618" spans="1:14" s="228" customFormat="1" ht="15.75" thickBot="1">
      <c r="A618" s="251"/>
      <c r="B618" s="912"/>
      <c r="C618" s="264"/>
      <c r="D618" s="264"/>
      <c r="E618" s="264"/>
      <c r="F618" s="264"/>
      <c r="G618" s="264"/>
      <c r="H618" s="264"/>
      <c r="I618" s="264"/>
      <c r="J618" s="264"/>
      <c r="K618" s="264"/>
      <c r="L618" s="264"/>
      <c r="M618" s="264"/>
      <c r="N618" s="264"/>
    </row>
    <row r="619" spans="1:14" s="228" customFormat="1" ht="75" customHeight="1" thickBot="1">
      <c r="A619" s="251"/>
      <c r="B619" s="1921" t="s">
        <v>15</v>
      </c>
      <c r="C619" s="1916" t="s">
        <v>27</v>
      </c>
      <c r="D619" s="1910" t="s">
        <v>25</v>
      </c>
      <c r="E619" s="1916" t="s">
        <v>1027</v>
      </c>
      <c r="F619" s="1916" t="s">
        <v>1028</v>
      </c>
      <c r="G619" s="1916" t="s">
        <v>1029</v>
      </c>
      <c r="H619" s="1916" t="s">
        <v>1030</v>
      </c>
      <c r="I619" s="1916" t="s">
        <v>1031</v>
      </c>
      <c r="J619" s="1912" t="s">
        <v>1066</v>
      </c>
      <c r="K619" s="1912" t="s">
        <v>1067</v>
      </c>
      <c r="L619" s="1912" t="s">
        <v>1068</v>
      </c>
      <c r="M619" s="1912" t="s">
        <v>616</v>
      </c>
      <c r="N619" s="1920" t="s">
        <v>617</v>
      </c>
    </row>
    <row r="620" spans="1:14" s="228" customFormat="1">
      <c r="A620" s="251"/>
      <c r="B620" s="979"/>
      <c r="C620" s="903"/>
      <c r="D620" s="903"/>
      <c r="E620" s="903"/>
      <c r="F620" s="903"/>
      <c r="G620" s="903" t="s">
        <v>34</v>
      </c>
      <c r="H620" s="903" t="s">
        <v>34</v>
      </c>
      <c r="I620" s="903"/>
      <c r="J620" s="903"/>
      <c r="K620" s="903"/>
      <c r="L620" s="903"/>
      <c r="M620" s="903"/>
      <c r="N620" s="905"/>
    </row>
    <row r="621" spans="1:14" s="228" customFormat="1">
      <c r="A621" s="251"/>
      <c r="B621" s="980"/>
      <c r="C621" s="903"/>
      <c r="D621" s="903"/>
      <c r="E621" s="903"/>
      <c r="F621" s="903"/>
      <c r="G621" s="903" t="s">
        <v>34</v>
      </c>
      <c r="H621" s="903" t="s">
        <v>34</v>
      </c>
      <c r="I621" s="903"/>
      <c r="J621" s="903"/>
      <c r="K621" s="903"/>
      <c r="L621" s="903"/>
      <c r="M621" s="903"/>
      <c r="N621" s="906"/>
    </row>
    <row r="622" spans="1:14" s="228" customFormat="1">
      <c r="A622" s="251"/>
      <c r="B622" s="980"/>
      <c r="C622" s="903"/>
      <c r="D622" s="903"/>
      <c r="E622" s="903"/>
      <c r="F622" s="903"/>
      <c r="G622" s="903"/>
      <c r="H622" s="903"/>
      <c r="I622" s="903"/>
      <c r="J622" s="903"/>
      <c r="K622" s="903"/>
      <c r="L622" s="903"/>
      <c r="M622" s="903"/>
      <c r="N622" s="906"/>
    </row>
    <row r="623" spans="1:14" s="228" customFormat="1">
      <c r="A623" s="251"/>
      <c r="B623" s="980"/>
      <c r="C623" s="903"/>
      <c r="D623" s="903"/>
      <c r="E623" s="903"/>
      <c r="F623" s="903"/>
      <c r="G623" s="903"/>
      <c r="H623" s="903"/>
      <c r="I623" s="903"/>
      <c r="J623" s="903"/>
      <c r="K623" s="903"/>
      <c r="L623" s="903"/>
      <c r="M623" s="903"/>
      <c r="N623" s="906"/>
    </row>
    <row r="624" spans="1:14" s="228" customFormat="1">
      <c r="A624" s="251"/>
      <c r="B624" s="980"/>
      <c r="C624" s="903"/>
      <c r="D624" s="903"/>
      <c r="E624" s="903"/>
      <c r="F624" s="903"/>
      <c r="G624" s="903"/>
      <c r="H624" s="903"/>
      <c r="I624" s="903"/>
      <c r="J624" s="903"/>
      <c r="K624" s="903"/>
      <c r="L624" s="903"/>
      <c r="M624" s="903"/>
      <c r="N624" s="906"/>
    </row>
    <row r="625" spans="1:14" s="228" customFormat="1">
      <c r="A625" s="251"/>
      <c r="B625" s="980"/>
      <c r="C625" s="903"/>
      <c r="D625" s="903"/>
      <c r="E625" s="903"/>
      <c r="F625" s="903"/>
      <c r="G625" s="903"/>
      <c r="H625" s="903"/>
      <c r="I625" s="903"/>
      <c r="J625" s="903"/>
      <c r="K625" s="903"/>
      <c r="L625" s="903"/>
      <c r="M625" s="903"/>
      <c r="N625" s="906"/>
    </row>
    <row r="626" spans="1:14" s="228" customFormat="1">
      <c r="A626" s="251"/>
      <c r="B626" s="980"/>
      <c r="C626" s="903"/>
      <c r="D626" s="903"/>
      <c r="E626" s="903"/>
      <c r="F626" s="903"/>
      <c r="G626" s="903"/>
      <c r="H626" s="903"/>
      <c r="I626" s="903"/>
      <c r="J626" s="903"/>
      <c r="K626" s="903"/>
      <c r="L626" s="903"/>
      <c r="M626" s="903"/>
      <c r="N626" s="906"/>
    </row>
    <row r="627" spans="1:14" s="228" customFormat="1">
      <c r="A627" s="251"/>
      <c r="B627" s="980"/>
      <c r="C627" s="903"/>
      <c r="D627" s="903"/>
      <c r="E627" s="903"/>
      <c r="F627" s="903"/>
      <c r="G627" s="903" t="s">
        <v>34</v>
      </c>
      <c r="H627" s="903" t="s">
        <v>34</v>
      </c>
      <c r="I627" s="903"/>
      <c r="J627" s="903"/>
      <c r="K627" s="903"/>
      <c r="L627" s="903"/>
      <c r="M627" s="903"/>
      <c r="N627" s="906"/>
    </row>
    <row r="628" spans="1:14" s="228" customFormat="1">
      <c r="A628" s="251"/>
      <c r="B628" s="980"/>
      <c r="C628" s="903"/>
      <c r="D628" s="903"/>
      <c r="E628" s="903"/>
      <c r="F628" s="903"/>
      <c r="G628" s="903" t="s">
        <v>34</v>
      </c>
      <c r="H628" s="903" t="s">
        <v>34</v>
      </c>
      <c r="I628" s="903"/>
      <c r="J628" s="903"/>
      <c r="K628" s="903"/>
      <c r="L628" s="903"/>
      <c r="M628" s="903"/>
      <c r="N628" s="906"/>
    </row>
    <row r="629" spans="1:14" s="228" customFormat="1">
      <c r="A629" s="251"/>
      <c r="B629" s="980"/>
      <c r="C629" s="903"/>
      <c r="D629" s="903"/>
      <c r="E629" s="903"/>
      <c r="F629" s="903"/>
      <c r="G629" s="903"/>
      <c r="H629" s="903"/>
      <c r="I629" s="903"/>
      <c r="J629" s="903"/>
      <c r="K629" s="903"/>
      <c r="L629" s="903"/>
      <c r="M629" s="903"/>
      <c r="N629" s="906"/>
    </row>
    <row r="630" spans="1:14" s="228" customFormat="1" ht="16.5" customHeight="1">
      <c r="A630" s="251"/>
      <c r="B630" s="980"/>
      <c r="C630" s="903"/>
      <c r="D630" s="903"/>
      <c r="E630" s="903"/>
      <c r="F630" s="903"/>
      <c r="G630" s="903"/>
      <c r="H630" s="903"/>
      <c r="I630" s="903"/>
      <c r="J630" s="903"/>
      <c r="K630" s="903"/>
      <c r="L630" s="903"/>
      <c r="M630" s="903"/>
      <c r="N630" s="906"/>
    </row>
    <row r="631" spans="1:14" s="228" customFormat="1">
      <c r="A631" s="251"/>
      <c r="B631" s="980"/>
      <c r="C631" s="903"/>
      <c r="D631" s="903"/>
      <c r="E631" s="903"/>
      <c r="F631" s="903"/>
      <c r="G631" s="903"/>
      <c r="H631" s="903"/>
      <c r="I631" s="903"/>
      <c r="J631" s="903"/>
      <c r="K631" s="903"/>
      <c r="L631" s="903"/>
      <c r="M631" s="903"/>
      <c r="N631" s="906"/>
    </row>
    <row r="632" spans="1:14" s="228" customFormat="1">
      <c r="A632" s="251"/>
      <c r="B632" s="980"/>
      <c r="C632" s="903"/>
      <c r="D632" s="903"/>
      <c r="E632" s="903"/>
      <c r="F632" s="903"/>
      <c r="G632" s="903"/>
      <c r="H632" s="903"/>
      <c r="I632" s="903"/>
      <c r="J632" s="903"/>
      <c r="K632" s="903"/>
      <c r="L632" s="903"/>
      <c r="M632" s="903"/>
      <c r="N632" s="906"/>
    </row>
    <row r="633" spans="1:14" s="228" customFormat="1">
      <c r="A633" s="251"/>
      <c r="B633" s="980"/>
      <c r="C633" s="903"/>
      <c r="D633" s="903"/>
      <c r="E633" s="903"/>
      <c r="F633" s="903"/>
      <c r="G633" s="903"/>
      <c r="H633" s="903"/>
      <c r="I633" s="903"/>
      <c r="J633" s="903"/>
      <c r="K633" s="903"/>
      <c r="L633" s="903"/>
      <c r="M633" s="903"/>
      <c r="N633" s="906"/>
    </row>
    <row r="634" spans="1:14" s="228" customFormat="1">
      <c r="A634" s="251"/>
      <c r="B634" s="980"/>
      <c r="C634" s="903"/>
      <c r="D634" s="903"/>
      <c r="E634" s="903"/>
      <c r="F634" s="903"/>
      <c r="G634" s="903" t="s">
        <v>34</v>
      </c>
      <c r="H634" s="903" t="s">
        <v>34</v>
      </c>
      <c r="I634" s="903"/>
      <c r="J634" s="903"/>
      <c r="K634" s="903"/>
      <c r="L634" s="903"/>
      <c r="M634" s="903"/>
      <c r="N634" s="906"/>
    </row>
    <row r="635" spans="1:14" s="228" customFormat="1">
      <c r="A635" s="251"/>
      <c r="B635" s="980"/>
      <c r="C635" s="903"/>
      <c r="D635" s="903"/>
      <c r="E635" s="903"/>
      <c r="F635" s="903"/>
      <c r="G635" s="903" t="s">
        <v>34</v>
      </c>
      <c r="H635" s="903" t="s">
        <v>34</v>
      </c>
      <c r="I635" s="903"/>
      <c r="J635" s="903"/>
      <c r="K635" s="903"/>
      <c r="L635" s="903"/>
      <c r="M635" s="903"/>
      <c r="N635" s="906"/>
    </row>
    <row r="636" spans="1:14" s="228" customFormat="1">
      <c r="A636" s="251"/>
      <c r="B636" s="980"/>
      <c r="C636" s="903"/>
      <c r="D636" s="903"/>
      <c r="E636" s="903"/>
      <c r="F636" s="903"/>
      <c r="G636" s="903"/>
      <c r="H636" s="903"/>
      <c r="I636" s="903"/>
      <c r="J636" s="903"/>
      <c r="K636" s="903"/>
      <c r="L636" s="903"/>
      <c r="M636" s="903"/>
      <c r="N636" s="906"/>
    </row>
    <row r="637" spans="1:14" s="228" customFormat="1">
      <c r="A637" s="251"/>
      <c r="B637" s="980"/>
      <c r="C637" s="903"/>
      <c r="D637" s="903"/>
      <c r="E637" s="903"/>
      <c r="F637" s="903"/>
      <c r="G637" s="903" t="s">
        <v>34</v>
      </c>
      <c r="H637" s="903" t="s">
        <v>34</v>
      </c>
      <c r="I637" s="903"/>
      <c r="J637" s="903"/>
      <c r="K637" s="903"/>
      <c r="L637" s="903"/>
      <c r="M637" s="903"/>
      <c r="N637" s="906"/>
    </row>
    <row r="638" spans="1:14" s="228" customFormat="1">
      <c r="A638" s="251"/>
      <c r="B638" s="980"/>
      <c r="C638" s="903"/>
      <c r="D638" s="903"/>
      <c r="E638" s="903"/>
      <c r="F638" s="903"/>
      <c r="G638" s="903" t="s">
        <v>34</v>
      </c>
      <c r="H638" s="903" t="s">
        <v>34</v>
      </c>
      <c r="I638" s="903" t="s">
        <v>34</v>
      </c>
      <c r="J638" s="903"/>
      <c r="K638" s="903"/>
      <c r="L638" s="903"/>
      <c r="M638" s="903"/>
      <c r="N638" s="906"/>
    </row>
    <row r="639" spans="1:14" s="228" customFormat="1" ht="13.5" thickBot="1">
      <c r="A639" s="251"/>
      <c r="B639" s="981"/>
      <c r="C639" s="904"/>
      <c r="D639" s="904"/>
      <c r="E639" s="904"/>
      <c r="F639" s="904"/>
      <c r="G639" s="904" t="s">
        <v>34</v>
      </c>
      <c r="H639" s="904" t="s">
        <v>34</v>
      </c>
      <c r="I639" s="904" t="s">
        <v>34</v>
      </c>
      <c r="J639" s="904"/>
      <c r="K639" s="904"/>
      <c r="L639" s="904"/>
      <c r="M639" s="904"/>
      <c r="N639" s="907"/>
    </row>
    <row r="640" spans="1:14" s="228" customFormat="1" ht="15.75" thickBot="1">
      <c r="A640" s="251"/>
      <c r="B640" s="912"/>
      <c r="C640" s="264"/>
      <c r="D640" s="264"/>
      <c r="E640" s="264"/>
      <c r="F640" s="264"/>
      <c r="G640" s="264"/>
      <c r="H640" s="264"/>
      <c r="I640" s="264"/>
      <c r="J640" s="264"/>
      <c r="K640" s="264"/>
      <c r="L640" s="264"/>
      <c r="M640" s="264"/>
      <c r="N640" s="264"/>
    </row>
    <row r="641" spans="1:14" s="228" customFormat="1" ht="75" customHeight="1" thickBot="1">
      <c r="A641" s="251"/>
      <c r="B641" s="1921" t="s">
        <v>15</v>
      </c>
      <c r="C641" s="1916" t="s">
        <v>27</v>
      </c>
      <c r="D641" s="1910" t="s">
        <v>25</v>
      </c>
      <c r="E641" s="1916" t="s">
        <v>1027</v>
      </c>
      <c r="F641" s="1916" t="s">
        <v>1028</v>
      </c>
      <c r="G641" s="1916" t="s">
        <v>1029</v>
      </c>
      <c r="H641" s="1916" t="s">
        <v>1030</v>
      </c>
      <c r="I641" s="1916" t="s">
        <v>1031</v>
      </c>
      <c r="J641" s="1912" t="s">
        <v>1066</v>
      </c>
      <c r="K641" s="1912" t="s">
        <v>1067</v>
      </c>
      <c r="L641" s="1912" t="s">
        <v>1068</v>
      </c>
      <c r="M641" s="1912" t="s">
        <v>616</v>
      </c>
      <c r="N641" s="1920" t="s">
        <v>617</v>
      </c>
    </row>
    <row r="642" spans="1:14" s="228" customFormat="1">
      <c r="A642" s="251"/>
      <c r="B642" s="979"/>
      <c r="C642" s="903"/>
      <c r="D642" s="903"/>
      <c r="E642" s="903"/>
      <c r="F642" s="903"/>
      <c r="G642" s="903" t="s">
        <v>34</v>
      </c>
      <c r="H642" s="903" t="s">
        <v>34</v>
      </c>
      <c r="I642" s="903"/>
      <c r="J642" s="903"/>
      <c r="K642" s="903"/>
      <c r="L642" s="903"/>
      <c r="M642" s="903"/>
      <c r="N642" s="905"/>
    </row>
    <row r="643" spans="1:14" s="228" customFormat="1">
      <c r="A643" s="251"/>
      <c r="B643" s="980"/>
      <c r="C643" s="903"/>
      <c r="D643" s="903"/>
      <c r="E643" s="903"/>
      <c r="F643" s="903"/>
      <c r="G643" s="903" t="s">
        <v>34</v>
      </c>
      <c r="H643" s="903" t="s">
        <v>34</v>
      </c>
      <c r="I643" s="903"/>
      <c r="J643" s="903"/>
      <c r="K643" s="903"/>
      <c r="L643" s="903"/>
      <c r="M643" s="903"/>
      <c r="N643" s="906"/>
    </row>
    <row r="644" spans="1:14" s="228" customFormat="1">
      <c r="A644" s="251"/>
      <c r="B644" s="980"/>
      <c r="C644" s="903"/>
      <c r="D644" s="903"/>
      <c r="E644" s="903"/>
      <c r="F644" s="903"/>
      <c r="G644" s="903"/>
      <c r="H644" s="903"/>
      <c r="I644" s="903"/>
      <c r="J644" s="903"/>
      <c r="K644" s="903"/>
      <c r="L644" s="903"/>
      <c r="M644" s="903"/>
      <c r="N644" s="906"/>
    </row>
    <row r="645" spans="1:14" s="228" customFormat="1">
      <c r="A645" s="251"/>
      <c r="B645" s="980"/>
      <c r="C645" s="903"/>
      <c r="D645" s="903"/>
      <c r="E645" s="903"/>
      <c r="F645" s="903"/>
      <c r="G645" s="903"/>
      <c r="H645" s="903"/>
      <c r="I645" s="903"/>
      <c r="J645" s="903"/>
      <c r="K645" s="903"/>
      <c r="L645" s="903"/>
      <c r="M645" s="903"/>
      <c r="N645" s="906"/>
    </row>
    <row r="646" spans="1:14" s="228" customFormat="1">
      <c r="A646" s="251"/>
      <c r="B646" s="980"/>
      <c r="C646" s="903"/>
      <c r="D646" s="903"/>
      <c r="E646" s="903"/>
      <c r="F646" s="903"/>
      <c r="G646" s="903"/>
      <c r="H646" s="903"/>
      <c r="I646" s="903"/>
      <c r="J646" s="903"/>
      <c r="K646" s="903"/>
      <c r="L646" s="903"/>
      <c r="M646" s="903"/>
      <c r="N646" s="906"/>
    </row>
    <row r="647" spans="1:14" s="228" customFormat="1">
      <c r="A647" s="251"/>
      <c r="B647" s="980"/>
      <c r="C647" s="903"/>
      <c r="D647" s="903"/>
      <c r="E647" s="903"/>
      <c r="F647" s="903"/>
      <c r="G647" s="903"/>
      <c r="H647" s="903"/>
      <c r="I647" s="903"/>
      <c r="J647" s="903"/>
      <c r="K647" s="903"/>
      <c r="L647" s="903"/>
      <c r="M647" s="903"/>
      <c r="N647" s="906"/>
    </row>
    <row r="648" spans="1:14" s="228" customFormat="1">
      <c r="A648" s="251"/>
      <c r="B648" s="980"/>
      <c r="C648" s="903"/>
      <c r="D648" s="903"/>
      <c r="E648" s="903"/>
      <c r="F648" s="903"/>
      <c r="G648" s="903"/>
      <c r="H648" s="903"/>
      <c r="I648" s="903"/>
      <c r="J648" s="903"/>
      <c r="K648" s="903"/>
      <c r="L648" s="903"/>
      <c r="M648" s="903"/>
      <c r="N648" s="906"/>
    </row>
    <row r="649" spans="1:14" s="228" customFormat="1">
      <c r="A649" s="251"/>
      <c r="B649" s="980"/>
      <c r="C649" s="903"/>
      <c r="D649" s="903"/>
      <c r="E649" s="903"/>
      <c r="F649" s="903"/>
      <c r="G649" s="903" t="s">
        <v>34</v>
      </c>
      <c r="H649" s="903" t="s">
        <v>34</v>
      </c>
      <c r="I649" s="903"/>
      <c r="J649" s="903"/>
      <c r="K649" s="903"/>
      <c r="L649" s="903"/>
      <c r="M649" s="903"/>
      <c r="N649" s="906"/>
    </row>
    <row r="650" spans="1:14" s="228" customFormat="1">
      <c r="A650" s="251"/>
      <c r="B650" s="980"/>
      <c r="C650" s="903"/>
      <c r="D650" s="903"/>
      <c r="E650" s="903"/>
      <c r="F650" s="903"/>
      <c r="G650" s="903" t="s">
        <v>34</v>
      </c>
      <c r="H650" s="903" t="s">
        <v>34</v>
      </c>
      <c r="I650" s="903"/>
      <c r="J650" s="903"/>
      <c r="K650" s="903"/>
      <c r="L650" s="903"/>
      <c r="M650" s="903"/>
      <c r="N650" s="906"/>
    </row>
    <row r="651" spans="1:14" s="228" customFormat="1">
      <c r="A651" s="251"/>
      <c r="B651" s="980"/>
      <c r="C651" s="903"/>
      <c r="D651" s="903"/>
      <c r="E651" s="903"/>
      <c r="F651" s="903"/>
      <c r="G651" s="903"/>
      <c r="H651" s="903"/>
      <c r="I651" s="903"/>
      <c r="J651" s="903"/>
      <c r="K651" s="903"/>
      <c r="L651" s="903"/>
      <c r="M651" s="903"/>
      <c r="N651" s="906"/>
    </row>
    <row r="652" spans="1:14" s="228" customFormat="1">
      <c r="A652" s="251"/>
      <c r="B652" s="980"/>
      <c r="C652" s="903"/>
      <c r="D652" s="903"/>
      <c r="E652" s="903"/>
      <c r="F652" s="903"/>
      <c r="G652" s="903"/>
      <c r="H652" s="903"/>
      <c r="I652" s="903"/>
      <c r="J652" s="903"/>
      <c r="K652" s="903"/>
      <c r="L652" s="903"/>
      <c r="M652" s="903"/>
      <c r="N652" s="906"/>
    </row>
    <row r="653" spans="1:14" s="228" customFormat="1">
      <c r="A653" s="251"/>
      <c r="B653" s="980"/>
      <c r="C653" s="903"/>
      <c r="D653" s="903"/>
      <c r="E653" s="903"/>
      <c r="F653" s="903"/>
      <c r="G653" s="903"/>
      <c r="H653" s="903"/>
      <c r="I653" s="903"/>
      <c r="J653" s="903"/>
      <c r="K653" s="903"/>
      <c r="L653" s="903"/>
      <c r="M653" s="903"/>
      <c r="N653" s="906"/>
    </row>
    <row r="654" spans="1:14" s="228" customFormat="1">
      <c r="A654" s="251"/>
      <c r="B654" s="980"/>
      <c r="C654" s="903"/>
      <c r="D654" s="903"/>
      <c r="E654" s="903"/>
      <c r="F654" s="903"/>
      <c r="G654" s="903"/>
      <c r="H654" s="903"/>
      <c r="I654" s="903"/>
      <c r="J654" s="903"/>
      <c r="K654" s="903"/>
      <c r="L654" s="903"/>
      <c r="M654" s="903"/>
      <c r="N654" s="906"/>
    </row>
    <row r="655" spans="1:14" s="228" customFormat="1">
      <c r="A655" s="251"/>
      <c r="B655" s="980"/>
      <c r="C655" s="903"/>
      <c r="D655" s="903"/>
      <c r="E655" s="903"/>
      <c r="F655" s="903"/>
      <c r="G655" s="903"/>
      <c r="H655" s="903"/>
      <c r="I655" s="903"/>
      <c r="J655" s="903"/>
      <c r="K655" s="903"/>
      <c r="L655" s="903"/>
      <c r="M655" s="903"/>
      <c r="N655" s="906"/>
    </row>
    <row r="656" spans="1:14" s="228" customFormat="1">
      <c r="A656" s="251"/>
      <c r="B656" s="980"/>
      <c r="C656" s="903"/>
      <c r="D656" s="903"/>
      <c r="E656" s="903"/>
      <c r="F656" s="903"/>
      <c r="G656" s="903" t="s">
        <v>34</v>
      </c>
      <c r="H656" s="903" t="s">
        <v>34</v>
      </c>
      <c r="I656" s="903"/>
      <c r="J656" s="903"/>
      <c r="K656" s="903"/>
      <c r="L656" s="903"/>
      <c r="M656" s="903"/>
      <c r="N656" s="906"/>
    </row>
    <row r="657" spans="1:28" s="228" customFormat="1">
      <c r="A657" s="251"/>
      <c r="B657" s="980"/>
      <c r="C657" s="903"/>
      <c r="D657" s="903"/>
      <c r="E657" s="903"/>
      <c r="F657" s="903"/>
      <c r="G657" s="903" t="s">
        <v>34</v>
      </c>
      <c r="H657" s="903" t="s">
        <v>34</v>
      </c>
      <c r="I657" s="903"/>
      <c r="J657" s="903"/>
      <c r="K657" s="903"/>
      <c r="L657" s="903"/>
      <c r="M657" s="903"/>
      <c r="N657" s="906"/>
    </row>
    <row r="658" spans="1:28" s="228" customFormat="1">
      <c r="A658" s="251"/>
      <c r="B658" s="980"/>
      <c r="C658" s="903"/>
      <c r="D658" s="903"/>
      <c r="E658" s="903"/>
      <c r="F658" s="903"/>
      <c r="G658" s="903"/>
      <c r="H658" s="903"/>
      <c r="I658" s="903"/>
      <c r="J658" s="903"/>
      <c r="K658" s="903"/>
      <c r="L658" s="903"/>
      <c r="M658" s="903"/>
      <c r="N658" s="906"/>
    </row>
    <row r="659" spans="1:28" s="228" customFormat="1">
      <c r="A659" s="251"/>
      <c r="B659" s="980"/>
      <c r="C659" s="903"/>
      <c r="D659" s="903"/>
      <c r="E659" s="903"/>
      <c r="F659" s="903"/>
      <c r="G659" s="903" t="s">
        <v>34</v>
      </c>
      <c r="H659" s="903" t="s">
        <v>34</v>
      </c>
      <c r="I659" s="903"/>
      <c r="J659" s="903"/>
      <c r="K659" s="903"/>
      <c r="L659" s="903"/>
      <c r="M659" s="903"/>
      <c r="N659" s="906"/>
    </row>
    <row r="660" spans="1:28" s="228" customFormat="1">
      <c r="A660" s="251"/>
      <c r="B660" s="980"/>
      <c r="C660" s="903"/>
      <c r="D660" s="903"/>
      <c r="E660" s="903"/>
      <c r="F660" s="903"/>
      <c r="G660" s="903" t="s">
        <v>34</v>
      </c>
      <c r="H660" s="903" t="s">
        <v>34</v>
      </c>
      <c r="I660" s="903" t="s">
        <v>34</v>
      </c>
      <c r="J660" s="903"/>
      <c r="K660" s="903"/>
      <c r="L660" s="903"/>
      <c r="M660" s="903"/>
      <c r="N660" s="906"/>
    </row>
    <row r="661" spans="1:28" s="228" customFormat="1" ht="13.5" thickBot="1">
      <c r="A661" s="251"/>
      <c r="B661" s="981"/>
      <c r="C661" s="904"/>
      <c r="D661" s="904"/>
      <c r="E661" s="904"/>
      <c r="F661" s="904"/>
      <c r="G661" s="904" t="s">
        <v>34</v>
      </c>
      <c r="H661" s="904" t="s">
        <v>34</v>
      </c>
      <c r="I661" s="904" t="s">
        <v>34</v>
      </c>
      <c r="J661" s="904"/>
      <c r="K661" s="904"/>
      <c r="L661" s="904"/>
      <c r="M661" s="904"/>
      <c r="N661" s="907"/>
    </row>
    <row r="662" spans="1:28" s="228" customFormat="1" ht="15">
      <c r="A662" s="251"/>
      <c r="B662" s="912"/>
      <c r="C662" s="264"/>
      <c r="D662" s="264"/>
      <c r="E662" s="264"/>
      <c r="F662" s="264"/>
      <c r="G662" s="264"/>
      <c r="H662" s="264"/>
      <c r="I662" s="264"/>
      <c r="J662" s="264"/>
      <c r="K662" s="264"/>
      <c r="L662" s="264"/>
      <c r="M662" s="264"/>
      <c r="N662" s="264"/>
    </row>
    <row r="663" spans="1:28" s="226" customFormat="1" ht="15">
      <c r="A663" s="235"/>
      <c r="B663" s="205" t="s">
        <v>130</v>
      </c>
      <c r="C663" s="205"/>
      <c r="D663" s="205"/>
      <c r="E663" s="205"/>
      <c r="F663" s="205"/>
      <c r="G663" s="205"/>
      <c r="H663" s="205"/>
      <c r="I663" s="205"/>
      <c r="J663" s="205"/>
      <c r="K663" s="205"/>
      <c r="L663" s="205"/>
      <c r="M663" s="205"/>
      <c r="N663" s="205"/>
      <c r="O663" s="276"/>
      <c r="P663" s="276"/>
      <c r="Q663" s="255"/>
      <c r="AA663" s="239"/>
      <c r="AB663" s="239"/>
    </row>
    <row r="664" spans="1:28" s="226" customFormat="1" ht="13.5" thickBot="1">
      <c r="A664" s="235"/>
      <c r="B664" s="205"/>
      <c r="C664" s="205"/>
      <c r="D664" s="205"/>
      <c r="E664" s="205"/>
      <c r="F664" s="205"/>
      <c r="G664" s="205"/>
      <c r="H664" s="205"/>
      <c r="I664" s="205"/>
      <c r="J664" s="205"/>
      <c r="K664" s="205"/>
      <c r="L664" s="205"/>
      <c r="M664" s="205"/>
      <c r="N664" s="205"/>
      <c r="O664" s="205"/>
      <c r="P664" s="205"/>
      <c r="Q664" s="255"/>
      <c r="AA664" s="239"/>
      <c r="AB664" s="239"/>
    </row>
    <row r="665" spans="1:28" s="226" customFormat="1" ht="150" customHeight="1" thickBot="1">
      <c r="A665" s="235"/>
      <c r="B665" s="1898"/>
      <c r="C665" s="1896"/>
      <c r="D665" s="1896"/>
      <c r="E665" s="1897"/>
      <c r="F665" s="676"/>
      <c r="G665" s="676"/>
      <c r="H665" s="676"/>
      <c r="I665" s="676"/>
      <c r="J665" s="676"/>
      <c r="K665" s="676"/>
      <c r="L665" s="676"/>
      <c r="M665" s="676"/>
      <c r="N665" s="676"/>
      <c r="O665" s="676"/>
      <c r="P665" s="676"/>
      <c r="Q665" s="255"/>
      <c r="AA665" s="239"/>
      <c r="AB665" s="239"/>
    </row>
    <row r="666" spans="1:28" s="226" customFormat="1">
      <c r="A666" s="235"/>
      <c r="B666" s="274"/>
      <c r="C666" s="274"/>
      <c r="D666" s="274"/>
      <c r="E666" s="274"/>
      <c r="F666" s="274"/>
      <c r="G666" s="274"/>
      <c r="H666" s="275"/>
      <c r="I666" s="275"/>
      <c r="J666" s="275"/>
      <c r="K666" s="275"/>
      <c r="L666" s="275"/>
      <c r="M666" s="275"/>
      <c r="N666" s="275"/>
      <c r="O666" s="275"/>
      <c r="P666" s="275"/>
      <c r="Q666" s="255"/>
      <c r="AA666" s="239"/>
      <c r="AB666" s="239"/>
    </row>
    <row r="667" spans="1:28" s="226" customFormat="1">
      <c r="A667" s="235"/>
      <c r="B667" s="723"/>
      <c r="C667" s="723"/>
      <c r="D667" s="723"/>
      <c r="E667" s="723"/>
      <c r="F667" s="723"/>
      <c r="G667" s="723"/>
      <c r="H667" s="275"/>
      <c r="I667" s="275"/>
      <c r="J667" s="275"/>
      <c r="K667" s="275"/>
      <c r="L667" s="275"/>
      <c r="M667" s="275"/>
      <c r="N667" s="275"/>
      <c r="O667" s="275"/>
      <c r="P667" s="275"/>
      <c r="Q667" s="255"/>
      <c r="AA667" s="239"/>
      <c r="AB667" s="239"/>
    </row>
    <row r="668" spans="1:28" s="708" customFormat="1" ht="15" customHeight="1">
      <c r="A668" s="706"/>
      <c r="B668" s="707" t="s">
        <v>133</v>
      </c>
      <c r="D668" s="702"/>
      <c r="AA668" s="709"/>
      <c r="AB668" s="709"/>
    </row>
    <row r="669" spans="1:28" ht="12.75" customHeight="1">
      <c r="A669" s="217"/>
      <c r="B669" s="209"/>
      <c r="D669" s="264"/>
      <c r="K669" s="215"/>
      <c r="L669" s="215"/>
    </row>
    <row r="670" spans="1:28" ht="12.75" customHeight="1">
      <c r="A670" s="217"/>
      <c r="B670" s="982" t="s">
        <v>630</v>
      </c>
      <c r="C670" s="982"/>
      <c r="D670" s="982"/>
      <c r="E670" s="982"/>
      <c r="F670" s="982"/>
      <c r="G670" s="982"/>
      <c r="H670" s="982"/>
      <c r="I670" s="982"/>
      <c r="J670" s="982"/>
      <c r="K670" s="982"/>
      <c r="L670" s="982"/>
      <c r="M670" s="982"/>
      <c r="N670" s="982"/>
      <c r="O670" s="982"/>
    </row>
    <row r="671" spans="1:28" ht="15.75" thickBot="1">
      <c r="A671" s="217"/>
      <c r="B671" s="270"/>
      <c r="D671" s="264"/>
      <c r="K671" s="215"/>
      <c r="L671" s="215"/>
    </row>
    <row r="672" spans="1:28" ht="75" customHeight="1" thickBot="1">
      <c r="A672" s="217"/>
      <c r="B672" s="1921" t="s">
        <v>15</v>
      </c>
      <c r="C672" s="1917" t="s">
        <v>28</v>
      </c>
      <c r="D672" s="1918" t="s">
        <v>35</v>
      </c>
      <c r="E672" s="1918" t="s">
        <v>599</v>
      </c>
      <c r="F672" s="1919" t="s">
        <v>665</v>
      </c>
      <c r="O672" s="229"/>
      <c r="P672" s="206"/>
      <c r="Q672" s="206"/>
      <c r="R672" s="206"/>
      <c r="AA672" s="205"/>
      <c r="AB672" s="205"/>
    </row>
    <row r="673" spans="1:19" s="202" customFormat="1">
      <c r="A673" s="219"/>
      <c r="B673" s="979" t="str">
        <f>B121</f>
        <v/>
      </c>
      <c r="C673" s="908"/>
      <c r="D673" s="908"/>
      <c r="E673" s="908"/>
      <c r="F673" s="905"/>
      <c r="O673" s="271"/>
      <c r="Q673" s="214"/>
      <c r="R673" s="214"/>
      <c r="S673" s="214"/>
    </row>
    <row r="674" spans="1:19" s="202" customFormat="1">
      <c r="A674" s="219"/>
      <c r="B674" s="980"/>
      <c r="C674" s="903"/>
      <c r="D674" s="903"/>
      <c r="E674" s="903"/>
      <c r="F674" s="906"/>
      <c r="O674" s="271"/>
      <c r="Q674" s="214"/>
      <c r="R674" s="214"/>
      <c r="S674" s="214"/>
    </row>
    <row r="675" spans="1:19" s="202" customFormat="1">
      <c r="A675" s="219"/>
      <c r="B675" s="980"/>
      <c r="C675" s="903"/>
      <c r="D675" s="903"/>
      <c r="E675" s="903"/>
      <c r="F675" s="906"/>
      <c r="O675" s="271"/>
      <c r="Q675" s="214"/>
      <c r="R675" s="214"/>
      <c r="S675" s="214"/>
    </row>
    <row r="676" spans="1:19" s="202" customFormat="1">
      <c r="A676" s="219"/>
      <c r="B676" s="980"/>
      <c r="C676" s="903"/>
      <c r="D676" s="903"/>
      <c r="E676" s="903"/>
      <c r="F676" s="906"/>
      <c r="O676" s="271"/>
      <c r="Q676" s="214"/>
      <c r="R676" s="214"/>
      <c r="S676" s="214"/>
    </row>
    <row r="677" spans="1:19" s="202" customFormat="1">
      <c r="A677" s="219"/>
      <c r="B677" s="980"/>
      <c r="C677" s="903"/>
      <c r="D677" s="903"/>
      <c r="E677" s="903"/>
      <c r="F677" s="906"/>
      <c r="O677" s="271"/>
      <c r="Q677" s="214"/>
      <c r="R677" s="214"/>
      <c r="S677" s="214"/>
    </row>
    <row r="678" spans="1:19" s="202" customFormat="1">
      <c r="A678" s="219"/>
      <c r="B678" s="980"/>
      <c r="C678" s="903"/>
      <c r="D678" s="903"/>
      <c r="E678" s="903"/>
      <c r="F678" s="906"/>
      <c r="O678" s="271"/>
      <c r="Q678" s="214"/>
      <c r="R678" s="214"/>
      <c r="S678" s="214"/>
    </row>
    <row r="679" spans="1:19" s="202" customFormat="1">
      <c r="A679" s="219"/>
      <c r="B679" s="980"/>
      <c r="C679" s="903"/>
      <c r="D679" s="903"/>
      <c r="E679" s="903"/>
      <c r="F679" s="906"/>
      <c r="O679" s="271"/>
      <c r="Q679" s="214"/>
      <c r="R679" s="214"/>
      <c r="S679" s="214"/>
    </row>
    <row r="680" spans="1:19" s="202" customFormat="1">
      <c r="A680" s="219"/>
      <c r="B680" s="980"/>
      <c r="C680" s="903"/>
      <c r="D680" s="903"/>
      <c r="E680" s="903"/>
      <c r="F680" s="906"/>
      <c r="O680" s="271"/>
      <c r="Q680" s="214"/>
      <c r="R680" s="214"/>
      <c r="S680" s="214"/>
    </row>
    <row r="681" spans="1:19" s="202" customFormat="1">
      <c r="A681" s="219"/>
      <c r="B681" s="980"/>
      <c r="C681" s="903"/>
      <c r="D681" s="903"/>
      <c r="E681" s="903"/>
      <c r="F681" s="906"/>
      <c r="O681" s="271"/>
      <c r="Q681" s="214"/>
      <c r="R681" s="214"/>
      <c r="S681" s="214"/>
    </row>
    <row r="682" spans="1:19" s="202" customFormat="1">
      <c r="A682" s="219"/>
      <c r="B682" s="980"/>
      <c r="C682" s="903"/>
      <c r="D682" s="903"/>
      <c r="E682" s="903"/>
      <c r="F682" s="906"/>
      <c r="O682" s="271"/>
      <c r="Q682" s="214"/>
      <c r="R682" s="214"/>
      <c r="S682" s="214"/>
    </row>
    <row r="683" spans="1:19" s="202" customFormat="1">
      <c r="A683" s="219"/>
      <c r="B683" s="980"/>
      <c r="C683" s="903"/>
      <c r="D683" s="903"/>
      <c r="E683" s="903"/>
      <c r="F683" s="906"/>
      <c r="O683" s="271"/>
      <c r="Q683" s="214"/>
      <c r="R683" s="214"/>
      <c r="S683" s="214"/>
    </row>
    <row r="684" spans="1:19" s="202" customFormat="1">
      <c r="A684" s="219"/>
      <c r="B684" s="980"/>
      <c r="C684" s="903"/>
      <c r="D684" s="903"/>
      <c r="E684" s="903"/>
      <c r="F684" s="906"/>
      <c r="O684" s="271"/>
      <c r="Q684" s="214"/>
      <c r="R684" s="214"/>
      <c r="S684" s="214"/>
    </row>
    <row r="685" spans="1:19" s="202" customFormat="1">
      <c r="A685" s="219"/>
      <c r="B685" s="980"/>
      <c r="C685" s="903"/>
      <c r="D685" s="903"/>
      <c r="E685" s="903"/>
      <c r="F685" s="906"/>
      <c r="O685" s="271"/>
      <c r="Q685" s="214"/>
      <c r="R685" s="214"/>
      <c r="S685" s="214"/>
    </row>
    <row r="686" spans="1:19" s="202" customFormat="1">
      <c r="A686" s="219"/>
      <c r="B686" s="980"/>
      <c r="C686" s="903"/>
      <c r="D686" s="903"/>
      <c r="E686" s="903"/>
      <c r="F686" s="906"/>
      <c r="O686" s="271"/>
      <c r="Q686" s="214"/>
      <c r="R686" s="214"/>
      <c r="S686" s="214"/>
    </row>
    <row r="687" spans="1:19" s="202" customFormat="1">
      <c r="A687" s="219"/>
      <c r="B687" s="980"/>
      <c r="C687" s="903"/>
      <c r="D687" s="903"/>
      <c r="E687" s="903"/>
      <c r="F687" s="906"/>
      <c r="O687" s="271"/>
      <c r="Q687" s="214"/>
      <c r="R687" s="214"/>
      <c r="S687" s="214"/>
    </row>
    <row r="688" spans="1:19" s="202" customFormat="1">
      <c r="A688" s="219"/>
      <c r="B688" s="980"/>
      <c r="C688" s="903"/>
      <c r="D688" s="903"/>
      <c r="E688" s="903"/>
      <c r="F688" s="906"/>
      <c r="O688" s="271"/>
      <c r="Q688" s="214"/>
      <c r="R688" s="214"/>
      <c r="S688" s="214"/>
    </row>
    <row r="689" spans="1:19" s="202" customFormat="1">
      <c r="A689" s="219"/>
      <c r="B689" s="980"/>
      <c r="C689" s="903"/>
      <c r="D689" s="903"/>
      <c r="E689" s="903"/>
      <c r="F689" s="906"/>
      <c r="O689" s="271"/>
      <c r="Q689" s="214"/>
      <c r="R689" s="214"/>
      <c r="S689" s="214"/>
    </row>
    <row r="690" spans="1:19" s="202" customFormat="1">
      <c r="A690" s="219"/>
      <c r="B690" s="980"/>
      <c r="C690" s="903"/>
      <c r="D690" s="903"/>
      <c r="E690" s="903"/>
      <c r="F690" s="906"/>
      <c r="O690" s="271"/>
      <c r="Q690" s="214"/>
      <c r="R690" s="214"/>
      <c r="S690" s="214"/>
    </row>
    <row r="691" spans="1:19" s="202" customFormat="1">
      <c r="A691" s="219"/>
      <c r="B691" s="980"/>
      <c r="C691" s="903"/>
      <c r="D691" s="903"/>
      <c r="E691" s="903"/>
      <c r="F691" s="906"/>
      <c r="O691" s="271"/>
      <c r="Q691" s="214"/>
      <c r="R691" s="214"/>
      <c r="S691" s="214"/>
    </row>
    <row r="692" spans="1:19" s="202" customFormat="1" ht="13.5" thickBot="1">
      <c r="A692" s="219"/>
      <c r="B692" s="981"/>
      <c r="C692" s="904"/>
      <c r="D692" s="904"/>
      <c r="E692" s="904"/>
      <c r="F692" s="907"/>
      <c r="O692" s="271"/>
      <c r="Q692" s="214"/>
      <c r="R692" s="214"/>
      <c r="S692" s="214"/>
    </row>
    <row r="693" spans="1:19" s="202" customFormat="1" ht="13.5" thickBot="1">
      <c r="A693" s="219"/>
      <c r="B693" s="264"/>
      <c r="C693" s="264"/>
      <c r="D693" s="264"/>
      <c r="E693" s="264"/>
      <c r="F693" s="264"/>
      <c r="O693" s="271"/>
      <c r="Q693" s="214"/>
      <c r="R693" s="214"/>
      <c r="S693" s="214"/>
    </row>
    <row r="694" spans="1:19" s="220" customFormat="1" ht="75" customHeight="1" thickBot="1">
      <c r="A694" s="913"/>
      <c r="B694" s="1921" t="s">
        <v>15</v>
      </c>
      <c r="C694" s="1917" t="s">
        <v>28</v>
      </c>
      <c r="D694" s="1918" t="s">
        <v>35</v>
      </c>
      <c r="E694" s="1918" t="s">
        <v>599</v>
      </c>
      <c r="F694" s="1919" t="s">
        <v>665</v>
      </c>
      <c r="O694" s="670"/>
      <c r="Q694" s="670"/>
      <c r="R694" s="670"/>
      <c r="S694" s="670"/>
    </row>
    <row r="695" spans="1:19" s="220" customFormat="1">
      <c r="A695" s="913"/>
      <c r="B695" s="979"/>
      <c r="C695" s="908"/>
      <c r="D695" s="908"/>
      <c r="E695" s="908"/>
      <c r="F695" s="905"/>
      <c r="O695" s="670"/>
      <c r="Q695" s="670"/>
      <c r="R695" s="670"/>
      <c r="S695" s="670"/>
    </row>
    <row r="696" spans="1:19" s="220" customFormat="1">
      <c r="A696" s="913"/>
      <c r="B696" s="980"/>
      <c r="C696" s="903"/>
      <c r="D696" s="903"/>
      <c r="E696" s="903"/>
      <c r="F696" s="906"/>
      <c r="O696" s="670"/>
      <c r="Q696" s="670"/>
      <c r="R696" s="670"/>
      <c r="S696" s="670"/>
    </row>
    <row r="697" spans="1:19" s="220" customFormat="1">
      <c r="A697" s="913"/>
      <c r="B697" s="980"/>
      <c r="C697" s="903"/>
      <c r="D697" s="903"/>
      <c r="E697" s="903"/>
      <c r="F697" s="906"/>
      <c r="O697" s="670"/>
      <c r="Q697" s="670"/>
      <c r="R697" s="670"/>
      <c r="S697" s="670"/>
    </row>
    <row r="698" spans="1:19" s="220" customFormat="1">
      <c r="A698" s="913"/>
      <c r="B698" s="980"/>
      <c r="C698" s="903"/>
      <c r="D698" s="903"/>
      <c r="E698" s="903"/>
      <c r="F698" s="906"/>
      <c r="O698" s="670"/>
      <c r="Q698" s="670"/>
      <c r="R698" s="670"/>
      <c r="S698" s="670"/>
    </row>
    <row r="699" spans="1:19" s="220" customFormat="1">
      <c r="A699" s="913"/>
      <c r="B699" s="980"/>
      <c r="C699" s="903"/>
      <c r="D699" s="903"/>
      <c r="E699" s="903"/>
      <c r="F699" s="906"/>
      <c r="O699" s="670"/>
      <c r="Q699" s="670"/>
      <c r="R699" s="670"/>
      <c r="S699" s="670"/>
    </row>
    <row r="700" spans="1:19" s="220" customFormat="1">
      <c r="A700" s="913"/>
      <c r="B700" s="980"/>
      <c r="C700" s="903"/>
      <c r="D700" s="903"/>
      <c r="E700" s="903"/>
      <c r="F700" s="906"/>
      <c r="O700" s="670"/>
      <c r="Q700" s="670"/>
      <c r="R700" s="670"/>
      <c r="S700" s="670"/>
    </row>
    <row r="701" spans="1:19" s="220" customFormat="1">
      <c r="A701" s="913"/>
      <c r="B701" s="980"/>
      <c r="C701" s="903"/>
      <c r="D701" s="903"/>
      <c r="E701" s="903"/>
      <c r="F701" s="906"/>
      <c r="O701" s="670"/>
      <c r="Q701" s="670"/>
      <c r="R701" s="670"/>
      <c r="S701" s="670"/>
    </row>
    <row r="702" spans="1:19" s="220" customFormat="1">
      <c r="A702" s="913"/>
      <c r="B702" s="980"/>
      <c r="C702" s="903"/>
      <c r="D702" s="903"/>
      <c r="E702" s="903"/>
      <c r="F702" s="906"/>
      <c r="O702" s="670"/>
      <c r="Q702" s="670"/>
      <c r="R702" s="670"/>
      <c r="S702" s="670"/>
    </row>
    <row r="703" spans="1:19" s="220" customFormat="1">
      <c r="A703" s="913"/>
      <c r="B703" s="980"/>
      <c r="C703" s="903"/>
      <c r="D703" s="903"/>
      <c r="E703" s="903"/>
      <c r="F703" s="906"/>
      <c r="O703" s="670"/>
      <c r="Q703" s="670"/>
      <c r="R703" s="670"/>
      <c r="S703" s="670"/>
    </row>
    <row r="704" spans="1:19" s="220" customFormat="1">
      <c r="A704" s="913"/>
      <c r="B704" s="980"/>
      <c r="C704" s="903"/>
      <c r="D704" s="903"/>
      <c r="E704" s="903"/>
      <c r="F704" s="906"/>
      <c r="O704" s="670"/>
      <c r="Q704" s="670"/>
      <c r="R704" s="670"/>
      <c r="S704" s="670"/>
    </row>
    <row r="705" spans="1:19" s="220" customFormat="1">
      <c r="A705" s="913"/>
      <c r="B705" s="980"/>
      <c r="C705" s="903"/>
      <c r="D705" s="903"/>
      <c r="E705" s="903"/>
      <c r="F705" s="906"/>
      <c r="O705" s="670"/>
      <c r="Q705" s="670"/>
      <c r="R705" s="670"/>
      <c r="S705" s="670"/>
    </row>
    <row r="706" spans="1:19" s="220" customFormat="1">
      <c r="A706" s="913"/>
      <c r="B706" s="980"/>
      <c r="C706" s="903"/>
      <c r="D706" s="903"/>
      <c r="E706" s="903"/>
      <c r="F706" s="906"/>
      <c r="O706" s="670"/>
      <c r="Q706" s="670"/>
      <c r="R706" s="670"/>
      <c r="S706" s="670"/>
    </row>
    <row r="707" spans="1:19" s="220" customFormat="1">
      <c r="A707" s="913"/>
      <c r="B707" s="980"/>
      <c r="C707" s="903"/>
      <c r="D707" s="903"/>
      <c r="E707" s="903"/>
      <c r="F707" s="906"/>
      <c r="O707" s="670"/>
      <c r="Q707" s="670"/>
      <c r="R707" s="670"/>
      <c r="S707" s="670"/>
    </row>
    <row r="708" spans="1:19" s="220" customFormat="1">
      <c r="A708" s="913"/>
      <c r="B708" s="980"/>
      <c r="C708" s="903"/>
      <c r="D708" s="903"/>
      <c r="E708" s="903"/>
      <c r="F708" s="906"/>
      <c r="O708" s="670"/>
      <c r="Q708" s="670"/>
      <c r="R708" s="670"/>
      <c r="S708" s="670"/>
    </row>
    <row r="709" spans="1:19" s="220" customFormat="1">
      <c r="A709" s="913"/>
      <c r="B709" s="980"/>
      <c r="C709" s="903"/>
      <c r="D709" s="903"/>
      <c r="E709" s="903"/>
      <c r="F709" s="906"/>
      <c r="O709" s="670"/>
      <c r="Q709" s="670"/>
      <c r="R709" s="670"/>
      <c r="S709" s="670"/>
    </row>
    <row r="710" spans="1:19" s="220" customFormat="1">
      <c r="A710" s="913"/>
      <c r="B710" s="980"/>
      <c r="C710" s="903"/>
      <c r="D710" s="903"/>
      <c r="E710" s="903"/>
      <c r="F710" s="906"/>
      <c r="O710" s="670"/>
      <c r="Q710" s="670"/>
      <c r="R710" s="670"/>
      <c r="S710" s="670"/>
    </row>
    <row r="711" spans="1:19" s="220" customFormat="1">
      <c r="A711" s="913"/>
      <c r="B711" s="980"/>
      <c r="C711" s="903"/>
      <c r="D711" s="903"/>
      <c r="E711" s="903"/>
      <c r="F711" s="906"/>
      <c r="O711" s="670"/>
      <c r="Q711" s="670"/>
      <c r="R711" s="670"/>
      <c r="S711" s="670"/>
    </row>
    <row r="712" spans="1:19" s="220" customFormat="1">
      <c r="A712" s="913"/>
      <c r="B712" s="980"/>
      <c r="C712" s="903"/>
      <c r="D712" s="903"/>
      <c r="E712" s="903"/>
      <c r="F712" s="906"/>
      <c r="O712" s="670"/>
      <c r="Q712" s="670"/>
      <c r="R712" s="670"/>
      <c r="S712" s="670"/>
    </row>
    <row r="713" spans="1:19" s="220" customFormat="1">
      <c r="A713" s="913"/>
      <c r="B713" s="980"/>
      <c r="C713" s="903"/>
      <c r="D713" s="903"/>
      <c r="E713" s="903"/>
      <c r="F713" s="906"/>
      <c r="O713" s="670"/>
      <c r="Q713" s="670"/>
      <c r="R713" s="670"/>
      <c r="S713" s="670"/>
    </row>
    <row r="714" spans="1:19" s="220" customFormat="1" ht="13.5" thickBot="1">
      <c r="A714" s="913"/>
      <c r="B714" s="981"/>
      <c r="C714" s="904"/>
      <c r="D714" s="904"/>
      <c r="E714" s="904"/>
      <c r="F714" s="907"/>
      <c r="O714" s="670"/>
      <c r="Q714" s="670"/>
      <c r="R714" s="670"/>
      <c r="S714" s="670"/>
    </row>
    <row r="715" spans="1:19" s="220" customFormat="1" ht="13.5" thickBot="1">
      <c r="A715" s="913"/>
      <c r="B715" s="914"/>
      <c r="C715" s="351"/>
      <c r="D715" s="351"/>
      <c r="E715" s="351"/>
      <c r="F715" s="351"/>
      <c r="O715" s="670"/>
      <c r="Q715" s="670"/>
      <c r="R715" s="670"/>
      <c r="S715" s="670"/>
    </row>
    <row r="716" spans="1:19" s="220" customFormat="1" ht="75" customHeight="1" thickBot="1">
      <c r="A716" s="913"/>
      <c r="B716" s="1921" t="s">
        <v>15</v>
      </c>
      <c r="C716" s="1917" t="s">
        <v>28</v>
      </c>
      <c r="D716" s="1918" t="s">
        <v>35</v>
      </c>
      <c r="E716" s="1918" t="s">
        <v>599</v>
      </c>
      <c r="F716" s="1919" t="s">
        <v>665</v>
      </c>
      <c r="O716" s="670"/>
      <c r="Q716" s="670"/>
      <c r="R716" s="670"/>
      <c r="S716" s="670"/>
    </row>
    <row r="717" spans="1:19" s="220" customFormat="1">
      <c r="A717" s="913"/>
      <c r="B717" s="979"/>
      <c r="C717" s="908"/>
      <c r="D717" s="908"/>
      <c r="E717" s="908"/>
      <c r="F717" s="905"/>
      <c r="O717" s="670"/>
      <c r="Q717" s="670"/>
      <c r="R717" s="670"/>
      <c r="S717" s="670"/>
    </row>
    <row r="718" spans="1:19" s="220" customFormat="1">
      <c r="A718" s="913"/>
      <c r="B718" s="980"/>
      <c r="C718" s="903"/>
      <c r="D718" s="903"/>
      <c r="E718" s="903"/>
      <c r="F718" s="906"/>
      <c r="O718" s="670"/>
      <c r="Q718" s="670"/>
      <c r="R718" s="670"/>
      <c r="S718" s="670"/>
    </row>
    <row r="719" spans="1:19" s="220" customFormat="1">
      <c r="A719" s="913"/>
      <c r="B719" s="980"/>
      <c r="C719" s="903"/>
      <c r="D719" s="903"/>
      <c r="E719" s="903"/>
      <c r="F719" s="906"/>
      <c r="O719" s="670"/>
      <c r="Q719" s="670"/>
      <c r="R719" s="670"/>
      <c r="S719" s="670"/>
    </row>
    <row r="720" spans="1:19" s="220" customFormat="1">
      <c r="A720" s="913"/>
      <c r="B720" s="980"/>
      <c r="C720" s="903"/>
      <c r="D720" s="903"/>
      <c r="E720" s="903"/>
      <c r="F720" s="906"/>
      <c r="O720" s="670"/>
      <c r="Q720" s="670"/>
      <c r="R720" s="670"/>
      <c r="S720" s="670"/>
    </row>
    <row r="721" spans="1:19" s="220" customFormat="1">
      <c r="A721" s="913"/>
      <c r="B721" s="980"/>
      <c r="C721" s="903"/>
      <c r="D721" s="903"/>
      <c r="E721" s="903"/>
      <c r="F721" s="906"/>
      <c r="O721" s="670"/>
      <c r="Q721" s="670"/>
      <c r="R721" s="670"/>
      <c r="S721" s="670"/>
    </row>
    <row r="722" spans="1:19" s="220" customFormat="1">
      <c r="A722" s="913"/>
      <c r="B722" s="980"/>
      <c r="C722" s="903"/>
      <c r="D722" s="903"/>
      <c r="E722" s="903"/>
      <c r="F722" s="906"/>
      <c r="O722" s="670"/>
      <c r="Q722" s="670"/>
      <c r="R722" s="670"/>
      <c r="S722" s="670"/>
    </row>
    <row r="723" spans="1:19" s="220" customFormat="1">
      <c r="A723" s="913"/>
      <c r="B723" s="980"/>
      <c r="C723" s="903"/>
      <c r="D723" s="903"/>
      <c r="E723" s="903"/>
      <c r="F723" s="906"/>
      <c r="O723" s="670"/>
      <c r="Q723" s="670"/>
      <c r="R723" s="670"/>
      <c r="S723" s="670"/>
    </row>
    <row r="724" spans="1:19" s="220" customFormat="1">
      <c r="A724" s="913"/>
      <c r="B724" s="980"/>
      <c r="C724" s="903"/>
      <c r="D724" s="903"/>
      <c r="E724" s="903"/>
      <c r="F724" s="906"/>
      <c r="O724" s="670"/>
      <c r="Q724" s="670"/>
      <c r="R724" s="670"/>
      <c r="S724" s="670"/>
    </row>
    <row r="725" spans="1:19" s="220" customFormat="1">
      <c r="A725" s="913"/>
      <c r="B725" s="980"/>
      <c r="C725" s="903"/>
      <c r="D725" s="903"/>
      <c r="E725" s="903"/>
      <c r="F725" s="906"/>
      <c r="O725" s="670"/>
      <c r="Q725" s="670"/>
      <c r="R725" s="670"/>
      <c r="S725" s="670"/>
    </row>
    <row r="726" spans="1:19" s="220" customFormat="1">
      <c r="A726" s="913"/>
      <c r="B726" s="980"/>
      <c r="C726" s="903"/>
      <c r="D726" s="903"/>
      <c r="E726" s="903"/>
      <c r="F726" s="906"/>
      <c r="O726" s="670"/>
      <c r="Q726" s="670"/>
      <c r="R726" s="670"/>
      <c r="S726" s="670"/>
    </row>
    <row r="727" spans="1:19" s="220" customFormat="1">
      <c r="A727" s="913"/>
      <c r="B727" s="980"/>
      <c r="C727" s="903"/>
      <c r="D727" s="903"/>
      <c r="E727" s="903"/>
      <c r="F727" s="906"/>
      <c r="O727" s="670"/>
      <c r="Q727" s="670"/>
      <c r="R727" s="670"/>
      <c r="S727" s="670"/>
    </row>
    <row r="728" spans="1:19" s="220" customFormat="1">
      <c r="A728" s="913"/>
      <c r="B728" s="980"/>
      <c r="C728" s="903"/>
      <c r="D728" s="903"/>
      <c r="E728" s="903"/>
      <c r="F728" s="906"/>
      <c r="O728" s="670"/>
      <c r="Q728" s="670"/>
      <c r="R728" s="670"/>
      <c r="S728" s="670"/>
    </row>
    <row r="729" spans="1:19" s="220" customFormat="1">
      <c r="A729" s="913"/>
      <c r="B729" s="980"/>
      <c r="C729" s="903"/>
      <c r="D729" s="903"/>
      <c r="E729" s="903"/>
      <c r="F729" s="906"/>
      <c r="O729" s="670"/>
      <c r="Q729" s="670"/>
      <c r="R729" s="670"/>
      <c r="S729" s="670"/>
    </row>
    <row r="730" spans="1:19" s="220" customFormat="1">
      <c r="A730" s="913"/>
      <c r="B730" s="980"/>
      <c r="C730" s="903"/>
      <c r="D730" s="903"/>
      <c r="E730" s="903"/>
      <c r="F730" s="906"/>
      <c r="O730" s="670"/>
      <c r="Q730" s="670"/>
      <c r="R730" s="670"/>
      <c r="S730" s="670"/>
    </row>
    <row r="731" spans="1:19" s="220" customFormat="1">
      <c r="A731" s="913"/>
      <c r="B731" s="980"/>
      <c r="C731" s="903"/>
      <c r="D731" s="903"/>
      <c r="E731" s="903"/>
      <c r="F731" s="906"/>
      <c r="O731" s="670"/>
      <c r="Q731" s="670"/>
      <c r="R731" s="670"/>
      <c r="S731" s="670"/>
    </row>
    <row r="732" spans="1:19" s="220" customFormat="1">
      <c r="A732" s="913"/>
      <c r="B732" s="980"/>
      <c r="C732" s="903"/>
      <c r="D732" s="903"/>
      <c r="E732" s="903"/>
      <c r="F732" s="906"/>
      <c r="O732" s="670"/>
      <c r="Q732" s="670"/>
      <c r="R732" s="670"/>
      <c r="S732" s="670"/>
    </row>
    <row r="733" spans="1:19" s="220" customFormat="1">
      <c r="A733" s="913"/>
      <c r="B733" s="980"/>
      <c r="C733" s="903"/>
      <c r="D733" s="903"/>
      <c r="E733" s="903"/>
      <c r="F733" s="906"/>
      <c r="O733" s="670"/>
      <c r="Q733" s="670"/>
      <c r="R733" s="670"/>
      <c r="S733" s="670"/>
    </row>
    <row r="734" spans="1:19" s="220" customFormat="1">
      <c r="A734" s="913"/>
      <c r="B734" s="980"/>
      <c r="C734" s="903"/>
      <c r="D734" s="903"/>
      <c r="E734" s="903"/>
      <c r="F734" s="906"/>
      <c r="O734" s="670"/>
      <c r="Q734" s="670"/>
      <c r="R734" s="670"/>
      <c r="S734" s="670"/>
    </row>
    <row r="735" spans="1:19" s="220" customFormat="1">
      <c r="A735" s="913"/>
      <c r="B735" s="980"/>
      <c r="C735" s="903"/>
      <c r="D735" s="903"/>
      <c r="E735" s="903"/>
      <c r="F735" s="906"/>
      <c r="O735" s="670"/>
      <c r="Q735" s="670"/>
      <c r="R735" s="670"/>
      <c r="S735" s="670"/>
    </row>
    <row r="736" spans="1:19" s="220" customFormat="1" ht="13.5" thickBot="1">
      <c r="A736" s="913"/>
      <c r="B736" s="981"/>
      <c r="C736" s="904"/>
      <c r="D736" s="904"/>
      <c r="E736" s="904"/>
      <c r="F736" s="907"/>
      <c r="O736" s="670"/>
      <c r="Q736" s="670"/>
      <c r="R736" s="670"/>
      <c r="S736" s="670"/>
    </row>
    <row r="737" spans="1:19" s="220" customFormat="1" ht="13.5" thickBot="1">
      <c r="A737" s="913"/>
      <c r="B737" s="914"/>
      <c r="C737" s="351"/>
      <c r="D737" s="351"/>
      <c r="E737" s="351"/>
      <c r="F737" s="351"/>
      <c r="O737" s="670"/>
      <c r="Q737" s="670"/>
      <c r="R737" s="670"/>
      <c r="S737" s="670"/>
    </row>
    <row r="738" spans="1:19" s="220" customFormat="1" ht="75" customHeight="1" thickBot="1">
      <c r="A738" s="913"/>
      <c r="B738" s="1921" t="s">
        <v>15</v>
      </c>
      <c r="C738" s="1917" t="s">
        <v>28</v>
      </c>
      <c r="D738" s="1918" t="s">
        <v>35</v>
      </c>
      <c r="E738" s="1918" t="s">
        <v>599</v>
      </c>
      <c r="F738" s="1919" t="s">
        <v>665</v>
      </c>
      <c r="O738" s="670"/>
      <c r="Q738" s="670"/>
      <c r="R738" s="670"/>
      <c r="S738" s="670"/>
    </row>
    <row r="739" spans="1:19" s="220" customFormat="1">
      <c r="A739" s="913"/>
      <c r="B739" s="979"/>
      <c r="C739" s="908"/>
      <c r="D739" s="908"/>
      <c r="E739" s="908"/>
      <c r="F739" s="905"/>
      <c r="O739" s="670"/>
      <c r="Q739" s="670"/>
      <c r="R739" s="670"/>
      <c r="S739" s="670"/>
    </row>
    <row r="740" spans="1:19" s="220" customFormat="1">
      <c r="A740" s="913"/>
      <c r="B740" s="980"/>
      <c r="C740" s="903"/>
      <c r="D740" s="903"/>
      <c r="E740" s="903"/>
      <c r="F740" s="906"/>
      <c r="O740" s="670"/>
      <c r="Q740" s="670"/>
      <c r="R740" s="670"/>
      <c r="S740" s="670"/>
    </row>
    <row r="741" spans="1:19" s="220" customFormat="1">
      <c r="A741" s="913"/>
      <c r="B741" s="980"/>
      <c r="C741" s="903"/>
      <c r="D741" s="903"/>
      <c r="E741" s="903"/>
      <c r="F741" s="906"/>
      <c r="O741" s="670"/>
      <c r="Q741" s="670"/>
      <c r="R741" s="670"/>
      <c r="S741" s="670"/>
    </row>
    <row r="742" spans="1:19" s="220" customFormat="1">
      <c r="A742" s="913"/>
      <c r="B742" s="980"/>
      <c r="C742" s="903"/>
      <c r="D742" s="903"/>
      <c r="E742" s="903"/>
      <c r="F742" s="906"/>
      <c r="O742" s="670"/>
      <c r="Q742" s="670"/>
      <c r="R742" s="670"/>
      <c r="S742" s="670"/>
    </row>
    <row r="743" spans="1:19" s="220" customFormat="1">
      <c r="A743" s="913"/>
      <c r="B743" s="980"/>
      <c r="C743" s="903"/>
      <c r="D743" s="903"/>
      <c r="E743" s="903"/>
      <c r="F743" s="906"/>
      <c r="O743" s="670"/>
      <c r="Q743" s="670"/>
      <c r="R743" s="670"/>
      <c r="S743" s="670"/>
    </row>
    <row r="744" spans="1:19" s="220" customFormat="1">
      <c r="A744" s="913"/>
      <c r="B744" s="980"/>
      <c r="C744" s="903"/>
      <c r="D744" s="903"/>
      <c r="E744" s="903"/>
      <c r="F744" s="906"/>
      <c r="O744" s="670"/>
      <c r="Q744" s="670"/>
      <c r="R744" s="670"/>
      <c r="S744" s="670"/>
    </row>
    <row r="745" spans="1:19" s="220" customFormat="1">
      <c r="A745" s="913"/>
      <c r="B745" s="980"/>
      <c r="C745" s="903"/>
      <c r="D745" s="903"/>
      <c r="E745" s="903"/>
      <c r="F745" s="906"/>
      <c r="O745" s="670"/>
      <c r="Q745" s="670"/>
      <c r="R745" s="670"/>
      <c r="S745" s="670"/>
    </row>
    <row r="746" spans="1:19" s="220" customFormat="1">
      <c r="A746" s="913"/>
      <c r="B746" s="980"/>
      <c r="C746" s="903"/>
      <c r="D746" s="903"/>
      <c r="E746" s="903"/>
      <c r="F746" s="906"/>
      <c r="O746" s="670"/>
      <c r="Q746" s="670"/>
      <c r="R746" s="670"/>
      <c r="S746" s="670"/>
    </row>
    <row r="747" spans="1:19" s="220" customFormat="1">
      <c r="A747" s="913"/>
      <c r="B747" s="980"/>
      <c r="C747" s="903"/>
      <c r="D747" s="903"/>
      <c r="E747" s="903"/>
      <c r="F747" s="906"/>
      <c r="O747" s="670"/>
      <c r="Q747" s="670"/>
      <c r="R747" s="670"/>
      <c r="S747" s="670"/>
    </row>
    <row r="748" spans="1:19" s="220" customFormat="1">
      <c r="A748" s="913"/>
      <c r="B748" s="980"/>
      <c r="C748" s="903"/>
      <c r="D748" s="903"/>
      <c r="E748" s="903"/>
      <c r="F748" s="906"/>
      <c r="O748" s="670"/>
      <c r="Q748" s="670"/>
      <c r="R748" s="670"/>
      <c r="S748" s="670"/>
    </row>
    <row r="749" spans="1:19" s="220" customFormat="1">
      <c r="A749" s="913"/>
      <c r="B749" s="980"/>
      <c r="C749" s="903"/>
      <c r="D749" s="903"/>
      <c r="E749" s="903"/>
      <c r="F749" s="906"/>
      <c r="O749" s="670"/>
      <c r="Q749" s="670"/>
      <c r="R749" s="670"/>
      <c r="S749" s="670"/>
    </row>
    <row r="750" spans="1:19" s="220" customFormat="1">
      <c r="A750" s="913"/>
      <c r="B750" s="980"/>
      <c r="C750" s="903"/>
      <c r="D750" s="903"/>
      <c r="E750" s="903"/>
      <c r="F750" s="906"/>
      <c r="O750" s="670"/>
      <c r="Q750" s="670"/>
      <c r="R750" s="670"/>
      <c r="S750" s="670"/>
    </row>
    <row r="751" spans="1:19" s="220" customFormat="1">
      <c r="A751" s="913"/>
      <c r="B751" s="980"/>
      <c r="C751" s="903"/>
      <c r="D751" s="903"/>
      <c r="E751" s="903"/>
      <c r="F751" s="906"/>
      <c r="O751" s="670"/>
      <c r="Q751" s="670"/>
      <c r="R751" s="670"/>
      <c r="S751" s="670"/>
    </row>
    <row r="752" spans="1:19" s="220" customFormat="1">
      <c r="A752" s="913"/>
      <c r="B752" s="980"/>
      <c r="C752" s="903"/>
      <c r="D752" s="903"/>
      <c r="E752" s="903"/>
      <c r="F752" s="906"/>
      <c r="O752" s="670"/>
      <c r="Q752" s="670"/>
      <c r="R752" s="670"/>
      <c r="S752" s="670"/>
    </row>
    <row r="753" spans="1:19" s="220" customFormat="1">
      <c r="A753" s="913"/>
      <c r="B753" s="980"/>
      <c r="C753" s="903"/>
      <c r="D753" s="903"/>
      <c r="E753" s="903"/>
      <c r="F753" s="906"/>
      <c r="O753" s="670"/>
      <c r="Q753" s="670"/>
      <c r="R753" s="670"/>
      <c r="S753" s="670"/>
    </row>
    <row r="754" spans="1:19" s="220" customFormat="1">
      <c r="A754" s="913"/>
      <c r="B754" s="980"/>
      <c r="C754" s="903"/>
      <c r="D754" s="903"/>
      <c r="E754" s="903"/>
      <c r="F754" s="906"/>
      <c r="O754" s="670"/>
      <c r="Q754" s="670"/>
      <c r="R754" s="670"/>
      <c r="S754" s="670"/>
    </row>
    <row r="755" spans="1:19" s="220" customFormat="1">
      <c r="A755" s="913"/>
      <c r="B755" s="980"/>
      <c r="C755" s="903"/>
      <c r="D755" s="903"/>
      <c r="E755" s="903"/>
      <c r="F755" s="906"/>
      <c r="O755" s="670"/>
      <c r="Q755" s="670"/>
      <c r="R755" s="670"/>
      <c r="S755" s="670"/>
    </row>
    <row r="756" spans="1:19" s="220" customFormat="1">
      <c r="A756" s="913"/>
      <c r="B756" s="980"/>
      <c r="C756" s="903"/>
      <c r="D756" s="903"/>
      <c r="E756" s="903"/>
      <c r="F756" s="906"/>
      <c r="O756" s="670"/>
      <c r="Q756" s="670"/>
      <c r="R756" s="670"/>
      <c r="S756" s="670"/>
    </row>
    <row r="757" spans="1:19" s="220" customFormat="1">
      <c r="A757" s="913"/>
      <c r="B757" s="980"/>
      <c r="C757" s="903"/>
      <c r="D757" s="903"/>
      <c r="E757" s="903"/>
      <c r="F757" s="906"/>
      <c r="O757" s="670"/>
      <c r="Q757" s="670"/>
      <c r="R757" s="670"/>
      <c r="S757" s="670"/>
    </row>
    <row r="758" spans="1:19" s="220" customFormat="1" ht="13.5" thickBot="1">
      <c r="A758" s="913"/>
      <c r="B758" s="981"/>
      <c r="C758" s="904"/>
      <c r="D758" s="904"/>
      <c r="E758" s="904"/>
      <c r="F758" s="907"/>
      <c r="O758" s="670"/>
      <c r="Q758" s="670"/>
      <c r="R758" s="670"/>
      <c r="S758" s="670"/>
    </row>
    <row r="759" spans="1:19" s="220" customFormat="1" ht="13.5" thickBot="1">
      <c r="A759" s="913"/>
      <c r="B759" s="914"/>
      <c r="C759" s="351"/>
      <c r="D759" s="351"/>
      <c r="E759" s="351"/>
      <c r="F759" s="351"/>
      <c r="O759" s="670"/>
      <c r="Q759" s="670"/>
      <c r="R759" s="670"/>
      <c r="S759" s="670"/>
    </row>
    <row r="760" spans="1:19" s="220" customFormat="1" ht="75" customHeight="1" thickBot="1">
      <c r="A760" s="913"/>
      <c r="B760" s="1921" t="s">
        <v>15</v>
      </c>
      <c r="C760" s="1917" t="s">
        <v>28</v>
      </c>
      <c r="D760" s="1918" t="s">
        <v>35</v>
      </c>
      <c r="E760" s="1918" t="s">
        <v>599</v>
      </c>
      <c r="F760" s="1919" t="s">
        <v>665</v>
      </c>
      <c r="O760" s="670"/>
      <c r="Q760" s="670"/>
      <c r="R760" s="670"/>
      <c r="S760" s="670"/>
    </row>
    <row r="761" spans="1:19" s="220" customFormat="1">
      <c r="A761" s="913"/>
      <c r="B761" s="979"/>
      <c r="C761" s="908"/>
      <c r="D761" s="908"/>
      <c r="E761" s="908"/>
      <c r="F761" s="905"/>
      <c r="O761" s="670"/>
      <c r="Q761" s="670"/>
      <c r="R761" s="670"/>
      <c r="S761" s="670"/>
    </row>
    <row r="762" spans="1:19" s="220" customFormat="1">
      <c r="A762" s="913"/>
      <c r="B762" s="980"/>
      <c r="C762" s="903"/>
      <c r="D762" s="903"/>
      <c r="E762" s="903"/>
      <c r="F762" s="906"/>
      <c r="O762" s="670"/>
      <c r="Q762" s="670"/>
      <c r="R762" s="670"/>
      <c r="S762" s="670"/>
    </row>
    <row r="763" spans="1:19" s="220" customFormat="1">
      <c r="A763" s="913"/>
      <c r="B763" s="980"/>
      <c r="C763" s="903"/>
      <c r="D763" s="903"/>
      <c r="E763" s="903"/>
      <c r="F763" s="906"/>
      <c r="O763" s="670"/>
      <c r="Q763" s="670"/>
      <c r="R763" s="670"/>
      <c r="S763" s="670"/>
    </row>
    <row r="764" spans="1:19" s="220" customFormat="1">
      <c r="A764" s="913"/>
      <c r="B764" s="980"/>
      <c r="C764" s="903"/>
      <c r="D764" s="903"/>
      <c r="E764" s="903"/>
      <c r="F764" s="906"/>
      <c r="O764" s="670"/>
      <c r="Q764" s="670"/>
      <c r="R764" s="670"/>
      <c r="S764" s="670"/>
    </row>
    <row r="765" spans="1:19" s="220" customFormat="1">
      <c r="A765" s="913"/>
      <c r="B765" s="980"/>
      <c r="C765" s="903"/>
      <c r="D765" s="903"/>
      <c r="E765" s="903"/>
      <c r="F765" s="906"/>
      <c r="O765" s="670"/>
      <c r="Q765" s="670"/>
      <c r="R765" s="670"/>
      <c r="S765" s="670"/>
    </row>
    <row r="766" spans="1:19" s="220" customFormat="1">
      <c r="A766" s="913"/>
      <c r="B766" s="980"/>
      <c r="C766" s="903"/>
      <c r="D766" s="903"/>
      <c r="E766" s="903"/>
      <c r="F766" s="906"/>
      <c r="O766" s="670"/>
      <c r="Q766" s="670"/>
      <c r="R766" s="670"/>
      <c r="S766" s="670"/>
    </row>
    <row r="767" spans="1:19" s="220" customFormat="1">
      <c r="A767" s="913"/>
      <c r="B767" s="980"/>
      <c r="C767" s="903"/>
      <c r="D767" s="903"/>
      <c r="E767" s="903"/>
      <c r="F767" s="906"/>
      <c r="O767" s="670"/>
      <c r="Q767" s="670"/>
      <c r="R767" s="670"/>
      <c r="S767" s="670"/>
    </row>
    <row r="768" spans="1:19" s="220" customFormat="1">
      <c r="A768" s="913"/>
      <c r="B768" s="980"/>
      <c r="C768" s="903"/>
      <c r="D768" s="903"/>
      <c r="E768" s="903"/>
      <c r="F768" s="906"/>
      <c r="O768" s="670"/>
      <c r="Q768" s="670"/>
      <c r="R768" s="670"/>
      <c r="S768" s="670"/>
    </row>
    <row r="769" spans="1:19" s="220" customFormat="1">
      <c r="A769" s="913"/>
      <c r="B769" s="980"/>
      <c r="C769" s="903"/>
      <c r="D769" s="903"/>
      <c r="E769" s="903"/>
      <c r="F769" s="906"/>
      <c r="O769" s="670"/>
      <c r="Q769" s="670"/>
      <c r="R769" s="670"/>
      <c r="S769" s="670"/>
    </row>
    <row r="770" spans="1:19" s="220" customFormat="1">
      <c r="A770" s="913"/>
      <c r="B770" s="980"/>
      <c r="C770" s="903"/>
      <c r="D770" s="903"/>
      <c r="E770" s="903"/>
      <c r="F770" s="906"/>
      <c r="O770" s="670"/>
      <c r="Q770" s="670"/>
      <c r="R770" s="670"/>
      <c r="S770" s="670"/>
    </row>
    <row r="771" spans="1:19" s="220" customFormat="1">
      <c r="A771" s="913"/>
      <c r="B771" s="980"/>
      <c r="C771" s="903"/>
      <c r="D771" s="903"/>
      <c r="E771" s="903"/>
      <c r="F771" s="906"/>
      <c r="O771" s="670"/>
      <c r="Q771" s="670"/>
      <c r="R771" s="670"/>
      <c r="S771" s="670"/>
    </row>
    <row r="772" spans="1:19" s="220" customFormat="1">
      <c r="A772" s="913"/>
      <c r="B772" s="980"/>
      <c r="C772" s="903"/>
      <c r="D772" s="903"/>
      <c r="E772" s="903"/>
      <c r="F772" s="906"/>
      <c r="O772" s="670"/>
      <c r="Q772" s="670"/>
      <c r="R772" s="670"/>
      <c r="S772" s="670"/>
    </row>
    <row r="773" spans="1:19" s="220" customFormat="1">
      <c r="A773" s="913"/>
      <c r="B773" s="980"/>
      <c r="C773" s="903"/>
      <c r="D773" s="903"/>
      <c r="E773" s="903"/>
      <c r="F773" s="906"/>
      <c r="O773" s="670"/>
      <c r="Q773" s="670"/>
      <c r="R773" s="670"/>
      <c r="S773" s="670"/>
    </row>
    <row r="774" spans="1:19" s="220" customFormat="1">
      <c r="A774" s="913"/>
      <c r="B774" s="980"/>
      <c r="C774" s="903"/>
      <c r="D774" s="903"/>
      <c r="E774" s="903"/>
      <c r="F774" s="906"/>
      <c r="O774" s="670"/>
      <c r="Q774" s="670"/>
      <c r="R774" s="670"/>
      <c r="S774" s="670"/>
    </row>
    <row r="775" spans="1:19" s="220" customFormat="1">
      <c r="A775" s="913"/>
      <c r="B775" s="980"/>
      <c r="C775" s="903"/>
      <c r="D775" s="903"/>
      <c r="E775" s="903"/>
      <c r="F775" s="906"/>
      <c r="O775" s="670"/>
      <c r="Q775" s="670"/>
      <c r="R775" s="670"/>
      <c r="S775" s="670"/>
    </row>
    <row r="776" spans="1:19" s="220" customFormat="1">
      <c r="A776" s="913"/>
      <c r="B776" s="980"/>
      <c r="C776" s="903"/>
      <c r="D776" s="903"/>
      <c r="E776" s="903"/>
      <c r="F776" s="906"/>
      <c r="O776" s="670"/>
      <c r="Q776" s="670"/>
      <c r="R776" s="670"/>
      <c r="S776" s="670"/>
    </row>
    <row r="777" spans="1:19" s="220" customFormat="1">
      <c r="A777" s="913"/>
      <c r="B777" s="980"/>
      <c r="C777" s="903"/>
      <c r="D777" s="903"/>
      <c r="E777" s="903"/>
      <c r="F777" s="906"/>
      <c r="O777" s="670"/>
      <c r="Q777" s="670"/>
      <c r="R777" s="670"/>
      <c r="S777" s="670"/>
    </row>
    <row r="778" spans="1:19" s="220" customFormat="1">
      <c r="A778" s="913"/>
      <c r="B778" s="980"/>
      <c r="C778" s="903"/>
      <c r="D778" s="903"/>
      <c r="E778" s="903"/>
      <c r="F778" s="906"/>
      <c r="O778" s="670"/>
      <c r="Q778" s="670"/>
      <c r="R778" s="670"/>
      <c r="S778" s="670"/>
    </row>
    <row r="779" spans="1:19" s="220" customFormat="1">
      <c r="A779" s="913"/>
      <c r="B779" s="980"/>
      <c r="C779" s="903"/>
      <c r="D779" s="903"/>
      <c r="E779" s="903"/>
      <c r="F779" s="906"/>
      <c r="O779" s="670"/>
      <c r="Q779" s="670"/>
      <c r="R779" s="670"/>
      <c r="S779" s="670"/>
    </row>
    <row r="780" spans="1:19" s="220" customFormat="1" ht="13.5" thickBot="1">
      <c r="A780" s="913"/>
      <c r="B780" s="981"/>
      <c r="C780" s="904"/>
      <c r="D780" s="904"/>
      <c r="E780" s="904"/>
      <c r="F780" s="907"/>
      <c r="O780" s="670"/>
      <c r="Q780" s="670"/>
      <c r="R780" s="670"/>
      <c r="S780" s="670"/>
    </row>
    <row r="781" spans="1:19" s="220" customFormat="1" ht="15.75" thickBot="1">
      <c r="A781" s="913"/>
      <c r="B781" s="912"/>
      <c r="C781" s="264"/>
      <c r="D781" s="264"/>
      <c r="E781" s="264"/>
      <c r="F781" s="264"/>
      <c r="O781" s="670"/>
      <c r="Q781" s="670"/>
      <c r="R781" s="670"/>
      <c r="S781" s="670"/>
    </row>
    <row r="782" spans="1:19" s="220" customFormat="1" ht="75" customHeight="1" thickBot="1">
      <c r="A782" s="913"/>
      <c r="B782" s="1921" t="s">
        <v>15</v>
      </c>
      <c r="C782" s="1917" t="s">
        <v>28</v>
      </c>
      <c r="D782" s="1918" t="s">
        <v>35</v>
      </c>
      <c r="E782" s="1918" t="s">
        <v>599</v>
      </c>
      <c r="F782" s="1919" t="s">
        <v>665</v>
      </c>
      <c r="O782" s="670"/>
      <c r="Q782" s="670"/>
      <c r="R782" s="670"/>
      <c r="S782" s="670"/>
    </row>
    <row r="783" spans="1:19" s="220" customFormat="1">
      <c r="A783" s="913"/>
      <c r="B783" s="979"/>
      <c r="C783" s="908"/>
      <c r="D783" s="908"/>
      <c r="E783" s="908"/>
      <c r="F783" s="905"/>
      <c r="O783" s="670"/>
      <c r="Q783" s="670"/>
      <c r="R783" s="670"/>
      <c r="S783" s="670"/>
    </row>
    <row r="784" spans="1:19" s="220" customFormat="1">
      <c r="A784" s="913"/>
      <c r="B784" s="980"/>
      <c r="C784" s="903"/>
      <c r="D784" s="903"/>
      <c r="E784" s="903"/>
      <c r="F784" s="906"/>
      <c r="O784" s="670"/>
      <c r="Q784" s="670"/>
      <c r="R784" s="670"/>
      <c r="S784" s="670"/>
    </row>
    <row r="785" spans="1:19" s="220" customFormat="1">
      <c r="A785" s="913"/>
      <c r="B785" s="980"/>
      <c r="C785" s="903"/>
      <c r="D785" s="903"/>
      <c r="E785" s="903"/>
      <c r="F785" s="906"/>
      <c r="O785" s="670"/>
      <c r="Q785" s="670"/>
      <c r="R785" s="670"/>
      <c r="S785" s="670"/>
    </row>
    <row r="786" spans="1:19" s="220" customFormat="1">
      <c r="A786" s="913"/>
      <c r="B786" s="980"/>
      <c r="C786" s="903"/>
      <c r="D786" s="903"/>
      <c r="E786" s="903"/>
      <c r="F786" s="906"/>
      <c r="O786" s="670"/>
      <c r="Q786" s="670"/>
      <c r="R786" s="670"/>
      <c r="S786" s="670"/>
    </row>
    <row r="787" spans="1:19" s="220" customFormat="1">
      <c r="A787" s="913"/>
      <c r="B787" s="980"/>
      <c r="C787" s="903"/>
      <c r="D787" s="903"/>
      <c r="E787" s="903"/>
      <c r="F787" s="906"/>
      <c r="O787" s="670"/>
      <c r="Q787" s="670"/>
      <c r="R787" s="670"/>
      <c r="S787" s="670"/>
    </row>
    <row r="788" spans="1:19" s="220" customFormat="1">
      <c r="A788" s="913"/>
      <c r="B788" s="980"/>
      <c r="C788" s="903"/>
      <c r="D788" s="903"/>
      <c r="E788" s="903"/>
      <c r="F788" s="906"/>
      <c r="O788" s="670"/>
      <c r="Q788" s="670"/>
      <c r="R788" s="670"/>
      <c r="S788" s="670"/>
    </row>
    <row r="789" spans="1:19" s="220" customFormat="1">
      <c r="A789" s="913"/>
      <c r="B789" s="980"/>
      <c r="C789" s="903"/>
      <c r="D789" s="903"/>
      <c r="E789" s="903"/>
      <c r="F789" s="906"/>
      <c r="O789" s="670"/>
      <c r="Q789" s="670"/>
      <c r="R789" s="670"/>
      <c r="S789" s="670"/>
    </row>
    <row r="790" spans="1:19" s="220" customFormat="1">
      <c r="A790" s="913"/>
      <c r="B790" s="980"/>
      <c r="C790" s="903"/>
      <c r="D790" s="903"/>
      <c r="E790" s="903"/>
      <c r="F790" s="906"/>
      <c r="O790" s="670"/>
      <c r="Q790" s="670"/>
      <c r="R790" s="670"/>
      <c r="S790" s="670"/>
    </row>
    <row r="791" spans="1:19" s="220" customFormat="1">
      <c r="A791" s="913"/>
      <c r="B791" s="980"/>
      <c r="C791" s="903"/>
      <c r="D791" s="903"/>
      <c r="E791" s="903"/>
      <c r="F791" s="906"/>
      <c r="O791" s="670"/>
      <c r="Q791" s="670"/>
      <c r="R791" s="670"/>
      <c r="S791" s="670"/>
    </row>
    <row r="792" spans="1:19" s="220" customFormat="1">
      <c r="A792" s="913"/>
      <c r="B792" s="980"/>
      <c r="C792" s="903"/>
      <c r="D792" s="903"/>
      <c r="E792" s="903"/>
      <c r="F792" s="906"/>
      <c r="O792" s="670"/>
      <c r="Q792" s="670"/>
      <c r="R792" s="670"/>
      <c r="S792" s="670"/>
    </row>
    <row r="793" spans="1:19" s="220" customFormat="1">
      <c r="A793" s="913"/>
      <c r="B793" s="980"/>
      <c r="C793" s="903"/>
      <c r="D793" s="903"/>
      <c r="E793" s="903"/>
      <c r="F793" s="906"/>
      <c r="O793" s="670"/>
      <c r="Q793" s="670"/>
      <c r="R793" s="670"/>
      <c r="S793" s="670"/>
    </row>
    <row r="794" spans="1:19" s="220" customFormat="1">
      <c r="A794" s="913"/>
      <c r="B794" s="980"/>
      <c r="C794" s="903"/>
      <c r="D794" s="903"/>
      <c r="E794" s="903"/>
      <c r="F794" s="906"/>
      <c r="O794" s="670"/>
      <c r="Q794" s="670"/>
      <c r="R794" s="670"/>
      <c r="S794" s="670"/>
    </row>
    <row r="795" spans="1:19" s="220" customFormat="1">
      <c r="A795" s="913"/>
      <c r="B795" s="980"/>
      <c r="C795" s="903"/>
      <c r="D795" s="903"/>
      <c r="E795" s="903"/>
      <c r="F795" s="906"/>
      <c r="O795" s="670"/>
      <c r="Q795" s="670"/>
      <c r="R795" s="670"/>
      <c r="S795" s="670"/>
    </row>
    <row r="796" spans="1:19" s="220" customFormat="1">
      <c r="A796" s="913"/>
      <c r="B796" s="980"/>
      <c r="C796" s="903"/>
      <c r="D796" s="903"/>
      <c r="E796" s="903"/>
      <c r="F796" s="906"/>
      <c r="O796" s="670"/>
      <c r="Q796" s="670"/>
      <c r="R796" s="670"/>
      <c r="S796" s="670"/>
    </row>
    <row r="797" spans="1:19" s="220" customFormat="1">
      <c r="A797" s="913"/>
      <c r="B797" s="980"/>
      <c r="C797" s="903"/>
      <c r="D797" s="903"/>
      <c r="E797" s="903"/>
      <c r="F797" s="906"/>
      <c r="O797" s="670"/>
      <c r="Q797" s="670"/>
      <c r="R797" s="670"/>
      <c r="S797" s="670"/>
    </row>
    <row r="798" spans="1:19" s="220" customFormat="1">
      <c r="A798" s="913"/>
      <c r="B798" s="980"/>
      <c r="C798" s="903"/>
      <c r="D798" s="903"/>
      <c r="E798" s="903"/>
      <c r="F798" s="906"/>
      <c r="O798" s="670"/>
      <c r="Q798" s="670"/>
      <c r="R798" s="670"/>
      <c r="S798" s="670"/>
    </row>
    <row r="799" spans="1:19" s="220" customFormat="1">
      <c r="A799" s="913"/>
      <c r="B799" s="980"/>
      <c r="C799" s="903"/>
      <c r="D799" s="903"/>
      <c r="E799" s="903"/>
      <c r="F799" s="906"/>
      <c r="O799" s="670"/>
      <c r="Q799" s="670"/>
      <c r="R799" s="670"/>
      <c r="S799" s="670"/>
    </row>
    <row r="800" spans="1:19" s="220" customFormat="1">
      <c r="A800" s="913"/>
      <c r="B800" s="980"/>
      <c r="C800" s="903"/>
      <c r="D800" s="903"/>
      <c r="E800" s="903"/>
      <c r="F800" s="906"/>
      <c r="O800" s="670"/>
      <c r="Q800" s="670"/>
      <c r="R800" s="670"/>
      <c r="S800" s="670"/>
    </row>
    <row r="801" spans="1:19" s="220" customFormat="1">
      <c r="A801" s="913"/>
      <c r="B801" s="980"/>
      <c r="C801" s="903"/>
      <c r="D801" s="903"/>
      <c r="E801" s="903"/>
      <c r="F801" s="906"/>
      <c r="O801" s="670"/>
      <c r="Q801" s="670"/>
      <c r="R801" s="670"/>
      <c r="S801" s="670"/>
    </row>
    <row r="802" spans="1:19" s="220" customFormat="1" ht="13.5" thickBot="1">
      <c r="A802" s="913"/>
      <c r="B802" s="981"/>
      <c r="C802" s="904"/>
      <c r="D802" s="904"/>
      <c r="E802" s="904"/>
      <c r="F802" s="907"/>
      <c r="O802" s="670"/>
      <c r="Q802" s="670"/>
      <c r="R802" s="670"/>
      <c r="S802" s="670"/>
    </row>
    <row r="803" spans="1:19" s="220" customFormat="1" ht="15.75" thickBot="1">
      <c r="A803" s="913"/>
      <c r="B803" s="912"/>
      <c r="C803" s="264"/>
      <c r="D803" s="264"/>
      <c r="E803" s="264"/>
      <c r="F803" s="264"/>
      <c r="O803" s="670"/>
      <c r="Q803" s="670"/>
      <c r="R803" s="670"/>
      <c r="S803" s="670"/>
    </row>
    <row r="804" spans="1:19" s="220" customFormat="1" ht="75" customHeight="1" thickBot="1">
      <c r="A804" s="913"/>
      <c r="B804" s="1921" t="s">
        <v>15</v>
      </c>
      <c r="C804" s="1917" t="s">
        <v>28</v>
      </c>
      <c r="D804" s="1918" t="s">
        <v>35</v>
      </c>
      <c r="E804" s="1918" t="s">
        <v>599</v>
      </c>
      <c r="F804" s="1919" t="s">
        <v>665</v>
      </c>
      <c r="O804" s="670"/>
      <c r="Q804" s="670"/>
      <c r="R804" s="670"/>
      <c r="S804" s="670"/>
    </row>
    <row r="805" spans="1:19" s="220" customFormat="1">
      <c r="A805" s="913"/>
      <c r="B805" s="979"/>
      <c r="C805" s="908"/>
      <c r="D805" s="908"/>
      <c r="E805" s="908"/>
      <c r="F805" s="905"/>
      <c r="O805" s="670"/>
      <c r="Q805" s="670"/>
      <c r="R805" s="670"/>
      <c r="S805" s="670"/>
    </row>
    <row r="806" spans="1:19" s="220" customFormat="1">
      <c r="A806" s="913"/>
      <c r="B806" s="980"/>
      <c r="C806" s="903"/>
      <c r="D806" s="903"/>
      <c r="E806" s="903"/>
      <c r="F806" s="906"/>
      <c r="O806" s="670"/>
      <c r="Q806" s="670"/>
      <c r="R806" s="670"/>
      <c r="S806" s="670"/>
    </row>
    <row r="807" spans="1:19" s="220" customFormat="1">
      <c r="A807" s="913"/>
      <c r="B807" s="980"/>
      <c r="C807" s="903"/>
      <c r="D807" s="903"/>
      <c r="E807" s="903"/>
      <c r="F807" s="906"/>
      <c r="O807" s="670"/>
      <c r="Q807" s="670"/>
      <c r="R807" s="670"/>
      <c r="S807" s="670"/>
    </row>
    <row r="808" spans="1:19" s="220" customFormat="1">
      <c r="A808" s="913"/>
      <c r="B808" s="980"/>
      <c r="C808" s="903"/>
      <c r="D808" s="903"/>
      <c r="E808" s="903"/>
      <c r="F808" s="906"/>
      <c r="O808" s="670"/>
      <c r="Q808" s="670"/>
      <c r="R808" s="670"/>
      <c r="S808" s="670"/>
    </row>
    <row r="809" spans="1:19" s="220" customFormat="1">
      <c r="A809" s="913"/>
      <c r="B809" s="980"/>
      <c r="C809" s="903"/>
      <c r="D809" s="903"/>
      <c r="E809" s="903"/>
      <c r="F809" s="906"/>
      <c r="O809" s="670"/>
      <c r="Q809" s="670"/>
      <c r="R809" s="670"/>
      <c r="S809" s="670"/>
    </row>
    <row r="810" spans="1:19" s="220" customFormat="1">
      <c r="A810" s="913"/>
      <c r="B810" s="980"/>
      <c r="C810" s="903"/>
      <c r="D810" s="903"/>
      <c r="E810" s="903"/>
      <c r="F810" s="906"/>
      <c r="O810" s="670"/>
      <c r="Q810" s="670"/>
      <c r="R810" s="670"/>
      <c r="S810" s="670"/>
    </row>
    <row r="811" spans="1:19" s="220" customFormat="1">
      <c r="A811" s="913"/>
      <c r="B811" s="980"/>
      <c r="C811" s="903"/>
      <c r="D811" s="903"/>
      <c r="E811" s="903"/>
      <c r="F811" s="906"/>
      <c r="O811" s="670"/>
      <c r="Q811" s="670"/>
      <c r="R811" s="670"/>
      <c r="S811" s="670"/>
    </row>
    <row r="812" spans="1:19" s="220" customFormat="1">
      <c r="A812" s="913"/>
      <c r="B812" s="980"/>
      <c r="C812" s="903"/>
      <c r="D812" s="903"/>
      <c r="E812" s="903"/>
      <c r="F812" s="906"/>
      <c r="O812" s="670"/>
      <c r="Q812" s="670"/>
      <c r="R812" s="670"/>
      <c r="S812" s="670"/>
    </row>
    <row r="813" spans="1:19" s="220" customFormat="1">
      <c r="A813" s="913"/>
      <c r="B813" s="980"/>
      <c r="C813" s="903"/>
      <c r="D813" s="903"/>
      <c r="E813" s="903"/>
      <c r="F813" s="906"/>
      <c r="O813" s="670"/>
      <c r="Q813" s="670"/>
      <c r="R813" s="670"/>
      <c r="S813" s="670"/>
    </row>
    <row r="814" spans="1:19" s="220" customFormat="1">
      <c r="A814" s="913"/>
      <c r="B814" s="980"/>
      <c r="C814" s="903"/>
      <c r="D814" s="903"/>
      <c r="E814" s="903"/>
      <c r="F814" s="906"/>
      <c r="O814" s="670"/>
      <c r="Q814" s="670"/>
      <c r="R814" s="670"/>
      <c r="S814" s="670"/>
    </row>
    <row r="815" spans="1:19" s="220" customFormat="1">
      <c r="A815" s="913"/>
      <c r="B815" s="980"/>
      <c r="C815" s="903"/>
      <c r="D815" s="903"/>
      <c r="E815" s="903"/>
      <c r="F815" s="906"/>
      <c r="O815" s="670"/>
      <c r="Q815" s="670"/>
      <c r="R815" s="670"/>
      <c r="S815" s="670"/>
    </row>
    <row r="816" spans="1:19" s="220" customFormat="1">
      <c r="A816" s="913"/>
      <c r="B816" s="980"/>
      <c r="C816" s="903"/>
      <c r="D816" s="903"/>
      <c r="E816" s="903"/>
      <c r="F816" s="906"/>
      <c r="O816" s="670"/>
      <c r="Q816" s="670"/>
      <c r="R816" s="670"/>
      <c r="S816" s="670"/>
    </row>
    <row r="817" spans="1:19" s="220" customFormat="1">
      <c r="A817" s="913"/>
      <c r="B817" s="980"/>
      <c r="C817" s="903"/>
      <c r="D817" s="903"/>
      <c r="E817" s="903"/>
      <c r="F817" s="906"/>
      <c r="O817" s="670"/>
      <c r="Q817" s="670"/>
      <c r="R817" s="670"/>
      <c r="S817" s="670"/>
    </row>
    <row r="818" spans="1:19" s="220" customFormat="1">
      <c r="A818" s="913"/>
      <c r="B818" s="980"/>
      <c r="C818" s="903"/>
      <c r="D818" s="903"/>
      <c r="E818" s="903"/>
      <c r="F818" s="906"/>
      <c r="O818" s="670"/>
      <c r="Q818" s="670"/>
      <c r="R818" s="670"/>
      <c r="S818" s="670"/>
    </row>
    <row r="819" spans="1:19" s="220" customFormat="1">
      <c r="A819" s="913"/>
      <c r="B819" s="980"/>
      <c r="C819" s="903"/>
      <c r="D819" s="903"/>
      <c r="E819" s="903"/>
      <c r="F819" s="906"/>
      <c r="O819" s="670"/>
      <c r="Q819" s="670"/>
      <c r="R819" s="670"/>
      <c r="S819" s="670"/>
    </row>
    <row r="820" spans="1:19" s="220" customFormat="1">
      <c r="A820" s="913"/>
      <c r="B820" s="980"/>
      <c r="C820" s="903"/>
      <c r="D820" s="903"/>
      <c r="E820" s="903"/>
      <c r="F820" s="906"/>
      <c r="O820" s="670"/>
      <c r="Q820" s="670"/>
      <c r="R820" s="670"/>
      <c r="S820" s="670"/>
    </row>
    <row r="821" spans="1:19" s="220" customFormat="1">
      <c r="A821" s="913"/>
      <c r="B821" s="980"/>
      <c r="C821" s="903"/>
      <c r="D821" s="903"/>
      <c r="E821" s="903"/>
      <c r="F821" s="906"/>
      <c r="O821" s="670"/>
      <c r="Q821" s="670"/>
      <c r="R821" s="670"/>
      <c r="S821" s="670"/>
    </row>
    <row r="822" spans="1:19" s="220" customFormat="1">
      <c r="A822" s="913"/>
      <c r="B822" s="980"/>
      <c r="C822" s="903"/>
      <c r="D822" s="903"/>
      <c r="E822" s="903"/>
      <c r="F822" s="906"/>
      <c r="O822" s="670"/>
      <c r="Q822" s="670"/>
      <c r="R822" s="670"/>
      <c r="S822" s="670"/>
    </row>
    <row r="823" spans="1:19" s="220" customFormat="1">
      <c r="A823" s="913"/>
      <c r="B823" s="980"/>
      <c r="C823" s="903"/>
      <c r="D823" s="903"/>
      <c r="E823" s="903"/>
      <c r="F823" s="906"/>
      <c r="O823" s="670"/>
      <c r="Q823" s="670"/>
      <c r="R823" s="670"/>
      <c r="S823" s="670"/>
    </row>
    <row r="824" spans="1:19" s="220" customFormat="1" ht="13.5" thickBot="1">
      <c r="A824" s="913"/>
      <c r="B824" s="981"/>
      <c r="C824" s="904"/>
      <c r="D824" s="904"/>
      <c r="E824" s="904"/>
      <c r="F824" s="907"/>
      <c r="O824" s="670"/>
      <c r="Q824" s="670"/>
      <c r="R824" s="670"/>
      <c r="S824" s="670"/>
    </row>
    <row r="825" spans="1:19" s="220" customFormat="1" ht="13.5" thickBot="1">
      <c r="A825" s="913"/>
      <c r="B825" s="914"/>
      <c r="C825" s="351"/>
      <c r="D825" s="351"/>
      <c r="E825" s="351"/>
      <c r="F825" s="351"/>
      <c r="O825" s="670"/>
      <c r="Q825" s="670"/>
      <c r="R825" s="670"/>
      <c r="S825" s="670"/>
    </row>
    <row r="826" spans="1:19" s="220" customFormat="1" ht="75" customHeight="1" thickBot="1">
      <c r="A826" s="913"/>
      <c r="B826" s="1921" t="s">
        <v>15</v>
      </c>
      <c r="C826" s="1917" t="s">
        <v>28</v>
      </c>
      <c r="D826" s="1918" t="s">
        <v>35</v>
      </c>
      <c r="E826" s="1918" t="s">
        <v>599</v>
      </c>
      <c r="F826" s="1919" t="s">
        <v>665</v>
      </c>
      <c r="O826" s="670"/>
      <c r="Q826" s="670"/>
      <c r="R826" s="670"/>
      <c r="S826" s="670"/>
    </row>
    <row r="827" spans="1:19" s="220" customFormat="1">
      <c r="A827" s="913"/>
      <c r="B827" s="979"/>
      <c r="C827" s="908"/>
      <c r="D827" s="908"/>
      <c r="E827" s="908"/>
      <c r="F827" s="905"/>
      <c r="O827" s="670"/>
      <c r="Q827" s="670"/>
      <c r="R827" s="670"/>
      <c r="S827" s="670"/>
    </row>
    <row r="828" spans="1:19" s="220" customFormat="1">
      <c r="A828" s="913"/>
      <c r="B828" s="980"/>
      <c r="C828" s="903"/>
      <c r="D828" s="903"/>
      <c r="E828" s="903"/>
      <c r="F828" s="906"/>
      <c r="O828" s="670"/>
      <c r="Q828" s="670"/>
      <c r="R828" s="670"/>
      <c r="S828" s="670"/>
    </row>
    <row r="829" spans="1:19" s="220" customFormat="1">
      <c r="A829" s="913"/>
      <c r="B829" s="980"/>
      <c r="C829" s="903"/>
      <c r="D829" s="903"/>
      <c r="E829" s="903"/>
      <c r="F829" s="906"/>
      <c r="O829" s="670"/>
      <c r="Q829" s="670"/>
      <c r="R829" s="670"/>
      <c r="S829" s="670"/>
    </row>
    <row r="830" spans="1:19" s="220" customFormat="1">
      <c r="A830" s="913"/>
      <c r="B830" s="980"/>
      <c r="C830" s="903"/>
      <c r="D830" s="903"/>
      <c r="E830" s="903"/>
      <c r="F830" s="906"/>
      <c r="O830" s="670"/>
      <c r="Q830" s="670"/>
      <c r="R830" s="670"/>
      <c r="S830" s="670"/>
    </row>
    <row r="831" spans="1:19" s="220" customFormat="1">
      <c r="A831" s="913"/>
      <c r="B831" s="980"/>
      <c r="C831" s="903"/>
      <c r="D831" s="903"/>
      <c r="E831" s="903"/>
      <c r="F831" s="906"/>
      <c r="O831" s="670"/>
      <c r="Q831" s="670"/>
      <c r="R831" s="670"/>
      <c r="S831" s="670"/>
    </row>
    <row r="832" spans="1:19" s="220" customFormat="1">
      <c r="A832" s="913"/>
      <c r="B832" s="980"/>
      <c r="C832" s="903"/>
      <c r="D832" s="903"/>
      <c r="E832" s="903"/>
      <c r="F832" s="906"/>
      <c r="O832" s="670"/>
      <c r="Q832" s="670"/>
      <c r="R832" s="670"/>
      <c r="S832" s="670"/>
    </row>
    <row r="833" spans="1:19" s="220" customFormat="1">
      <c r="A833" s="913"/>
      <c r="B833" s="980"/>
      <c r="C833" s="903"/>
      <c r="D833" s="903"/>
      <c r="E833" s="903"/>
      <c r="F833" s="906"/>
      <c r="O833" s="670"/>
      <c r="Q833" s="670"/>
      <c r="R833" s="670"/>
      <c r="S833" s="670"/>
    </row>
    <row r="834" spans="1:19" s="220" customFormat="1">
      <c r="A834" s="913"/>
      <c r="B834" s="980"/>
      <c r="C834" s="903"/>
      <c r="D834" s="903"/>
      <c r="E834" s="903"/>
      <c r="F834" s="906"/>
      <c r="O834" s="670"/>
      <c r="Q834" s="670"/>
      <c r="R834" s="670"/>
      <c r="S834" s="670"/>
    </row>
    <row r="835" spans="1:19" s="220" customFormat="1">
      <c r="A835" s="913"/>
      <c r="B835" s="980"/>
      <c r="C835" s="903"/>
      <c r="D835" s="903"/>
      <c r="E835" s="903"/>
      <c r="F835" s="906"/>
      <c r="O835" s="670"/>
      <c r="Q835" s="670"/>
      <c r="R835" s="670"/>
      <c r="S835" s="670"/>
    </row>
    <row r="836" spans="1:19" s="220" customFormat="1">
      <c r="A836" s="913"/>
      <c r="B836" s="980"/>
      <c r="C836" s="903"/>
      <c r="D836" s="903"/>
      <c r="E836" s="903"/>
      <c r="F836" s="906"/>
      <c r="O836" s="670"/>
      <c r="Q836" s="670"/>
      <c r="R836" s="670"/>
      <c r="S836" s="670"/>
    </row>
    <row r="837" spans="1:19" s="220" customFormat="1">
      <c r="A837" s="913"/>
      <c r="B837" s="980"/>
      <c r="C837" s="903"/>
      <c r="D837" s="903"/>
      <c r="E837" s="903"/>
      <c r="F837" s="906"/>
      <c r="O837" s="670"/>
      <c r="Q837" s="670"/>
      <c r="R837" s="670"/>
      <c r="S837" s="670"/>
    </row>
    <row r="838" spans="1:19" s="220" customFormat="1">
      <c r="A838" s="913"/>
      <c r="B838" s="980"/>
      <c r="C838" s="903"/>
      <c r="D838" s="903"/>
      <c r="E838" s="903"/>
      <c r="F838" s="906"/>
      <c r="O838" s="670"/>
      <c r="Q838" s="670"/>
      <c r="R838" s="670"/>
      <c r="S838" s="670"/>
    </row>
    <row r="839" spans="1:19" s="220" customFormat="1">
      <c r="A839" s="913"/>
      <c r="B839" s="980"/>
      <c r="C839" s="903"/>
      <c r="D839" s="903"/>
      <c r="E839" s="903"/>
      <c r="F839" s="906"/>
      <c r="O839" s="670"/>
      <c r="Q839" s="670"/>
      <c r="R839" s="670"/>
      <c r="S839" s="670"/>
    </row>
    <row r="840" spans="1:19" s="220" customFormat="1">
      <c r="A840" s="913"/>
      <c r="B840" s="980"/>
      <c r="C840" s="903"/>
      <c r="D840" s="903"/>
      <c r="E840" s="903"/>
      <c r="F840" s="906"/>
      <c r="O840" s="670"/>
      <c r="Q840" s="670"/>
      <c r="R840" s="670"/>
      <c r="S840" s="670"/>
    </row>
    <row r="841" spans="1:19" s="220" customFormat="1">
      <c r="A841" s="913"/>
      <c r="B841" s="980"/>
      <c r="C841" s="903"/>
      <c r="D841" s="903"/>
      <c r="E841" s="903"/>
      <c r="F841" s="906"/>
      <c r="O841" s="670"/>
      <c r="Q841" s="670"/>
      <c r="R841" s="670"/>
      <c r="S841" s="670"/>
    </row>
    <row r="842" spans="1:19" s="220" customFormat="1">
      <c r="A842" s="913"/>
      <c r="B842" s="980"/>
      <c r="C842" s="903"/>
      <c r="D842" s="903"/>
      <c r="E842" s="903"/>
      <c r="F842" s="906"/>
      <c r="O842" s="670"/>
      <c r="Q842" s="670"/>
      <c r="R842" s="670"/>
      <c r="S842" s="670"/>
    </row>
    <row r="843" spans="1:19" s="220" customFormat="1">
      <c r="A843" s="913"/>
      <c r="B843" s="980"/>
      <c r="C843" s="903"/>
      <c r="D843" s="903"/>
      <c r="E843" s="903"/>
      <c r="F843" s="906"/>
      <c r="O843" s="670"/>
      <c r="Q843" s="670"/>
      <c r="R843" s="670"/>
      <c r="S843" s="670"/>
    </row>
    <row r="844" spans="1:19" s="220" customFormat="1">
      <c r="A844" s="913"/>
      <c r="B844" s="980"/>
      <c r="C844" s="903"/>
      <c r="D844" s="903"/>
      <c r="E844" s="903"/>
      <c r="F844" s="906"/>
      <c r="O844" s="670"/>
      <c r="Q844" s="670"/>
      <c r="R844" s="670"/>
      <c r="S844" s="670"/>
    </row>
    <row r="845" spans="1:19" s="220" customFormat="1">
      <c r="A845" s="913"/>
      <c r="B845" s="980"/>
      <c r="C845" s="903"/>
      <c r="D845" s="903"/>
      <c r="E845" s="903"/>
      <c r="F845" s="906"/>
      <c r="O845" s="670"/>
      <c r="Q845" s="670"/>
      <c r="R845" s="670"/>
      <c r="S845" s="670"/>
    </row>
    <row r="846" spans="1:19" s="220" customFormat="1" ht="13.5" thickBot="1">
      <c r="A846" s="913"/>
      <c r="B846" s="981"/>
      <c r="C846" s="904"/>
      <c r="D846" s="904"/>
      <c r="E846" s="904"/>
      <c r="F846" s="907"/>
      <c r="O846" s="670"/>
      <c r="Q846" s="670"/>
      <c r="R846" s="670"/>
      <c r="S846" s="670"/>
    </row>
    <row r="847" spans="1:19" s="220" customFormat="1" ht="15.75" thickBot="1">
      <c r="A847" s="913"/>
      <c r="B847" s="912"/>
      <c r="C847" s="264"/>
      <c r="D847" s="264"/>
      <c r="E847" s="264"/>
      <c r="F847" s="264"/>
      <c r="O847" s="670"/>
      <c r="Q847" s="670"/>
      <c r="R847" s="670"/>
      <c r="S847" s="670"/>
    </row>
    <row r="848" spans="1:19" s="220" customFormat="1" ht="75" customHeight="1" thickBot="1">
      <c r="A848" s="913"/>
      <c r="B848" s="1921" t="s">
        <v>15</v>
      </c>
      <c r="C848" s="1917" t="s">
        <v>28</v>
      </c>
      <c r="D848" s="1918" t="s">
        <v>35</v>
      </c>
      <c r="E848" s="1918" t="s">
        <v>599</v>
      </c>
      <c r="F848" s="1919" t="s">
        <v>665</v>
      </c>
      <c r="O848" s="670"/>
      <c r="Q848" s="670"/>
      <c r="R848" s="670"/>
      <c r="S848" s="670"/>
    </row>
    <row r="849" spans="1:19" s="220" customFormat="1">
      <c r="A849" s="913"/>
      <c r="B849" s="979"/>
      <c r="C849" s="908"/>
      <c r="D849" s="908"/>
      <c r="E849" s="908"/>
      <c r="F849" s="905"/>
      <c r="O849" s="670"/>
      <c r="Q849" s="670"/>
      <c r="R849" s="670"/>
      <c r="S849" s="670"/>
    </row>
    <row r="850" spans="1:19" s="220" customFormat="1">
      <c r="A850" s="913"/>
      <c r="B850" s="980"/>
      <c r="C850" s="903"/>
      <c r="D850" s="903"/>
      <c r="E850" s="903"/>
      <c r="F850" s="906"/>
      <c r="O850" s="670"/>
      <c r="Q850" s="670"/>
      <c r="R850" s="670"/>
      <c r="S850" s="670"/>
    </row>
    <row r="851" spans="1:19" s="220" customFormat="1">
      <c r="A851" s="913"/>
      <c r="B851" s="980"/>
      <c r="C851" s="903"/>
      <c r="D851" s="903"/>
      <c r="E851" s="903"/>
      <c r="F851" s="906"/>
      <c r="O851" s="670"/>
      <c r="Q851" s="670"/>
      <c r="R851" s="670"/>
      <c r="S851" s="670"/>
    </row>
    <row r="852" spans="1:19" s="220" customFormat="1">
      <c r="A852" s="913"/>
      <c r="B852" s="980"/>
      <c r="C852" s="903"/>
      <c r="D852" s="903"/>
      <c r="E852" s="903"/>
      <c r="F852" s="906"/>
      <c r="O852" s="670"/>
      <c r="Q852" s="670"/>
      <c r="R852" s="670"/>
      <c r="S852" s="670"/>
    </row>
    <row r="853" spans="1:19" s="220" customFormat="1">
      <c r="A853" s="913"/>
      <c r="B853" s="980"/>
      <c r="C853" s="903"/>
      <c r="D853" s="903"/>
      <c r="E853" s="903"/>
      <c r="F853" s="906"/>
      <c r="O853" s="670"/>
      <c r="Q853" s="670"/>
      <c r="R853" s="670"/>
      <c r="S853" s="670"/>
    </row>
    <row r="854" spans="1:19" s="220" customFormat="1">
      <c r="A854" s="913"/>
      <c r="B854" s="980"/>
      <c r="C854" s="903"/>
      <c r="D854" s="903"/>
      <c r="E854" s="903"/>
      <c r="F854" s="906"/>
      <c r="O854" s="670"/>
      <c r="Q854" s="670"/>
      <c r="R854" s="670"/>
      <c r="S854" s="670"/>
    </row>
    <row r="855" spans="1:19" s="220" customFormat="1">
      <c r="A855" s="913"/>
      <c r="B855" s="980"/>
      <c r="C855" s="903"/>
      <c r="D855" s="903"/>
      <c r="E855" s="903"/>
      <c r="F855" s="906"/>
      <c r="O855" s="670"/>
      <c r="Q855" s="670"/>
      <c r="R855" s="670"/>
      <c r="S855" s="670"/>
    </row>
    <row r="856" spans="1:19" s="220" customFormat="1">
      <c r="A856" s="913"/>
      <c r="B856" s="980"/>
      <c r="C856" s="903"/>
      <c r="D856" s="903"/>
      <c r="E856" s="903"/>
      <c r="F856" s="906"/>
      <c r="O856" s="670"/>
      <c r="Q856" s="670"/>
      <c r="R856" s="670"/>
      <c r="S856" s="670"/>
    </row>
    <row r="857" spans="1:19" s="220" customFormat="1">
      <c r="A857" s="913"/>
      <c r="B857" s="980"/>
      <c r="C857" s="903"/>
      <c r="D857" s="903"/>
      <c r="E857" s="903"/>
      <c r="F857" s="906"/>
      <c r="O857" s="670"/>
      <c r="Q857" s="670"/>
      <c r="R857" s="670"/>
      <c r="S857" s="670"/>
    </row>
    <row r="858" spans="1:19" s="220" customFormat="1">
      <c r="A858" s="913"/>
      <c r="B858" s="980"/>
      <c r="C858" s="903"/>
      <c r="D858" s="903"/>
      <c r="E858" s="903"/>
      <c r="F858" s="906"/>
      <c r="O858" s="670"/>
      <c r="Q858" s="670"/>
      <c r="R858" s="670"/>
      <c r="S858" s="670"/>
    </row>
    <row r="859" spans="1:19" s="220" customFormat="1">
      <c r="A859" s="913"/>
      <c r="B859" s="980"/>
      <c r="C859" s="903"/>
      <c r="D859" s="903"/>
      <c r="E859" s="903"/>
      <c r="F859" s="906"/>
      <c r="O859" s="670"/>
      <c r="Q859" s="670"/>
      <c r="R859" s="670"/>
      <c r="S859" s="670"/>
    </row>
    <row r="860" spans="1:19" s="220" customFormat="1">
      <c r="A860" s="913"/>
      <c r="B860" s="980"/>
      <c r="C860" s="903"/>
      <c r="D860" s="903"/>
      <c r="E860" s="903"/>
      <c r="F860" s="906"/>
      <c r="O860" s="670"/>
      <c r="Q860" s="670"/>
      <c r="R860" s="670"/>
      <c r="S860" s="670"/>
    </row>
    <row r="861" spans="1:19" s="220" customFormat="1">
      <c r="A861" s="913"/>
      <c r="B861" s="980"/>
      <c r="C861" s="903"/>
      <c r="D861" s="903"/>
      <c r="E861" s="903"/>
      <c r="F861" s="906"/>
      <c r="O861" s="670"/>
      <c r="Q861" s="670"/>
      <c r="R861" s="670"/>
      <c r="S861" s="670"/>
    </row>
    <row r="862" spans="1:19" s="220" customFormat="1">
      <c r="A862" s="913"/>
      <c r="B862" s="980"/>
      <c r="C862" s="903"/>
      <c r="D862" s="903"/>
      <c r="E862" s="903"/>
      <c r="F862" s="906"/>
      <c r="O862" s="670"/>
      <c r="Q862" s="670"/>
      <c r="R862" s="670"/>
      <c r="S862" s="670"/>
    </row>
    <row r="863" spans="1:19" s="220" customFormat="1">
      <c r="A863" s="913"/>
      <c r="B863" s="980"/>
      <c r="C863" s="903"/>
      <c r="D863" s="903"/>
      <c r="E863" s="903"/>
      <c r="F863" s="906"/>
      <c r="O863" s="670"/>
      <c r="Q863" s="670"/>
      <c r="R863" s="670"/>
      <c r="S863" s="670"/>
    </row>
    <row r="864" spans="1:19" s="220" customFormat="1">
      <c r="A864" s="913"/>
      <c r="B864" s="980"/>
      <c r="C864" s="903"/>
      <c r="D864" s="903"/>
      <c r="E864" s="903"/>
      <c r="F864" s="906"/>
      <c r="O864" s="670"/>
      <c r="Q864" s="670"/>
      <c r="R864" s="670"/>
      <c r="S864" s="670"/>
    </row>
    <row r="865" spans="1:19" s="220" customFormat="1">
      <c r="A865" s="913"/>
      <c r="B865" s="980"/>
      <c r="C865" s="903"/>
      <c r="D865" s="903"/>
      <c r="E865" s="903"/>
      <c r="F865" s="906"/>
      <c r="O865" s="670"/>
      <c r="Q865" s="670"/>
      <c r="R865" s="670"/>
      <c r="S865" s="670"/>
    </row>
    <row r="866" spans="1:19" s="220" customFormat="1">
      <c r="A866" s="913"/>
      <c r="B866" s="980"/>
      <c r="C866" s="903"/>
      <c r="D866" s="903"/>
      <c r="E866" s="903"/>
      <c r="F866" s="906"/>
      <c r="O866" s="670"/>
      <c r="Q866" s="670"/>
      <c r="R866" s="670"/>
      <c r="S866" s="670"/>
    </row>
    <row r="867" spans="1:19" s="220" customFormat="1">
      <c r="A867" s="913"/>
      <c r="B867" s="980"/>
      <c r="C867" s="903"/>
      <c r="D867" s="903"/>
      <c r="E867" s="903"/>
      <c r="F867" s="906"/>
      <c r="O867" s="670"/>
      <c r="Q867" s="670"/>
      <c r="R867" s="670"/>
      <c r="S867" s="670"/>
    </row>
    <row r="868" spans="1:19" s="220" customFormat="1" ht="13.5" thickBot="1">
      <c r="A868" s="913"/>
      <c r="B868" s="981"/>
      <c r="C868" s="904"/>
      <c r="D868" s="904"/>
      <c r="E868" s="904"/>
      <c r="F868" s="907"/>
      <c r="O868" s="670"/>
      <c r="Q868" s="670"/>
      <c r="R868" s="670"/>
      <c r="S868" s="670"/>
    </row>
    <row r="869" spans="1:19" s="220" customFormat="1" ht="15.75" thickBot="1">
      <c r="A869" s="913"/>
      <c r="B869" s="912"/>
      <c r="C869" s="264"/>
      <c r="D869" s="264"/>
      <c r="E869" s="264"/>
      <c r="F869" s="264"/>
      <c r="O869" s="670"/>
      <c r="Q869" s="670"/>
      <c r="R869" s="670"/>
      <c r="S869" s="670"/>
    </row>
    <row r="870" spans="1:19" s="927" customFormat="1" ht="75" customHeight="1" thickBot="1">
      <c r="A870" s="928"/>
      <c r="B870" s="1921" t="s">
        <v>15</v>
      </c>
      <c r="C870" s="1917" t="s">
        <v>28</v>
      </c>
      <c r="D870" s="1918" t="s">
        <v>35</v>
      </c>
      <c r="E870" s="1918" t="s">
        <v>599</v>
      </c>
      <c r="F870" s="1919" t="s">
        <v>665</v>
      </c>
      <c r="O870" s="947"/>
      <c r="Q870" s="947"/>
      <c r="R870" s="947"/>
      <c r="S870" s="947"/>
    </row>
    <row r="871" spans="1:19" s="220" customFormat="1">
      <c r="A871" s="913"/>
      <c r="B871" s="979"/>
      <c r="C871" s="908"/>
      <c r="D871" s="908"/>
      <c r="E871" s="908"/>
      <c r="F871" s="905"/>
      <c r="O871" s="670"/>
      <c r="Q871" s="670"/>
      <c r="R871" s="670"/>
      <c r="S871" s="670"/>
    </row>
    <row r="872" spans="1:19" s="220" customFormat="1">
      <c r="A872" s="913"/>
      <c r="B872" s="980"/>
      <c r="C872" s="903"/>
      <c r="D872" s="903"/>
      <c r="E872" s="903"/>
      <c r="F872" s="906"/>
      <c r="O872" s="670"/>
      <c r="Q872" s="670"/>
      <c r="R872" s="670"/>
      <c r="S872" s="670"/>
    </row>
    <row r="873" spans="1:19" s="220" customFormat="1">
      <c r="A873" s="913"/>
      <c r="B873" s="980"/>
      <c r="C873" s="903"/>
      <c r="D873" s="903"/>
      <c r="E873" s="903"/>
      <c r="F873" s="906"/>
      <c r="O873" s="670"/>
      <c r="Q873" s="670"/>
      <c r="R873" s="670"/>
      <c r="S873" s="670"/>
    </row>
    <row r="874" spans="1:19" s="220" customFormat="1">
      <c r="A874" s="913"/>
      <c r="B874" s="980"/>
      <c r="C874" s="903"/>
      <c r="D874" s="903"/>
      <c r="E874" s="903"/>
      <c r="F874" s="906"/>
      <c r="O874" s="670"/>
      <c r="Q874" s="670"/>
      <c r="R874" s="670"/>
      <c r="S874" s="670"/>
    </row>
    <row r="875" spans="1:19" s="220" customFormat="1">
      <c r="A875" s="913"/>
      <c r="B875" s="980"/>
      <c r="C875" s="903"/>
      <c r="D875" s="903"/>
      <c r="E875" s="903"/>
      <c r="F875" s="906"/>
      <c r="O875" s="670"/>
      <c r="Q875" s="670"/>
      <c r="R875" s="670"/>
      <c r="S875" s="670"/>
    </row>
    <row r="876" spans="1:19" s="220" customFormat="1">
      <c r="A876" s="913"/>
      <c r="B876" s="980"/>
      <c r="C876" s="903"/>
      <c r="D876" s="903"/>
      <c r="E876" s="903"/>
      <c r="F876" s="906"/>
      <c r="O876" s="670"/>
      <c r="Q876" s="670"/>
      <c r="R876" s="670"/>
      <c r="S876" s="670"/>
    </row>
    <row r="877" spans="1:19" s="220" customFormat="1">
      <c r="A877" s="913"/>
      <c r="B877" s="980"/>
      <c r="C877" s="903"/>
      <c r="D877" s="903"/>
      <c r="E877" s="903"/>
      <c r="F877" s="906"/>
      <c r="O877" s="670"/>
      <c r="Q877" s="670"/>
      <c r="R877" s="670"/>
      <c r="S877" s="670"/>
    </row>
    <row r="878" spans="1:19" s="220" customFormat="1">
      <c r="A878" s="913"/>
      <c r="B878" s="980"/>
      <c r="C878" s="903"/>
      <c r="D878" s="903"/>
      <c r="E878" s="903"/>
      <c r="F878" s="906"/>
      <c r="O878" s="670"/>
      <c r="Q878" s="670"/>
      <c r="R878" s="670"/>
      <c r="S878" s="670"/>
    </row>
    <row r="879" spans="1:19" s="220" customFormat="1">
      <c r="A879" s="913"/>
      <c r="B879" s="980"/>
      <c r="C879" s="903"/>
      <c r="D879" s="903"/>
      <c r="E879" s="903"/>
      <c r="F879" s="906"/>
      <c r="O879" s="670"/>
      <c r="Q879" s="670"/>
      <c r="R879" s="670"/>
      <c r="S879" s="670"/>
    </row>
    <row r="880" spans="1:19" s="220" customFormat="1">
      <c r="A880" s="913"/>
      <c r="B880" s="980"/>
      <c r="C880" s="903"/>
      <c r="D880" s="903"/>
      <c r="E880" s="903"/>
      <c r="F880" s="906"/>
      <c r="O880" s="670"/>
      <c r="Q880" s="670"/>
      <c r="R880" s="670"/>
      <c r="S880" s="670"/>
    </row>
    <row r="881" spans="1:31" s="220" customFormat="1">
      <c r="A881" s="913"/>
      <c r="B881" s="980"/>
      <c r="C881" s="903"/>
      <c r="D881" s="903"/>
      <c r="E881" s="903"/>
      <c r="F881" s="906"/>
      <c r="O881" s="670"/>
      <c r="Q881" s="670"/>
      <c r="R881" s="670"/>
      <c r="S881" s="670"/>
    </row>
    <row r="882" spans="1:31" s="220" customFormat="1">
      <c r="A882" s="913"/>
      <c r="B882" s="980"/>
      <c r="C882" s="903"/>
      <c r="D882" s="903"/>
      <c r="E882" s="903"/>
      <c r="F882" s="906"/>
      <c r="O882" s="670"/>
      <c r="Q882" s="670"/>
      <c r="R882" s="670"/>
      <c r="S882" s="670"/>
    </row>
    <row r="883" spans="1:31" s="220" customFormat="1">
      <c r="A883" s="913"/>
      <c r="B883" s="980"/>
      <c r="C883" s="903"/>
      <c r="D883" s="903"/>
      <c r="E883" s="903"/>
      <c r="F883" s="906"/>
      <c r="O883" s="670"/>
      <c r="Q883" s="670"/>
      <c r="R883" s="670"/>
      <c r="S883" s="670"/>
    </row>
    <row r="884" spans="1:31" s="220" customFormat="1">
      <c r="A884" s="913"/>
      <c r="B884" s="980"/>
      <c r="C884" s="903"/>
      <c r="D884" s="903"/>
      <c r="E884" s="903"/>
      <c r="F884" s="906"/>
      <c r="O884" s="670"/>
      <c r="Q884" s="670"/>
      <c r="R884" s="670"/>
      <c r="S884" s="670"/>
    </row>
    <row r="885" spans="1:31" s="220" customFormat="1">
      <c r="A885" s="913"/>
      <c r="B885" s="980"/>
      <c r="C885" s="903"/>
      <c r="D885" s="903"/>
      <c r="E885" s="903"/>
      <c r="F885" s="906"/>
      <c r="O885" s="670"/>
      <c r="Q885" s="670"/>
      <c r="R885" s="670"/>
      <c r="S885" s="670"/>
    </row>
    <row r="886" spans="1:31" s="220" customFormat="1">
      <c r="A886" s="913"/>
      <c r="B886" s="980"/>
      <c r="C886" s="903"/>
      <c r="D886" s="903"/>
      <c r="E886" s="903"/>
      <c r="F886" s="906"/>
      <c r="O886" s="670"/>
      <c r="Q886" s="670"/>
      <c r="R886" s="670"/>
      <c r="S886" s="670"/>
    </row>
    <row r="887" spans="1:31" s="220" customFormat="1">
      <c r="A887" s="913"/>
      <c r="B887" s="980"/>
      <c r="C887" s="903"/>
      <c r="D887" s="903"/>
      <c r="E887" s="903"/>
      <c r="F887" s="906"/>
      <c r="O887" s="670"/>
      <c r="Q887" s="670"/>
      <c r="R887" s="670"/>
      <c r="S887" s="670"/>
    </row>
    <row r="888" spans="1:31" s="220" customFormat="1">
      <c r="A888" s="913"/>
      <c r="B888" s="980"/>
      <c r="C888" s="903"/>
      <c r="D888" s="903"/>
      <c r="E888" s="903"/>
      <c r="F888" s="906"/>
      <c r="O888" s="670"/>
      <c r="Q888" s="670"/>
      <c r="R888" s="670"/>
      <c r="S888" s="670"/>
    </row>
    <row r="889" spans="1:31" s="220" customFormat="1">
      <c r="A889" s="913"/>
      <c r="B889" s="980"/>
      <c r="C889" s="903"/>
      <c r="D889" s="903"/>
      <c r="E889" s="903"/>
      <c r="F889" s="906"/>
      <c r="O889" s="670"/>
      <c r="Q889" s="670"/>
      <c r="R889" s="670"/>
      <c r="S889" s="670"/>
    </row>
    <row r="890" spans="1:31" s="220" customFormat="1" ht="13.5" thickBot="1">
      <c r="A890" s="913"/>
      <c r="B890" s="981"/>
      <c r="C890" s="904"/>
      <c r="D890" s="904"/>
      <c r="E890" s="904"/>
      <c r="F890" s="907"/>
      <c r="O890" s="670"/>
      <c r="Q890" s="670"/>
      <c r="R890" s="670"/>
      <c r="S890" s="670"/>
    </row>
    <row r="891" spans="1:31" s="220" customFormat="1" ht="15">
      <c r="A891" s="913"/>
      <c r="B891" s="912"/>
      <c r="C891" s="264"/>
      <c r="D891" s="264"/>
      <c r="E891" s="264"/>
      <c r="F891" s="264"/>
      <c r="O891" s="670"/>
      <c r="Q891" s="670"/>
      <c r="R891" s="670"/>
      <c r="S891" s="670"/>
    </row>
    <row r="892" spans="1:31" s="228" customFormat="1" ht="15" customHeight="1">
      <c r="A892" s="251"/>
      <c r="B892" s="205"/>
      <c r="C892" s="278"/>
      <c r="D892" s="205"/>
      <c r="E892" s="205"/>
      <c r="F892" s="278"/>
      <c r="G892" s="278"/>
      <c r="H892" s="278"/>
      <c r="I892" s="278"/>
      <c r="J892" s="278"/>
      <c r="K892" s="278"/>
      <c r="L892" s="278"/>
      <c r="M892" s="278"/>
      <c r="N892" s="255"/>
      <c r="O892" s="276"/>
      <c r="P892" s="276"/>
      <c r="AA892" s="239"/>
      <c r="AD892" s="239"/>
      <c r="AE892" s="239"/>
    </row>
    <row r="893" spans="1:31" s="226" customFormat="1" ht="15" customHeight="1">
      <c r="A893" s="235"/>
      <c r="B893" s="205" t="s">
        <v>130</v>
      </c>
      <c r="C893" s="205"/>
      <c r="D893" s="205"/>
      <c r="E893" s="205"/>
      <c r="F893" s="205"/>
      <c r="G893" s="205"/>
      <c r="H893" s="205"/>
      <c r="I893" s="205"/>
      <c r="J893" s="205"/>
      <c r="K893" s="205"/>
      <c r="L893" s="205"/>
      <c r="M893" s="205"/>
      <c r="N893" s="205"/>
      <c r="O893" s="276"/>
      <c r="P893" s="276"/>
      <c r="AA893" s="239"/>
      <c r="AB893" s="239"/>
    </row>
    <row r="894" spans="1:31" s="226" customFormat="1" ht="15" customHeight="1" thickBot="1">
      <c r="A894" s="235"/>
      <c r="B894" s="205"/>
      <c r="C894" s="205"/>
      <c r="D894" s="205"/>
      <c r="E894" s="205"/>
      <c r="F894" s="205"/>
      <c r="G894" s="205"/>
      <c r="H894" s="205"/>
      <c r="I894" s="205"/>
      <c r="J894" s="205"/>
      <c r="K894" s="205"/>
      <c r="L894" s="205"/>
      <c r="M894" s="205"/>
      <c r="N894" s="205"/>
      <c r="O894" s="205"/>
      <c r="P894" s="205"/>
      <c r="AA894" s="239"/>
      <c r="AB894" s="239"/>
    </row>
    <row r="895" spans="1:31" s="226" customFormat="1" ht="150" customHeight="1" thickBot="1">
      <c r="A895" s="235"/>
      <c r="B895" s="1898"/>
      <c r="C895" s="1896"/>
      <c r="D895" s="1896"/>
      <c r="E895" s="1897"/>
      <c r="F895" s="676"/>
      <c r="G895" s="676"/>
      <c r="H895" s="676"/>
      <c r="I895" s="676"/>
      <c r="J895" s="676"/>
      <c r="K895" s="676"/>
      <c r="L895" s="676"/>
      <c r="M895" s="676"/>
      <c r="N895" s="676"/>
      <c r="O895" s="676"/>
      <c r="P895" s="676"/>
      <c r="AA895" s="239"/>
      <c r="AB895" s="239"/>
    </row>
    <row r="896" spans="1:31" s="226" customFormat="1" ht="15" customHeight="1">
      <c r="A896" s="235"/>
      <c r="B896" s="279"/>
      <c r="C896" s="279" t="s">
        <v>34</v>
      </c>
      <c r="D896" s="279" t="s">
        <v>34</v>
      </c>
      <c r="E896" s="279" t="s">
        <v>34</v>
      </c>
      <c r="F896" s="279" t="s">
        <v>34</v>
      </c>
      <c r="G896" s="279"/>
      <c r="H896" s="279" t="s">
        <v>34</v>
      </c>
      <c r="I896" s="279" t="s">
        <v>34</v>
      </c>
      <c r="J896" s="279"/>
      <c r="K896" s="279"/>
      <c r="L896" s="279"/>
      <c r="M896" s="279"/>
      <c r="N896" s="279"/>
      <c r="O896" s="279"/>
      <c r="P896" s="279"/>
      <c r="AA896" s="239"/>
      <c r="AB896" s="239"/>
    </row>
    <row r="897" spans="1:28" s="226" customFormat="1" ht="15" customHeight="1">
      <c r="A897" s="235"/>
      <c r="B897" s="279"/>
      <c r="C897" s="279"/>
      <c r="D897" s="279"/>
      <c r="E897" s="279"/>
      <c r="F897" s="279"/>
      <c r="G897" s="279"/>
      <c r="H897" s="279"/>
      <c r="I897" s="279"/>
      <c r="J897" s="279"/>
      <c r="K897" s="279"/>
      <c r="L897" s="279"/>
      <c r="M897" s="279"/>
      <c r="N897" s="279"/>
      <c r="O897" s="279"/>
      <c r="P897" s="279"/>
      <c r="AA897" s="239"/>
      <c r="AB897" s="239"/>
    </row>
    <row r="898" spans="1:28" s="701" customFormat="1" ht="18.75">
      <c r="A898" s="705"/>
      <c r="B898" s="705" t="s">
        <v>1076</v>
      </c>
      <c r="AA898" s="703"/>
      <c r="AB898" s="703"/>
    </row>
    <row r="899" spans="1:28" ht="13.5" thickBot="1"/>
    <row r="900" spans="1:28" ht="75" customHeight="1" thickBot="1">
      <c r="B900" s="1916" t="s">
        <v>1069</v>
      </c>
      <c r="C900" s="1916" t="s">
        <v>1070</v>
      </c>
      <c r="D900" s="1916" t="s">
        <v>1071</v>
      </c>
      <c r="E900" s="1916" t="s">
        <v>1072</v>
      </c>
      <c r="F900" s="1916" t="s">
        <v>1073</v>
      </c>
      <c r="G900" s="1916" t="s">
        <v>1074</v>
      </c>
      <c r="H900" s="1916" t="s">
        <v>1075</v>
      </c>
      <c r="Q900" s="206"/>
      <c r="R900" s="206"/>
      <c r="S900" s="206"/>
      <c r="AA900" s="205"/>
      <c r="AB900" s="205"/>
    </row>
    <row r="901" spans="1:28">
      <c r="B901" s="948"/>
      <c r="C901" s="948"/>
      <c r="D901" s="949"/>
      <c r="E901" s="949"/>
      <c r="F901" s="950"/>
      <c r="G901" s="950"/>
      <c r="H901" s="950"/>
      <c r="Q901" s="206"/>
      <c r="R901" s="206"/>
      <c r="S901" s="206"/>
      <c r="AA901" s="205"/>
      <c r="AB901" s="205"/>
    </row>
    <row r="902" spans="1:28">
      <c r="B902" s="951"/>
      <c r="C902" s="951"/>
      <c r="D902" s="952"/>
      <c r="E902" s="952"/>
      <c r="F902" s="953"/>
      <c r="G902" s="953"/>
      <c r="H902" s="953"/>
      <c r="Q902" s="206"/>
      <c r="R902" s="206"/>
      <c r="S902" s="206"/>
      <c r="AA902" s="205"/>
      <c r="AB902" s="205"/>
    </row>
    <row r="903" spans="1:28">
      <c r="B903" s="951"/>
      <c r="C903" s="951"/>
      <c r="D903" s="952"/>
      <c r="E903" s="952"/>
      <c r="F903" s="953"/>
      <c r="G903" s="953"/>
      <c r="H903" s="953"/>
      <c r="Q903" s="206"/>
      <c r="R903" s="206"/>
      <c r="S903" s="206"/>
      <c r="AA903" s="205"/>
      <c r="AB903" s="205"/>
    </row>
    <row r="904" spans="1:28">
      <c r="B904" s="951"/>
      <c r="C904" s="951"/>
      <c r="D904" s="952"/>
      <c r="E904" s="952"/>
      <c r="F904" s="953"/>
      <c r="G904" s="953"/>
      <c r="H904" s="953"/>
      <c r="Q904" s="206"/>
      <c r="R904" s="206"/>
      <c r="S904" s="206"/>
      <c r="AA904" s="205"/>
      <c r="AB904" s="205"/>
    </row>
    <row r="905" spans="1:28">
      <c r="B905" s="951"/>
      <c r="C905" s="951"/>
      <c r="D905" s="952"/>
      <c r="E905" s="952"/>
      <c r="F905" s="953"/>
      <c r="G905" s="953"/>
      <c r="H905" s="953"/>
      <c r="Q905" s="206"/>
      <c r="R905" s="206"/>
      <c r="S905" s="206"/>
      <c r="AA905" s="205"/>
      <c r="AB905" s="205"/>
    </row>
    <row r="906" spans="1:28">
      <c r="B906" s="951"/>
      <c r="C906" s="951"/>
      <c r="D906" s="952"/>
      <c r="E906" s="952"/>
      <c r="F906" s="953"/>
      <c r="G906" s="953"/>
      <c r="H906" s="953"/>
      <c r="Q906" s="206"/>
      <c r="R906" s="206"/>
      <c r="S906" s="206"/>
      <c r="AA906" s="205"/>
      <c r="AB906" s="205"/>
    </row>
    <row r="907" spans="1:28">
      <c r="B907" s="951"/>
      <c r="C907" s="951"/>
      <c r="D907" s="952"/>
      <c r="E907" s="952"/>
      <c r="F907" s="953"/>
      <c r="G907" s="953"/>
      <c r="H907" s="953"/>
      <c r="Q907" s="206"/>
      <c r="R907" s="206"/>
      <c r="S907" s="206"/>
      <c r="AA907" s="205"/>
      <c r="AB907" s="205"/>
    </row>
    <row r="908" spans="1:28">
      <c r="B908" s="951"/>
      <c r="C908" s="951"/>
      <c r="D908" s="952"/>
      <c r="E908" s="952"/>
      <c r="F908" s="953"/>
      <c r="G908" s="953"/>
      <c r="H908" s="953"/>
      <c r="Q908" s="206"/>
      <c r="R908" s="206"/>
      <c r="S908" s="206"/>
      <c r="AA908" s="205"/>
      <c r="AB908" s="205"/>
    </row>
    <row r="909" spans="1:28">
      <c r="B909" s="951"/>
      <c r="C909" s="951"/>
      <c r="D909" s="952"/>
      <c r="E909" s="952"/>
      <c r="F909" s="953"/>
      <c r="G909" s="953"/>
      <c r="H909" s="953"/>
      <c r="Q909" s="206"/>
      <c r="R909" s="206"/>
      <c r="S909" s="206"/>
      <c r="AA909" s="205"/>
      <c r="AB909" s="205"/>
    </row>
    <row r="910" spans="1:28">
      <c r="B910" s="951"/>
      <c r="C910" s="951"/>
      <c r="D910" s="952"/>
      <c r="E910" s="952"/>
      <c r="F910" s="953"/>
      <c r="G910" s="953"/>
      <c r="H910" s="953"/>
      <c r="Q910" s="206"/>
      <c r="R910" s="206"/>
      <c r="S910" s="206"/>
      <c r="AA910" s="205"/>
      <c r="AB910" s="205"/>
    </row>
    <row r="911" spans="1:28">
      <c r="B911" s="951"/>
      <c r="C911" s="951"/>
      <c r="D911" s="952"/>
      <c r="E911" s="952"/>
      <c r="F911" s="953"/>
      <c r="G911" s="953"/>
      <c r="H911" s="953"/>
      <c r="Q911" s="206"/>
      <c r="R911" s="206"/>
      <c r="S911" s="206"/>
      <c r="AA911" s="205"/>
      <c r="AB911" s="205"/>
    </row>
    <row r="912" spans="1:28" ht="13.5" thickBot="1">
      <c r="B912" s="954"/>
      <c r="C912" s="954"/>
      <c r="D912" s="955"/>
      <c r="E912" s="955"/>
      <c r="F912" s="956"/>
      <c r="G912" s="956"/>
      <c r="H912" s="956"/>
      <c r="Q912" s="206"/>
      <c r="R912" s="206"/>
      <c r="S912" s="206"/>
      <c r="AA912" s="205"/>
      <c r="AB912" s="205"/>
    </row>
    <row r="914" spans="1:28">
      <c r="B914" s="205" t="s">
        <v>130</v>
      </c>
    </row>
    <row r="915" spans="1:28" ht="13.5" thickBot="1"/>
    <row r="916" spans="1:28" ht="150" customHeight="1" thickBot="1">
      <c r="B916" s="1895"/>
      <c r="C916" s="1901"/>
      <c r="D916" s="1901"/>
      <c r="E916" s="1902"/>
      <c r="F916" s="678"/>
      <c r="G916" s="678"/>
      <c r="H916" s="678"/>
      <c r="I916" s="678"/>
      <c r="J916" s="678"/>
      <c r="K916" s="678"/>
      <c r="L916" s="678"/>
      <c r="M916" s="678"/>
      <c r="N916" s="678"/>
      <c r="O916" s="678"/>
      <c r="P916" s="678"/>
    </row>
    <row r="920" spans="1:28" s="701" customFormat="1" ht="18.75">
      <c r="A920" s="317"/>
      <c r="B920" s="204" t="s">
        <v>4</v>
      </c>
      <c r="C920" s="701" t="s">
        <v>34</v>
      </c>
      <c r="D920" s="704" t="s">
        <v>34</v>
      </c>
      <c r="E920" s="701" t="s">
        <v>34</v>
      </c>
      <c r="F920" s="701" t="s">
        <v>34</v>
      </c>
      <c r="H920" s="701" t="s">
        <v>34</v>
      </c>
      <c r="I920" s="701" t="s">
        <v>34</v>
      </c>
      <c r="J920" s="702"/>
      <c r="AA920" s="703"/>
      <c r="AB920" s="703"/>
    </row>
    <row r="921" spans="1:28" ht="15" customHeight="1">
      <c r="A921" s="210"/>
      <c r="B921" s="211"/>
      <c r="D921" s="228"/>
      <c r="J921" s="264"/>
    </row>
    <row r="922" spans="1:28" ht="54.75" customHeight="1" thickBot="1">
      <c r="A922" s="217"/>
      <c r="B922" s="982" t="s">
        <v>680</v>
      </c>
      <c r="C922" s="982"/>
      <c r="D922" s="982"/>
      <c r="E922" s="982"/>
      <c r="F922" s="982"/>
      <c r="G922" s="982"/>
      <c r="H922" s="982"/>
      <c r="I922" s="982"/>
      <c r="J922" s="982"/>
      <c r="K922" s="982"/>
      <c r="L922" s="982"/>
      <c r="M922" s="982"/>
      <c r="N922" s="982"/>
      <c r="O922" s="982"/>
      <c r="P922" s="982"/>
    </row>
    <row r="923" spans="1:28" s="383" customFormat="1" ht="74.25" customHeight="1" thickBot="1">
      <c r="B923" s="1914" t="s">
        <v>15</v>
      </c>
      <c r="C923" s="1906" t="s">
        <v>1077</v>
      </c>
      <c r="D923" s="1906" t="s">
        <v>1078</v>
      </c>
      <c r="E923" s="1907" t="s">
        <v>1079</v>
      </c>
      <c r="F923" s="1907" t="s">
        <v>1080</v>
      </c>
      <c r="G923" s="1907" t="s">
        <v>1081</v>
      </c>
      <c r="H923" s="1907" t="s">
        <v>1082</v>
      </c>
      <c r="I923" s="1907" t="s">
        <v>1083</v>
      </c>
    </row>
    <row r="924" spans="1:28" ht="16.5" customHeight="1">
      <c r="A924" s="217"/>
      <c r="B924" s="830"/>
      <c r="C924" s="815"/>
      <c r="D924" s="833"/>
      <c r="E924" s="807"/>
      <c r="F924" s="807"/>
      <c r="G924" s="807"/>
      <c r="H924" s="807"/>
      <c r="I924" s="807"/>
      <c r="J924" s="264"/>
    </row>
    <row r="925" spans="1:28" ht="16.5" customHeight="1">
      <c r="A925" s="217"/>
      <c r="B925" s="831"/>
      <c r="C925" s="816"/>
      <c r="D925" s="834"/>
      <c r="E925" s="809"/>
      <c r="F925" s="809"/>
      <c r="G925" s="809"/>
      <c r="H925" s="809"/>
      <c r="I925" s="809"/>
      <c r="J925" s="264"/>
    </row>
    <row r="926" spans="1:28" ht="16.5" customHeight="1">
      <c r="A926" s="217"/>
      <c r="B926" s="831"/>
      <c r="C926" s="816"/>
      <c r="D926" s="834"/>
      <c r="E926" s="809"/>
      <c r="F926" s="809"/>
      <c r="G926" s="809"/>
      <c r="H926" s="809"/>
      <c r="I926" s="809"/>
      <c r="J926" s="264"/>
    </row>
    <row r="927" spans="1:28" ht="16.5" customHeight="1">
      <c r="A927" s="217"/>
      <c r="B927" s="831"/>
      <c r="C927" s="816"/>
      <c r="D927" s="834"/>
      <c r="E927" s="809"/>
      <c r="F927" s="809"/>
      <c r="G927" s="809"/>
      <c r="H927" s="809"/>
      <c r="I927" s="809"/>
      <c r="J927" s="264"/>
    </row>
    <row r="928" spans="1:28" ht="16.5" customHeight="1">
      <c r="A928" s="217"/>
      <c r="B928" s="831"/>
      <c r="C928" s="816"/>
      <c r="D928" s="834"/>
      <c r="E928" s="809"/>
      <c r="F928" s="809"/>
      <c r="G928" s="809"/>
      <c r="H928" s="809"/>
      <c r="I928" s="809"/>
      <c r="J928" s="264"/>
    </row>
    <row r="929" spans="1:28" ht="16.5" customHeight="1">
      <c r="A929" s="217"/>
      <c r="B929" s="831"/>
      <c r="C929" s="816"/>
      <c r="D929" s="834"/>
      <c r="E929" s="809"/>
      <c r="F929" s="809"/>
      <c r="G929" s="809"/>
      <c r="H929" s="809"/>
      <c r="I929" s="809"/>
      <c r="J929" s="264"/>
    </row>
    <row r="930" spans="1:28" ht="16.5" customHeight="1">
      <c r="A930" s="217"/>
      <c r="B930" s="831"/>
      <c r="C930" s="816"/>
      <c r="D930" s="834"/>
      <c r="E930" s="809"/>
      <c r="F930" s="809"/>
      <c r="G930" s="809"/>
      <c r="H930" s="809"/>
      <c r="I930" s="809"/>
      <c r="J930" s="264"/>
    </row>
    <row r="931" spans="1:28" ht="16.5" customHeight="1">
      <c r="A931" s="217"/>
      <c r="B931" s="831"/>
      <c r="C931" s="816"/>
      <c r="D931" s="834"/>
      <c r="E931" s="809"/>
      <c r="F931" s="809"/>
      <c r="G931" s="809"/>
      <c r="H931" s="809"/>
      <c r="I931" s="809"/>
      <c r="J931" s="264"/>
    </row>
    <row r="932" spans="1:28" ht="16.5" customHeight="1">
      <c r="A932" s="217"/>
      <c r="B932" s="831"/>
      <c r="C932" s="816"/>
      <c r="D932" s="834"/>
      <c r="E932" s="809"/>
      <c r="F932" s="809"/>
      <c r="G932" s="809"/>
      <c r="H932" s="809"/>
      <c r="I932" s="809"/>
      <c r="J932" s="264"/>
    </row>
    <row r="933" spans="1:28" ht="16.5" customHeight="1" thickBot="1">
      <c r="A933" s="217"/>
      <c r="B933" s="832"/>
      <c r="C933" s="817"/>
      <c r="D933" s="835"/>
      <c r="E933" s="811"/>
      <c r="F933" s="811"/>
      <c r="G933" s="811"/>
      <c r="H933" s="811"/>
      <c r="I933" s="811"/>
      <c r="J933" s="264"/>
    </row>
    <row r="934" spans="1:28" ht="16.5" customHeight="1">
      <c r="A934" s="217"/>
      <c r="B934" s="209"/>
      <c r="D934" s="228"/>
      <c r="J934" s="264"/>
    </row>
    <row r="935" spans="1:28">
      <c r="A935" s="217"/>
      <c r="B935" s="205" t="s">
        <v>130</v>
      </c>
    </row>
    <row r="936" spans="1:28" ht="12.75" customHeight="1" thickBot="1">
      <c r="A936" s="217"/>
    </row>
    <row r="937" spans="1:28" ht="150" customHeight="1" thickBot="1">
      <c r="A937" s="217"/>
      <c r="B937" s="1898"/>
      <c r="C937" s="1903"/>
      <c r="D937" s="1903"/>
      <c r="E937" s="1904"/>
      <c r="H937" s="206"/>
      <c r="I937" s="206"/>
      <c r="AA937" s="205"/>
      <c r="AB937" s="205"/>
    </row>
    <row r="938" spans="1:28" ht="12.75" customHeight="1">
      <c r="A938" s="217"/>
      <c r="B938" s="209" t="s">
        <v>34</v>
      </c>
      <c r="C938" s="205" t="s">
        <v>34</v>
      </c>
      <c r="D938" s="228" t="s">
        <v>34</v>
      </c>
      <c r="E938" s="205" t="s">
        <v>34</v>
      </c>
      <c r="F938" s="205" t="s">
        <v>34</v>
      </c>
      <c r="H938" s="205" t="s">
        <v>34</v>
      </c>
      <c r="I938" s="205" t="s">
        <v>34</v>
      </c>
      <c r="J938" s="264"/>
    </row>
    <row r="939" spans="1:28" ht="12.75" customHeight="1">
      <c r="A939" s="217"/>
      <c r="B939" s="209"/>
      <c r="D939" s="228"/>
      <c r="J939" s="264"/>
    </row>
    <row r="940" spans="1:28" s="701" customFormat="1" ht="18.75">
      <c r="A940" s="317"/>
      <c r="B940" s="204" t="s">
        <v>5</v>
      </c>
      <c r="C940" s="701" t="s">
        <v>34</v>
      </c>
      <c r="D940" s="701" t="s">
        <v>34</v>
      </c>
      <c r="E940" s="701" t="s">
        <v>34</v>
      </c>
      <c r="F940" s="701" t="s">
        <v>34</v>
      </c>
      <c r="H940" s="701" t="s">
        <v>34</v>
      </c>
      <c r="I940" s="701" t="s">
        <v>34</v>
      </c>
      <c r="J940" s="702"/>
      <c r="AA940" s="703"/>
      <c r="AB940" s="703"/>
    </row>
    <row r="941" spans="1:28" ht="12.75" customHeight="1">
      <c r="A941" s="217"/>
      <c r="B941" s="209" t="s">
        <v>34</v>
      </c>
      <c r="C941" s="205" t="s">
        <v>34</v>
      </c>
      <c r="D941" s="205" t="s">
        <v>34</v>
      </c>
      <c r="E941" s="205" t="s">
        <v>34</v>
      </c>
      <c r="F941" s="205" t="s">
        <v>34</v>
      </c>
      <c r="H941" s="205" t="s">
        <v>34</v>
      </c>
      <c r="I941" s="205" t="s">
        <v>34</v>
      </c>
      <c r="J941" s="264"/>
    </row>
    <row r="942" spans="1:28" ht="15" customHeight="1">
      <c r="A942" s="217"/>
      <c r="B942" s="268" t="s">
        <v>129</v>
      </c>
      <c r="C942" s="268"/>
      <c r="D942" s="268"/>
      <c r="E942" s="268"/>
      <c r="F942" s="268"/>
      <c r="G942" s="268"/>
      <c r="H942" s="268" t="s">
        <v>34</v>
      </c>
      <c r="I942" s="268" t="s">
        <v>34</v>
      </c>
      <c r="J942" s="268"/>
      <c r="K942" s="268"/>
      <c r="L942" s="268"/>
      <c r="M942" s="268"/>
      <c r="N942" s="268"/>
      <c r="O942" s="268"/>
    </row>
    <row r="943" spans="1:28" ht="15" customHeight="1">
      <c r="A943" s="217"/>
      <c r="B943" s="268"/>
      <c r="C943" s="268"/>
      <c r="D943" s="268"/>
      <c r="E943" s="268"/>
      <c r="F943" s="268"/>
      <c r="G943" s="268"/>
      <c r="H943" s="268" t="s">
        <v>34</v>
      </c>
      <c r="I943" s="268" t="s">
        <v>34</v>
      </c>
      <c r="J943" s="268"/>
      <c r="K943" s="268"/>
      <c r="L943" s="268"/>
      <c r="M943" s="268"/>
      <c r="N943" s="268"/>
      <c r="O943" s="268"/>
    </row>
    <row r="944" spans="1:28" ht="15" customHeight="1">
      <c r="A944" s="217"/>
      <c r="B944" s="205" t="s">
        <v>624</v>
      </c>
      <c r="C944" s="268"/>
      <c r="D944" s="268"/>
      <c r="E944" s="268"/>
      <c r="F944" s="268"/>
      <c r="G944" s="268"/>
      <c r="H944" s="268" t="s">
        <v>34</v>
      </c>
      <c r="I944" s="268" t="s">
        <v>34</v>
      </c>
      <c r="J944" s="268"/>
      <c r="K944" s="268"/>
      <c r="L944" s="268"/>
      <c r="M944" s="268"/>
      <c r="N944" s="268"/>
      <c r="O944" s="268"/>
    </row>
    <row r="945" spans="1:28" ht="15" customHeight="1" thickBot="1">
      <c r="A945" s="217"/>
      <c r="B945" s="209"/>
      <c r="AA945" s="205"/>
      <c r="AB945" s="205"/>
    </row>
    <row r="946" spans="1:28" s="213" customFormat="1" ht="75" customHeight="1" thickBot="1">
      <c r="A946" s="219"/>
      <c r="B946" s="1914" t="s">
        <v>15</v>
      </c>
      <c r="C946" s="1906" t="s">
        <v>602</v>
      </c>
      <c r="D946" s="1906" t="s">
        <v>612</v>
      </c>
      <c r="E946" s="1906" t="s">
        <v>603</v>
      </c>
      <c r="F946" s="1906" t="s">
        <v>976</v>
      </c>
      <c r="G946" s="1906" t="s">
        <v>977</v>
      </c>
      <c r="H946" s="1906" t="s">
        <v>978</v>
      </c>
      <c r="I946" s="1906" t="s">
        <v>979</v>
      </c>
      <c r="J946" s="1906" t="s">
        <v>604</v>
      </c>
      <c r="K946" s="1906" t="s">
        <v>605</v>
      </c>
      <c r="L946" s="1907" t="s">
        <v>613</v>
      </c>
    </row>
    <row r="947" spans="1:28" ht="15" customHeight="1">
      <c r="A947" s="235"/>
      <c r="B947" s="839" t="s">
        <v>34</v>
      </c>
      <c r="C947" s="839" t="s">
        <v>34</v>
      </c>
      <c r="D947" s="839" t="s">
        <v>34</v>
      </c>
      <c r="E947" s="839" t="s">
        <v>34</v>
      </c>
      <c r="F947" s="842" t="s">
        <v>34</v>
      </c>
      <c r="G947" s="842"/>
      <c r="H947" s="842" t="s">
        <v>34</v>
      </c>
      <c r="I947" s="833" t="s">
        <v>34</v>
      </c>
      <c r="J947" s="833"/>
      <c r="K947" s="833"/>
      <c r="L947" s="836"/>
      <c r="M947" s="264"/>
      <c r="N947" s="226"/>
      <c r="O947" s="226"/>
      <c r="P947" s="226"/>
      <c r="AA947" s="239"/>
      <c r="AB947" s="239"/>
    </row>
    <row r="948" spans="1:28" ht="15" customHeight="1">
      <c r="A948" s="235"/>
      <c r="B948" s="840"/>
      <c r="C948" s="840"/>
      <c r="D948" s="840"/>
      <c r="E948" s="840"/>
      <c r="F948" s="843"/>
      <c r="G948" s="843"/>
      <c r="H948" s="843"/>
      <c r="I948" s="834"/>
      <c r="J948" s="834"/>
      <c r="K948" s="834"/>
      <c r="L948" s="837"/>
      <c r="M948" s="264"/>
      <c r="N948" s="226"/>
      <c r="O948" s="226"/>
      <c r="P948" s="226"/>
      <c r="AA948" s="239"/>
      <c r="AB948" s="239"/>
    </row>
    <row r="949" spans="1:28" ht="15" customHeight="1">
      <c r="A949" s="235"/>
      <c r="B949" s="840"/>
      <c r="C949" s="840"/>
      <c r="D949" s="840"/>
      <c r="E949" s="840"/>
      <c r="F949" s="843"/>
      <c r="G949" s="843"/>
      <c r="H949" s="843"/>
      <c r="I949" s="834"/>
      <c r="J949" s="834"/>
      <c r="K949" s="834"/>
      <c r="L949" s="837"/>
      <c r="M949" s="264"/>
      <c r="N949" s="226"/>
      <c r="O949" s="226"/>
      <c r="P949" s="226"/>
      <c r="AA949" s="239"/>
      <c r="AB949" s="239"/>
    </row>
    <row r="950" spans="1:28" ht="15" customHeight="1">
      <c r="A950" s="235"/>
      <c r="B950" s="840"/>
      <c r="C950" s="840"/>
      <c r="D950" s="840"/>
      <c r="E950" s="840"/>
      <c r="F950" s="843"/>
      <c r="G950" s="843"/>
      <c r="H950" s="843"/>
      <c r="I950" s="834"/>
      <c r="J950" s="834"/>
      <c r="K950" s="834"/>
      <c r="L950" s="837"/>
      <c r="M950" s="264"/>
      <c r="N950" s="226"/>
      <c r="O950" s="226"/>
      <c r="P950" s="226"/>
      <c r="AA950" s="239"/>
      <c r="AB950" s="239"/>
    </row>
    <row r="951" spans="1:28" ht="15" customHeight="1">
      <c r="A951" s="235"/>
      <c r="B951" s="840"/>
      <c r="C951" s="840"/>
      <c r="D951" s="840"/>
      <c r="E951" s="840"/>
      <c r="F951" s="843"/>
      <c r="G951" s="843"/>
      <c r="H951" s="843"/>
      <c r="I951" s="834"/>
      <c r="J951" s="834"/>
      <c r="K951" s="834"/>
      <c r="L951" s="837"/>
      <c r="M951" s="264"/>
      <c r="N951" s="226"/>
      <c r="O951" s="226"/>
      <c r="P951" s="226"/>
      <c r="AA951" s="239"/>
      <c r="AB951" s="239"/>
    </row>
    <row r="952" spans="1:28" ht="15" customHeight="1">
      <c r="A952" s="235"/>
      <c r="B952" s="840"/>
      <c r="C952" s="840"/>
      <c r="D952" s="840"/>
      <c r="E952" s="840"/>
      <c r="F952" s="843"/>
      <c r="G952" s="843"/>
      <c r="H952" s="843"/>
      <c r="I952" s="834"/>
      <c r="J952" s="834"/>
      <c r="K952" s="834"/>
      <c r="L952" s="837"/>
      <c r="M952" s="264"/>
      <c r="N952" s="226"/>
      <c r="O952" s="226"/>
      <c r="P952" s="226"/>
      <c r="AA952" s="239"/>
      <c r="AB952" s="239"/>
    </row>
    <row r="953" spans="1:28" ht="15" customHeight="1">
      <c r="A953" s="235"/>
      <c r="B953" s="840"/>
      <c r="C953" s="840"/>
      <c r="D953" s="840"/>
      <c r="E953" s="840"/>
      <c r="F953" s="843"/>
      <c r="G953" s="843"/>
      <c r="H953" s="843"/>
      <c r="I953" s="834"/>
      <c r="J953" s="834"/>
      <c r="K953" s="834"/>
      <c r="L953" s="837"/>
      <c r="M953" s="264"/>
      <c r="N953" s="226"/>
      <c r="O953" s="226"/>
      <c r="P953" s="226"/>
      <c r="AA953" s="239"/>
      <c r="AB953" s="239"/>
    </row>
    <row r="954" spans="1:28" ht="15" customHeight="1">
      <c r="A954" s="235"/>
      <c r="B954" s="840"/>
      <c r="C954" s="840"/>
      <c r="D954" s="840"/>
      <c r="E954" s="840"/>
      <c r="F954" s="843"/>
      <c r="G954" s="843"/>
      <c r="H954" s="843"/>
      <c r="I954" s="834"/>
      <c r="J954" s="834"/>
      <c r="K954" s="834"/>
      <c r="L954" s="837"/>
      <c r="M954" s="264"/>
      <c r="N954" s="226"/>
      <c r="O954" s="226"/>
      <c r="P954" s="226"/>
      <c r="AA954" s="239"/>
      <c r="AB954" s="239"/>
    </row>
    <row r="955" spans="1:28" ht="15" customHeight="1">
      <c r="A955" s="235"/>
      <c r="B955" s="840"/>
      <c r="C955" s="840"/>
      <c r="D955" s="840"/>
      <c r="E955" s="840"/>
      <c r="F955" s="843"/>
      <c r="G955" s="843"/>
      <c r="H955" s="843"/>
      <c r="I955" s="834"/>
      <c r="J955" s="834"/>
      <c r="K955" s="834"/>
      <c r="L955" s="837"/>
      <c r="M955" s="264"/>
      <c r="N955" s="226"/>
      <c r="O955" s="226"/>
      <c r="P955" s="226"/>
      <c r="AA955" s="239"/>
      <c r="AB955" s="239"/>
    </row>
    <row r="956" spans="1:28" ht="15" customHeight="1" thickBot="1">
      <c r="A956" s="235"/>
      <c r="B956" s="841"/>
      <c r="C956" s="841"/>
      <c r="D956" s="841"/>
      <c r="E956" s="841"/>
      <c r="F956" s="844"/>
      <c r="G956" s="844"/>
      <c r="H956" s="844"/>
      <c r="I956" s="835"/>
      <c r="J956" s="835"/>
      <c r="K956" s="835"/>
      <c r="L956" s="838"/>
      <c r="M956" s="264"/>
      <c r="N956" s="226"/>
      <c r="O956" s="226"/>
      <c r="P956" s="226"/>
      <c r="AA956" s="239"/>
      <c r="AB956" s="239"/>
    </row>
    <row r="957" spans="1:28" ht="15" customHeight="1">
      <c r="A957" s="235"/>
      <c r="B957" s="692"/>
      <c r="C957" s="692"/>
      <c r="D957" s="692"/>
      <c r="E957" s="692"/>
      <c r="F957" s="146"/>
      <c r="G957" s="146"/>
      <c r="H957" s="146"/>
      <c r="I957" s="226"/>
      <c r="J957" s="226"/>
      <c r="K957" s="226"/>
      <c r="L957" s="226"/>
      <c r="M957" s="264"/>
      <c r="N957" s="226"/>
      <c r="O957" s="226"/>
      <c r="P957" s="226"/>
      <c r="AA957" s="239"/>
      <c r="AB957" s="239"/>
    </row>
    <row r="958" spans="1:28" ht="15" customHeight="1">
      <c r="A958" s="235"/>
      <c r="B958" s="205" t="s">
        <v>130</v>
      </c>
      <c r="F958" s="205" t="s">
        <v>34</v>
      </c>
      <c r="H958" s="205" t="s">
        <v>34</v>
      </c>
      <c r="I958" s="205" t="s">
        <v>34</v>
      </c>
      <c r="P958" s="226"/>
      <c r="Q958" s="226"/>
      <c r="R958" s="226"/>
      <c r="S958" s="226"/>
      <c r="T958" s="226"/>
      <c r="U958" s="226"/>
      <c r="V958" s="226"/>
      <c r="W958" s="226"/>
      <c r="X958" s="226"/>
      <c r="Y958" s="226"/>
      <c r="AA958" s="239"/>
      <c r="AB958" s="239"/>
    </row>
    <row r="959" spans="1:28" s="226" customFormat="1" ht="15" customHeight="1" thickBot="1">
      <c r="A959" s="235"/>
      <c r="B959" s="205" t="s">
        <v>34</v>
      </c>
      <c r="C959" s="205" t="s">
        <v>34</v>
      </c>
      <c r="D959" s="205" t="s">
        <v>34</v>
      </c>
      <c r="E959" s="205" t="s">
        <v>34</v>
      </c>
      <c r="F959" s="205" t="s">
        <v>34</v>
      </c>
      <c r="G959" s="205"/>
      <c r="H959" s="205" t="s">
        <v>34</v>
      </c>
      <c r="I959" s="205" t="s">
        <v>34</v>
      </c>
      <c r="J959" s="205"/>
      <c r="K959" s="205"/>
      <c r="L959" s="205"/>
      <c r="M959" s="205"/>
      <c r="N959" s="205"/>
      <c r="O959" s="205"/>
      <c r="Z959" s="205"/>
      <c r="AA959" s="239"/>
      <c r="AB959" s="239"/>
    </row>
    <row r="960" spans="1:28" s="226" customFormat="1" ht="150" customHeight="1" thickBot="1">
      <c r="A960" s="235"/>
      <c r="B960" s="1895"/>
      <c r="C960" s="1901"/>
      <c r="D960" s="1901"/>
      <c r="E960" s="1902"/>
      <c r="F960" s="678"/>
      <c r="G960" s="678"/>
      <c r="H960" s="678"/>
      <c r="I960" s="678"/>
      <c r="J960" s="678"/>
      <c r="K960" s="678"/>
      <c r="L960" s="678"/>
      <c r="M960" s="678"/>
      <c r="N960" s="678"/>
      <c r="O960" s="678"/>
      <c r="P960" s="678"/>
      <c r="Q960" s="226" t="s">
        <v>34</v>
      </c>
      <c r="S960" s="226" t="s">
        <v>34</v>
      </c>
      <c r="T960" s="226" t="s">
        <v>34</v>
      </c>
      <c r="U960" s="226" t="s">
        <v>34</v>
      </c>
      <c r="AA960" s="239"/>
      <c r="AB960" s="239"/>
    </row>
    <row r="961" spans="1:28" s="226" customFormat="1" ht="15" customHeight="1">
      <c r="A961" s="235"/>
      <c r="B961" s="262"/>
      <c r="C961" s="262"/>
      <c r="D961" s="262"/>
      <c r="E961" s="262"/>
      <c r="F961" s="262"/>
      <c r="G961" s="262"/>
      <c r="H961" s="262"/>
      <c r="I961" s="262"/>
      <c r="J961" s="262"/>
      <c r="K961" s="262"/>
      <c r="L961" s="262"/>
      <c r="M961" s="262"/>
      <c r="N961" s="262"/>
      <c r="O961" s="262"/>
      <c r="P961" s="262"/>
      <c r="AA961" s="239"/>
      <c r="AB961" s="239"/>
    </row>
    <row r="962" spans="1:28" s="226" customFormat="1" ht="15" customHeight="1">
      <c r="A962" s="235"/>
      <c r="B962" s="727"/>
      <c r="C962" s="727"/>
      <c r="D962" s="727"/>
      <c r="E962" s="727"/>
      <c r="F962" s="727"/>
      <c r="G962" s="727"/>
      <c r="H962" s="727"/>
      <c r="I962" s="727"/>
      <c r="J962" s="727"/>
      <c r="K962" s="727"/>
      <c r="L962" s="727"/>
      <c r="M962" s="727"/>
      <c r="N962" s="727"/>
      <c r="O962" s="727"/>
      <c r="P962" s="727"/>
      <c r="AA962" s="239"/>
      <c r="AB962" s="239"/>
    </row>
    <row r="963" spans="1:28" s="701" customFormat="1" ht="18.75">
      <c r="A963" s="317"/>
      <c r="B963" s="204" t="s">
        <v>659</v>
      </c>
      <c r="C963" s="701" t="s">
        <v>34</v>
      </c>
      <c r="D963" s="701" t="s">
        <v>34</v>
      </c>
      <c r="E963" s="701" t="s">
        <v>34</v>
      </c>
      <c r="F963" s="701" t="s">
        <v>34</v>
      </c>
      <c r="H963" s="701" t="s">
        <v>34</v>
      </c>
      <c r="I963" s="701" t="s">
        <v>34</v>
      </c>
      <c r="J963" s="702"/>
      <c r="AA963" s="703"/>
      <c r="AB963" s="703"/>
    </row>
    <row r="964" spans="1:28" ht="5.25" customHeight="1">
      <c r="A964" s="217"/>
      <c r="B964" s="209" t="s">
        <v>34</v>
      </c>
      <c r="C964" s="205" t="s">
        <v>34</v>
      </c>
      <c r="D964" s="205" t="s">
        <v>34</v>
      </c>
      <c r="E964" s="205" t="s">
        <v>34</v>
      </c>
      <c r="F964" s="205" t="s">
        <v>34</v>
      </c>
      <c r="H964" s="205" t="s">
        <v>34</v>
      </c>
      <c r="I964" s="205" t="s">
        <v>34</v>
      </c>
      <c r="J964" s="264"/>
    </row>
    <row r="965" spans="1:28" ht="49.5" customHeight="1">
      <c r="A965" s="217"/>
      <c r="B965" s="990" t="s">
        <v>666</v>
      </c>
      <c r="C965" s="990"/>
      <c r="D965" s="990"/>
      <c r="E965" s="990"/>
      <c r="F965" s="724"/>
      <c r="G965" s="724"/>
      <c r="H965" s="724"/>
      <c r="I965" s="724"/>
      <c r="J965" s="724"/>
      <c r="K965" s="724"/>
      <c r="L965" s="724"/>
      <c r="M965" s="724"/>
      <c r="N965" s="724"/>
      <c r="O965" s="724"/>
      <c r="P965" s="724"/>
    </row>
    <row r="966" spans="1:28" ht="15" customHeight="1" thickBot="1">
      <c r="A966" s="217"/>
      <c r="B966" s="209"/>
      <c r="AA966" s="205"/>
      <c r="AB966" s="205"/>
    </row>
    <row r="967" spans="1:28" s="213" customFormat="1" ht="75" customHeight="1" thickBot="1">
      <c r="A967" s="219"/>
      <c r="B967" s="1914" t="s">
        <v>15</v>
      </c>
      <c r="C967" s="1906" t="s">
        <v>660</v>
      </c>
      <c r="D967" s="1906" t="s">
        <v>603</v>
      </c>
      <c r="E967" s="1906" t="s">
        <v>661</v>
      </c>
      <c r="F967" s="1907" t="s">
        <v>662</v>
      </c>
    </row>
    <row r="968" spans="1:28" ht="15" customHeight="1">
      <c r="A968" s="235"/>
      <c r="B968" s="839" t="s">
        <v>34</v>
      </c>
      <c r="C968" s="839" t="s">
        <v>34</v>
      </c>
      <c r="D968" s="839" t="s">
        <v>34</v>
      </c>
      <c r="E968" s="839" t="s">
        <v>34</v>
      </c>
      <c r="F968" s="845" t="s">
        <v>34</v>
      </c>
      <c r="G968" s="146"/>
      <c r="H968" s="146" t="s">
        <v>34</v>
      </c>
      <c r="I968" s="226" t="s">
        <v>34</v>
      </c>
      <c r="J968" s="226"/>
      <c r="K968" s="226"/>
      <c r="L968" s="226"/>
      <c r="M968" s="264"/>
      <c r="N968" s="226"/>
      <c r="O968" s="226"/>
      <c r="P968" s="226"/>
      <c r="AA968" s="239"/>
      <c r="AB968" s="239"/>
    </row>
    <row r="969" spans="1:28" ht="15" customHeight="1">
      <c r="A969" s="235"/>
      <c r="B969" s="840"/>
      <c r="C969" s="840"/>
      <c r="D969" s="840"/>
      <c r="E969" s="840"/>
      <c r="F969" s="846"/>
      <c r="G969" s="146"/>
      <c r="H969" s="146"/>
      <c r="I969" s="226"/>
      <c r="J969" s="226"/>
      <c r="K969" s="226"/>
      <c r="L969" s="226"/>
      <c r="M969" s="264"/>
      <c r="N969" s="226"/>
      <c r="O969" s="226"/>
      <c r="P969" s="226"/>
      <c r="AA969" s="239"/>
      <c r="AB969" s="239"/>
    </row>
    <row r="970" spans="1:28" ht="15" customHeight="1">
      <c r="A970" s="235"/>
      <c r="B970" s="840"/>
      <c r="C970" s="840"/>
      <c r="D970" s="840"/>
      <c r="E970" s="840"/>
      <c r="F970" s="846"/>
      <c r="G970" s="146"/>
      <c r="H970" s="146"/>
      <c r="I970" s="226"/>
      <c r="J970" s="226"/>
      <c r="K970" s="226"/>
      <c r="L970" s="226"/>
      <c r="M970" s="264"/>
      <c r="N970" s="226"/>
      <c r="O970" s="226"/>
      <c r="P970" s="226"/>
      <c r="AA970" s="239"/>
      <c r="AB970" s="239"/>
    </row>
    <row r="971" spans="1:28" ht="15" customHeight="1">
      <c r="A971" s="235"/>
      <c r="B971" s="840"/>
      <c r="C971" s="840"/>
      <c r="D971" s="840"/>
      <c r="E971" s="840"/>
      <c r="F971" s="846"/>
      <c r="G971" s="146"/>
      <c r="H971" s="146"/>
      <c r="I971" s="226"/>
      <c r="J971" s="226"/>
      <c r="K971" s="226"/>
      <c r="L971" s="226"/>
      <c r="M971" s="264"/>
      <c r="N971" s="226"/>
      <c r="O971" s="226"/>
      <c r="P971" s="226"/>
      <c r="AA971" s="239"/>
      <c r="AB971" s="239"/>
    </row>
    <row r="972" spans="1:28" ht="15" customHeight="1">
      <c r="A972" s="235"/>
      <c r="B972" s="840"/>
      <c r="C972" s="840"/>
      <c r="D972" s="840"/>
      <c r="E972" s="840"/>
      <c r="F972" s="846"/>
      <c r="G972" s="146"/>
      <c r="H972" s="146"/>
      <c r="I972" s="226"/>
      <c r="J972" s="226"/>
      <c r="K972" s="226"/>
      <c r="L972" s="226"/>
      <c r="M972" s="264"/>
      <c r="N972" s="226"/>
      <c r="O972" s="226"/>
      <c r="P972" s="226"/>
      <c r="AA972" s="239"/>
      <c r="AB972" s="239"/>
    </row>
    <row r="973" spans="1:28" ht="15" customHeight="1">
      <c r="A973" s="235"/>
      <c r="B973" s="840"/>
      <c r="C973" s="840"/>
      <c r="D973" s="840"/>
      <c r="E973" s="840"/>
      <c r="F973" s="846"/>
      <c r="G973" s="146"/>
      <c r="H973" s="146"/>
      <c r="I973" s="226"/>
      <c r="J973" s="226"/>
      <c r="K973" s="226"/>
      <c r="L973" s="226"/>
      <c r="M973" s="264"/>
      <c r="N973" s="226"/>
      <c r="O973" s="226"/>
      <c r="P973" s="226"/>
      <c r="AA973" s="239"/>
      <c r="AB973" s="239"/>
    </row>
    <row r="974" spans="1:28" ht="15" customHeight="1">
      <c r="A974" s="235"/>
      <c r="B974" s="840"/>
      <c r="C974" s="840"/>
      <c r="D974" s="840"/>
      <c r="E974" s="840"/>
      <c r="F974" s="846"/>
      <c r="G974" s="146"/>
      <c r="H974" s="146"/>
      <c r="I974" s="226"/>
      <c r="J974" s="226"/>
      <c r="K974" s="226"/>
      <c r="L974" s="226"/>
      <c r="M974" s="264"/>
      <c r="N974" s="226"/>
      <c r="O974" s="226"/>
      <c r="P974" s="226"/>
      <c r="AA974" s="239"/>
      <c r="AB974" s="239"/>
    </row>
    <row r="975" spans="1:28" ht="15" customHeight="1">
      <c r="A975" s="235"/>
      <c r="B975" s="840"/>
      <c r="C975" s="840"/>
      <c r="D975" s="840"/>
      <c r="E975" s="840"/>
      <c r="F975" s="846"/>
      <c r="G975" s="146"/>
      <c r="H975" s="146"/>
      <c r="I975" s="226"/>
      <c r="J975" s="226"/>
      <c r="K975" s="226"/>
      <c r="L975" s="226"/>
      <c r="M975" s="264"/>
      <c r="N975" s="226"/>
      <c r="O975" s="226"/>
      <c r="P975" s="226"/>
      <c r="AA975" s="239"/>
      <c r="AB975" s="239"/>
    </row>
    <row r="976" spans="1:28" ht="15" customHeight="1">
      <c r="A976" s="235"/>
      <c r="B976" s="840"/>
      <c r="C976" s="840"/>
      <c r="D976" s="840"/>
      <c r="E976" s="840"/>
      <c r="F976" s="846"/>
      <c r="G976" s="146"/>
      <c r="H976" s="146"/>
      <c r="I976" s="226"/>
      <c r="J976" s="226"/>
      <c r="K976" s="226"/>
      <c r="L976" s="226"/>
      <c r="M976" s="264"/>
      <c r="N976" s="226"/>
      <c r="O976" s="226"/>
      <c r="P976" s="226"/>
      <c r="AA976" s="239"/>
      <c r="AB976" s="239"/>
    </row>
    <row r="977" spans="1:28" ht="15" customHeight="1" thickBot="1">
      <c r="A977" s="235"/>
      <c r="B977" s="841"/>
      <c r="C977" s="841"/>
      <c r="D977" s="841"/>
      <c r="E977" s="841"/>
      <c r="F977" s="847"/>
      <c r="G977" s="146"/>
      <c r="H977" s="146"/>
      <c r="I977" s="226"/>
      <c r="J977" s="226"/>
      <c r="K977" s="226"/>
      <c r="L977" s="226"/>
      <c r="M977" s="264"/>
      <c r="N977" s="226"/>
      <c r="O977" s="226"/>
      <c r="P977" s="226"/>
      <c r="AA977" s="239"/>
      <c r="AB977" s="239"/>
    </row>
    <row r="978" spans="1:28" ht="15" customHeight="1">
      <c r="A978" s="235"/>
      <c r="B978" s="692"/>
      <c r="C978" s="692"/>
      <c r="D978" s="692"/>
      <c r="E978" s="692"/>
      <c r="F978" s="146"/>
      <c r="G978" s="146"/>
      <c r="H978" s="146"/>
      <c r="I978" s="226"/>
      <c r="J978" s="226"/>
      <c r="K978" s="226"/>
      <c r="L978" s="226"/>
      <c r="M978" s="264"/>
      <c r="N978" s="226"/>
      <c r="O978" s="226"/>
      <c r="P978" s="226"/>
      <c r="AA978" s="239"/>
      <c r="AB978" s="239"/>
    </row>
    <row r="979" spans="1:28" ht="15" customHeight="1">
      <c r="A979" s="235"/>
      <c r="B979" s="205" t="s">
        <v>130</v>
      </c>
      <c r="F979" s="205" t="s">
        <v>34</v>
      </c>
      <c r="H979" s="205" t="s">
        <v>34</v>
      </c>
      <c r="I979" s="205" t="s">
        <v>34</v>
      </c>
      <c r="P979" s="226"/>
      <c r="Q979" s="226"/>
      <c r="R979" s="226"/>
      <c r="S979" s="226"/>
      <c r="T979" s="226"/>
      <c r="U979" s="226"/>
      <c r="V979" s="226"/>
      <c r="W979" s="226"/>
      <c r="X979" s="226"/>
      <c r="Y979" s="226"/>
      <c r="AA979" s="239"/>
      <c r="AB979" s="239"/>
    </row>
    <row r="980" spans="1:28" s="226" customFormat="1" ht="15" customHeight="1" thickBot="1">
      <c r="A980" s="235"/>
      <c r="B980" s="205" t="s">
        <v>34</v>
      </c>
      <c r="C980" s="205" t="s">
        <v>34</v>
      </c>
      <c r="D980" s="205" t="s">
        <v>34</v>
      </c>
      <c r="E980" s="205" t="s">
        <v>34</v>
      </c>
      <c r="F980" s="205" t="s">
        <v>34</v>
      </c>
      <c r="G980" s="205"/>
      <c r="H980" s="205" t="s">
        <v>34</v>
      </c>
      <c r="I980" s="205" t="s">
        <v>34</v>
      </c>
      <c r="J980" s="205"/>
      <c r="K980" s="205"/>
      <c r="L980" s="205"/>
      <c r="M980" s="205"/>
      <c r="N980" s="205"/>
      <c r="O980" s="205"/>
      <c r="Z980" s="205"/>
      <c r="AA980" s="239"/>
      <c r="AB980" s="239"/>
    </row>
    <row r="981" spans="1:28" s="226" customFormat="1" ht="150" customHeight="1" thickBot="1">
      <c r="A981" s="235"/>
      <c r="B981" s="1895"/>
      <c r="C981" s="1901"/>
      <c r="D981" s="1901"/>
      <c r="E981" s="1902"/>
      <c r="F981" s="678"/>
      <c r="G981" s="678"/>
      <c r="H981" s="678"/>
      <c r="I981" s="678"/>
      <c r="J981" s="678"/>
      <c r="K981" s="678"/>
      <c r="L981" s="678"/>
      <c r="M981" s="678"/>
      <c r="N981" s="678"/>
      <c r="O981" s="678"/>
      <c r="P981" s="678"/>
      <c r="Q981" s="226" t="s">
        <v>34</v>
      </c>
      <c r="S981" s="226" t="s">
        <v>34</v>
      </c>
      <c r="T981" s="226" t="s">
        <v>34</v>
      </c>
      <c r="U981" s="226" t="s">
        <v>34</v>
      </c>
      <c r="AA981" s="239"/>
      <c r="AB981" s="239"/>
    </row>
    <row r="982" spans="1:28" s="226" customFormat="1" ht="12.75" customHeight="1">
      <c r="A982" s="217"/>
      <c r="B982" s="209" t="s">
        <v>34</v>
      </c>
      <c r="C982" s="205" t="s">
        <v>34</v>
      </c>
      <c r="D982" s="205" t="s">
        <v>34</v>
      </c>
      <c r="E982" s="205" t="s">
        <v>34</v>
      </c>
      <c r="F982" s="205" t="s">
        <v>34</v>
      </c>
      <c r="G982" s="205"/>
      <c r="H982" s="205" t="s">
        <v>34</v>
      </c>
      <c r="I982" s="205" t="s">
        <v>34</v>
      </c>
      <c r="J982" s="264"/>
      <c r="K982" s="205"/>
      <c r="L982" s="205"/>
      <c r="M982" s="205"/>
      <c r="N982" s="205"/>
      <c r="O982" s="205"/>
      <c r="P982" s="205"/>
      <c r="AA982" s="206"/>
      <c r="AB982" s="206"/>
    </row>
    <row r="983" spans="1:28" s="226" customFormat="1" ht="12.75" customHeight="1">
      <c r="A983" s="217"/>
      <c r="B983" s="209"/>
      <c r="C983" s="205"/>
      <c r="D983" s="205"/>
      <c r="E983" s="205"/>
      <c r="F983" s="205"/>
      <c r="G983" s="205"/>
      <c r="H983" s="205"/>
      <c r="I983" s="205"/>
      <c r="J983" s="264"/>
      <c r="K983" s="205"/>
      <c r="L983" s="205"/>
      <c r="M983" s="205"/>
      <c r="N983" s="205"/>
      <c r="O983" s="205"/>
      <c r="P983" s="205"/>
      <c r="AA983" s="206"/>
      <c r="AB983" s="206"/>
    </row>
    <row r="984" spans="1:28" s="699" customFormat="1" ht="18.75">
      <c r="A984" s="317"/>
      <c r="B984" s="204" t="s">
        <v>674</v>
      </c>
      <c r="C984" s="701"/>
      <c r="D984" s="701" t="s">
        <v>34</v>
      </c>
      <c r="E984" s="701" t="s">
        <v>34</v>
      </c>
      <c r="F984" s="701" t="s">
        <v>34</v>
      </c>
      <c r="G984" s="701"/>
      <c r="H984" s="701" t="s">
        <v>34</v>
      </c>
      <c r="I984" s="701" t="s">
        <v>34</v>
      </c>
      <c r="J984" s="702"/>
      <c r="K984" s="701"/>
      <c r="L984" s="701"/>
      <c r="M984" s="701"/>
      <c r="N984" s="701"/>
      <c r="O984" s="701"/>
      <c r="P984" s="701"/>
      <c r="Q984" s="701"/>
      <c r="R984" s="701"/>
      <c r="S984" s="701"/>
      <c r="T984" s="701"/>
      <c r="U984" s="701"/>
      <c r="V984" s="701"/>
      <c r="W984" s="701"/>
      <c r="X984" s="701"/>
      <c r="Y984" s="701"/>
      <c r="AA984" s="703"/>
      <c r="AB984" s="703"/>
    </row>
    <row r="985" spans="1:28" ht="15" customHeight="1">
      <c r="A985" s="217"/>
      <c r="B985" s="209" t="s">
        <v>34</v>
      </c>
      <c r="C985" s="205" t="s">
        <v>34</v>
      </c>
      <c r="D985" s="205" t="s">
        <v>34</v>
      </c>
      <c r="E985" s="205" t="s">
        <v>34</v>
      </c>
      <c r="F985" s="205" t="s">
        <v>34</v>
      </c>
      <c r="H985" s="205" t="s">
        <v>34</v>
      </c>
      <c r="I985" s="205" t="s">
        <v>34</v>
      </c>
      <c r="J985" s="264"/>
      <c r="Z985" s="226"/>
    </row>
    <row r="986" spans="1:28" ht="108" customHeight="1">
      <c r="A986" s="217"/>
      <c r="B986" s="982" t="s">
        <v>882</v>
      </c>
      <c r="C986" s="982"/>
      <c r="D986" s="982"/>
      <c r="E986" s="982"/>
      <c r="F986" s="982"/>
      <c r="G986" s="982"/>
      <c r="H986" s="982"/>
      <c r="I986" s="673"/>
      <c r="J986" s="673"/>
      <c r="K986" s="673"/>
      <c r="L986" s="673"/>
      <c r="M986" s="673"/>
      <c r="N986" s="673"/>
      <c r="O986" s="673"/>
      <c r="P986" s="673"/>
    </row>
    <row r="987" spans="1:28" ht="15" customHeight="1" thickBot="1">
      <c r="A987" s="217"/>
      <c r="B987" s="208"/>
      <c r="AA987" s="205"/>
      <c r="AB987" s="205"/>
    </row>
    <row r="988" spans="1:28" s="281" customFormat="1" ht="75" customHeight="1" thickBot="1">
      <c r="A988" s="217"/>
      <c r="B988" s="1925" t="s">
        <v>15</v>
      </c>
      <c r="C988" s="1926" t="s">
        <v>606</v>
      </c>
      <c r="D988" s="1926" t="s">
        <v>625</v>
      </c>
      <c r="E988" s="1926" t="s">
        <v>607</v>
      </c>
      <c r="F988" s="1926" t="s">
        <v>614</v>
      </c>
      <c r="G988" s="1926" t="s">
        <v>980</v>
      </c>
      <c r="H988" s="1982" t="s">
        <v>608</v>
      </c>
    </row>
    <row r="989" spans="1:28" ht="16.5" customHeight="1">
      <c r="A989" s="217"/>
      <c r="B989" s="848"/>
      <c r="C989" s="848"/>
      <c r="D989" s="851"/>
      <c r="E989" s="815"/>
      <c r="F989" s="815"/>
      <c r="G989" s="815"/>
      <c r="H989" s="807"/>
    </row>
    <row r="990" spans="1:28" ht="16.5" customHeight="1">
      <c r="A990" s="217"/>
      <c r="B990" s="849"/>
      <c r="C990" s="849"/>
      <c r="D990" s="852"/>
      <c r="E990" s="816"/>
      <c r="F990" s="816"/>
      <c r="G990" s="816"/>
      <c r="H990" s="809"/>
    </row>
    <row r="991" spans="1:28" ht="16.5" customHeight="1">
      <c r="A991" s="217"/>
      <c r="B991" s="849"/>
      <c r="C991" s="849"/>
      <c r="D991" s="852"/>
      <c r="E991" s="816"/>
      <c r="F991" s="816"/>
      <c r="G991" s="816"/>
      <c r="H991" s="809"/>
    </row>
    <row r="992" spans="1:28" ht="16.5" customHeight="1">
      <c r="A992" s="217"/>
      <c r="B992" s="849"/>
      <c r="C992" s="849"/>
      <c r="D992" s="852"/>
      <c r="E992" s="816"/>
      <c r="F992" s="816"/>
      <c r="G992" s="816"/>
      <c r="H992" s="809"/>
    </row>
    <row r="993" spans="1:28" ht="16.5" customHeight="1">
      <c r="A993" s="217"/>
      <c r="B993" s="849"/>
      <c r="C993" s="849"/>
      <c r="D993" s="852"/>
      <c r="E993" s="816"/>
      <c r="F993" s="816"/>
      <c r="G993" s="816"/>
      <c r="H993" s="809"/>
    </row>
    <row r="994" spans="1:28" ht="16.5" customHeight="1">
      <c r="A994" s="217"/>
      <c r="B994" s="849"/>
      <c r="C994" s="849"/>
      <c r="D994" s="852"/>
      <c r="E994" s="816"/>
      <c r="F994" s="816"/>
      <c r="G994" s="816"/>
      <c r="H994" s="809"/>
    </row>
    <row r="995" spans="1:28" ht="16.5" customHeight="1">
      <c r="A995" s="217"/>
      <c r="B995" s="849"/>
      <c r="C995" s="849"/>
      <c r="D995" s="852"/>
      <c r="E995" s="816"/>
      <c r="F995" s="816"/>
      <c r="G995" s="816"/>
      <c r="H995" s="809"/>
    </row>
    <row r="996" spans="1:28" ht="16.5" customHeight="1">
      <c r="A996" s="217"/>
      <c r="B996" s="849"/>
      <c r="C996" s="849"/>
      <c r="D996" s="852"/>
      <c r="E996" s="816"/>
      <c r="F996" s="816"/>
      <c r="G996" s="816"/>
      <c r="H996" s="809"/>
    </row>
    <row r="997" spans="1:28" ht="16.5" customHeight="1">
      <c r="A997" s="217"/>
      <c r="B997" s="849"/>
      <c r="C997" s="849"/>
      <c r="D997" s="852"/>
      <c r="E997" s="816"/>
      <c r="F997" s="816"/>
      <c r="G997" s="816"/>
      <c r="H997" s="809"/>
    </row>
    <row r="998" spans="1:28" ht="15.75" customHeight="1" thickBot="1">
      <c r="A998" s="217"/>
      <c r="B998" s="850"/>
      <c r="C998" s="850"/>
      <c r="D998" s="853"/>
      <c r="E998" s="817"/>
      <c r="F998" s="817"/>
      <c r="G998" s="817"/>
      <c r="H998" s="811"/>
    </row>
    <row r="999" spans="1:28" ht="15.75" customHeight="1">
      <c r="A999" s="217"/>
      <c r="B999" s="281"/>
      <c r="C999" s="281"/>
      <c r="D999" s="215"/>
    </row>
    <row r="1000" spans="1:28" ht="12.75" customHeight="1">
      <c r="A1000" s="217"/>
      <c r="B1000" s="205" t="s">
        <v>130</v>
      </c>
    </row>
    <row r="1001" spans="1:28" ht="12.75" customHeight="1" thickBot="1">
      <c r="A1001" s="217"/>
    </row>
    <row r="1002" spans="1:28" ht="150" customHeight="1" thickBot="1">
      <c r="A1002" s="217"/>
      <c r="B1002" s="1895"/>
      <c r="C1002" s="1901"/>
      <c r="D1002" s="1901"/>
      <c r="E1002" s="1902"/>
      <c r="F1002" s="678"/>
      <c r="G1002" s="678"/>
      <c r="H1002" s="678"/>
      <c r="I1002" s="678"/>
      <c r="J1002" s="678"/>
      <c r="K1002" s="678"/>
      <c r="L1002" s="678"/>
      <c r="M1002" s="678"/>
      <c r="N1002" s="678"/>
      <c r="O1002" s="678"/>
      <c r="P1002" s="678"/>
      <c r="Q1002" s="228"/>
      <c r="R1002" s="228"/>
      <c r="S1002" s="228"/>
      <c r="T1002" s="228"/>
    </row>
    <row r="1003" spans="1:28" ht="12.75" customHeight="1">
      <c r="A1003" s="217"/>
      <c r="B1003" s="209"/>
      <c r="J1003" s="264"/>
    </row>
    <row r="1004" spans="1:28" ht="12.75" customHeight="1">
      <c r="A1004" s="217"/>
      <c r="B1004" s="209"/>
      <c r="J1004" s="264"/>
    </row>
    <row r="1005" spans="1:28" s="701" customFormat="1" ht="18.75">
      <c r="A1005" s="317"/>
      <c r="B1005" s="204" t="s">
        <v>6</v>
      </c>
      <c r="J1005" s="702"/>
      <c r="AA1005" s="703"/>
      <c r="AB1005" s="703"/>
    </row>
    <row r="1006" spans="1:28" ht="14.25" customHeight="1" thickBot="1">
      <c r="A1006" s="217"/>
      <c r="B1006" s="209"/>
      <c r="AA1006" s="205"/>
      <c r="AB1006" s="205"/>
    </row>
    <row r="1007" spans="1:28" s="694" customFormat="1" ht="75" customHeight="1" thickBot="1">
      <c r="A1007" s="230"/>
      <c r="B1007" s="1914" t="s">
        <v>15</v>
      </c>
      <c r="C1007" s="1906" t="s">
        <v>609</v>
      </c>
      <c r="D1007" s="1906" t="s">
        <v>981</v>
      </c>
      <c r="E1007" s="1906" t="s">
        <v>982</v>
      </c>
      <c r="F1007" s="1907" t="s">
        <v>977</v>
      </c>
    </row>
    <row r="1008" spans="1:28" ht="15" customHeight="1">
      <c r="A1008" s="217"/>
      <c r="B1008" s="830"/>
      <c r="C1008" s="815"/>
      <c r="D1008" s="815"/>
      <c r="E1008" s="815"/>
      <c r="F1008" s="807"/>
      <c r="J1008" s="264"/>
    </row>
    <row r="1009" spans="1:28" ht="15" customHeight="1">
      <c r="A1009" s="217"/>
      <c r="B1009" s="831"/>
      <c r="C1009" s="816"/>
      <c r="D1009" s="816"/>
      <c r="E1009" s="816"/>
      <c r="F1009" s="809"/>
      <c r="J1009" s="264"/>
    </row>
    <row r="1010" spans="1:28" ht="15" customHeight="1">
      <c r="A1010" s="217"/>
      <c r="B1010" s="831"/>
      <c r="C1010" s="816"/>
      <c r="D1010" s="816"/>
      <c r="E1010" s="816"/>
      <c r="F1010" s="809"/>
      <c r="J1010" s="264"/>
    </row>
    <row r="1011" spans="1:28" ht="15" customHeight="1">
      <c r="A1011" s="217"/>
      <c r="B1011" s="831"/>
      <c r="C1011" s="816"/>
      <c r="D1011" s="816"/>
      <c r="E1011" s="816"/>
      <c r="F1011" s="809"/>
      <c r="J1011" s="264"/>
    </row>
    <row r="1012" spans="1:28" ht="15" customHeight="1">
      <c r="A1012" s="217"/>
      <c r="B1012" s="831"/>
      <c r="C1012" s="816"/>
      <c r="D1012" s="816"/>
      <c r="E1012" s="816"/>
      <c r="F1012" s="809"/>
      <c r="J1012" s="264"/>
    </row>
    <row r="1013" spans="1:28" ht="15" customHeight="1">
      <c r="A1013" s="217"/>
      <c r="B1013" s="831"/>
      <c r="C1013" s="816"/>
      <c r="D1013" s="816"/>
      <c r="E1013" s="816"/>
      <c r="F1013" s="809"/>
      <c r="J1013" s="264"/>
    </row>
    <row r="1014" spans="1:28" ht="15" customHeight="1">
      <c r="A1014" s="217"/>
      <c r="B1014" s="831"/>
      <c r="C1014" s="816"/>
      <c r="D1014" s="816"/>
      <c r="E1014" s="816"/>
      <c r="F1014" s="809"/>
      <c r="J1014" s="264"/>
    </row>
    <row r="1015" spans="1:28" ht="15" customHeight="1">
      <c r="A1015" s="217"/>
      <c r="B1015" s="831"/>
      <c r="C1015" s="816"/>
      <c r="D1015" s="816"/>
      <c r="E1015" s="816"/>
      <c r="F1015" s="809"/>
      <c r="J1015" s="264"/>
    </row>
    <row r="1016" spans="1:28" ht="15" customHeight="1">
      <c r="A1016" s="217"/>
      <c r="B1016" s="831"/>
      <c r="C1016" s="816"/>
      <c r="D1016" s="816"/>
      <c r="E1016" s="816"/>
      <c r="F1016" s="809"/>
      <c r="J1016" s="264"/>
    </row>
    <row r="1017" spans="1:28" ht="15" customHeight="1" thickBot="1">
      <c r="A1017" s="217"/>
      <c r="B1017" s="832"/>
      <c r="C1017" s="817"/>
      <c r="D1017" s="817"/>
      <c r="E1017" s="817"/>
      <c r="F1017" s="811"/>
      <c r="J1017" s="264"/>
    </row>
    <row r="1018" spans="1:28" ht="15" customHeight="1">
      <c r="A1018" s="217"/>
      <c r="B1018" s="209"/>
      <c r="J1018" s="264"/>
    </row>
    <row r="1019" spans="1:28" ht="15" customHeight="1">
      <c r="A1019" s="217"/>
      <c r="B1019" s="205" t="s">
        <v>130</v>
      </c>
    </row>
    <row r="1020" spans="1:28" ht="15" customHeight="1" thickBot="1">
      <c r="A1020" s="217"/>
    </row>
    <row r="1021" spans="1:28" ht="150" customHeight="1" thickBot="1">
      <c r="A1021" s="217"/>
      <c r="B1021" s="1895"/>
      <c r="C1021" s="1901"/>
      <c r="D1021" s="1901"/>
      <c r="E1021" s="1902"/>
      <c r="F1021" s="695"/>
      <c r="G1021" s="695"/>
      <c r="H1021" s="695"/>
      <c r="I1021" s="695"/>
      <c r="J1021" s="695"/>
      <c r="K1021" s="695"/>
      <c r="L1021" s="695"/>
      <c r="M1021" s="695"/>
      <c r="N1021" s="695"/>
      <c r="O1021" s="695"/>
      <c r="P1021" s="695"/>
    </row>
    <row r="1022" spans="1:28" s="226" customFormat="1">
      <c r="A1022" s="235"/>
      <c r="B1022" s="472"/>
      <c r="C1022" s="472"/>
      <c r="D1022" s="472"/>
      <c r="E1022" s="472"/>
      <c r="F1022" s="472"/>
      <c r="G1022" s="472"/>
      <c r="H1022" s="472"/>
      <c r="I1022" s="472"/>
      <c r="J1022" s="472"/>
      <c r="K1022" s="472"/>
      <c r="L1022" s="472"/>
      <c r="M1022" s="472"/>
      <c r="N1022" s="472"/>
      <c r="O1022" s="472"/>
      <c r="P1022" s="472"/>
      <c r="AA1022" s="239"/>
      <c r="AB1022" s="239"/>
    </row>
    <row r="1023" spans="1:28" s="226" customFormat="1">
      <c r="A1023" s="235"/>
      <c r="B1023" s="728"/>
      <c r="C1023" s="728"/>
      <c r="D1023" s="728"/>
      <c r="E1023" s="728"/>
      <c r="F1023" s="728"/>
      <c r="G1023" s="728"/>
      <c r="H1023" s="728"/>
      <c r="I1023" s="728"/>
      <c r="J1023" s="728"/>
      <c r="K1023" s="728"/>
      <c r="L1023" s="728"/>
      <c r="M1023" s="728"/>
      <c r="N1023" s="728"/>
      <c r="O1023" s="728"/>
      <c r="P1023" s="728"/>
      <c r="AA1023" s="239"/>
      <c r="AB1023" s="239"/>
    </row>
    <row r="1024" spans="1:28" s="699" customFormat="1" ht="18.75">
      <c r="A1024" s="317"/>
      <c r="B1024" s="204" t="s">
        <v>681</v>
      </c>
      <c r="C1024" s="698"/>
      <c r="D1024" s="698"/>
      <c r="E1024" s="698"/>
      <c r="F1024" s="698"/>
      <c r="G1024" s="698"/>
      <c r="H1024" s="698"/>
      <c r="I1024" s="698"/>
      <c r="J1024" s="698"/>
      <c r="K1024" s="698"/>
      <c r="L1024" s="698"/>
      <c r="M1024" s="698"/>
      <c r="N1024" s="698"/>
      <c r="O1024" s="698"/>
      <c r="P1024" s="698"/>
      <c r="AA1024" s="700"/>
      <c r="AB1024" s="700"/>
    </row>
    <row r="1025" spans="1:28" s="226" customFormat="1">
      <c r="A1025" s="235"/>
      <c r="B1025" s="472"/>
      <c r="C1025" s="472"/>
      <c r="D1025" s="472"/>
      <c r="E1025" s="472"/>
      <c r="F1025" s="472"/>
      <c r="G1025" s="472"/>
      <c r="H1025" s="472"/>
      <c r="I1025" s="472"/>
      <c r="J1025" s="472"/>
      <c r="K1025" s="472"/>
      <c r="L1025" s="472"/>
      <c r="M1025" s="472"/>
      <c r="N1025" s="472"/>
      <c r="O1025" s="472"/>
      <c r="P1025" s="472"/>
      <c r="AA1025" s="239"/>
      <c r="AB1025" s="239"/>
    </row>
    <row r="1026" spans="1:28" s="226" customFormat="1" ht="30" customHeight="1">
      <c r="A1026" s="235"/>
      <c r="B1026" s="989" t="s">
        <v>682</v>
      </c>
      <c r="C1026" s="989"/>
      <c r="D1026" s="989"/>
      <c r="E1026" s="989"/>
      <c r="F1026" s="989"/>
      <c r="G1026" s="989"/>
      <c r="H1026" s="989"/>
      <c r="I1026" s="676"/>
      <c r="J1026" s="676"/>
      <c r="K1026" s="676"/>
      <c r="L1026" s="676"/>
      <c r="M1026" s="676"/>
      <c r="N1026" s="676"/>
      <c r="O1026" s="676"/>
      <c r="P1026" s="676"/>
      <c r="AA1026" s="239"/>
      <c r="AB1026" s="239"/>
    </row>
    <row r="1027" spans="1:28" s="226" customFormat="1" ht="13.5" thickBot="1">
      <c r="A1027" s="235"/>
      <c r="B1027" s="472"/>
      <c r="C1027" s="472"/>
      <c r="D1027" s="472"/>
      <c r="E1027" s="472"/>
      <c r="F1027" s="472"/>
      <c r="G1027" s="472"/>
      <c r="H1027" s="472"/>
      <c r="I1027" s="472"/>
      <c r="J1027" s="472"/>
      <c r="K1027" s="472"/>
      <c r="L1027" s="472"/>
      <c r="M1027" s="472"/>
      <c r="N1027" s="472"/>
      <c r="O1027" s="472"/>
      <c r="P1027" s="472"/>
      <c r="AA1027" s="239"/>
      <c r="AB1027" s="239"/>
    </row>
    <row r="1028" spans="1:28" s="226" customFormat="1" ht="75.75" customHeight="1" thickBot="1">
      <c r="A1028" s="235"/>
      <c r="B1028" s="1913" t="s">
        <v>128</v>
      </c>
      <c r="C1028" s="1981" t="s">
        <v>23</v>
      </c>
      <c r="D1028" s="1981" t="s">
        <v>24</v>
      </c>
      <c r="E1028" s="1965" t="s">
        <v>26</v>
      </c>
      <c r="F1028" s="1966" t="s">
        <v>39</v>
      </c>
      <c r="G1028" s="472"/>
      <c r="H1028" s="472"/>
      <c r="I1028" s="472"/>
      <c r="J1028" s="472"/>
      <c r="K1028" s="472"/>
      <c r="L1028" s="472"/>
      <c r="M1028" s="472"/>
      <c r="X1028" s="239"/>
      <c r="Y1028" s="239"/>
    </row>
    <row r="1029" spans="1:28" s="226" customFormat="1">
      <c r="A1029" s="235"/>
      <c r="B1029" s="1983"/>
      <c r="C1029" s="1969"/>
      <c r="D1029" s="1969"/>
      <c r="E1029" s="1970"/>
      <c r="F1029" s="1971"/>
      <c r="G1029" s="472"/>
      <c r="H1029" s="472"/>
      <c r="I1029" s="472"/>
      <c r="J1029" s="472"/>
      <c r="K1029" s="472"/>
      <c r="L1029" s="472"/>
      <c r="M1029" s="472"/>
      <c r="X1029" s="239"/>
      <c r="Y1029" s="239"/>
    </row>
    <row r="1030" spans="1:28" s="226" customFormat="1">
      <c r="A1030" s="235"/>
      <c r="B1030" s="1984"/>
      <c r="C1030" s="1972"/>
      <c r="D1030" s="1972"/>
      <c r="E1030" s="1973"/>
      <c r="F1030" s="1974"/>
      <c r="G1030" s="472"/>
      <c r="H1030" s="472"/>
      <c r="I1030" s="472"/>
      <c r="J1030" s="472"/>
      <c r="K1030" s="472"/>
      <c r="L1030" s="472"/>
      <c r="M1030" s="472"/>
      <c r="X1030" s="239"/>
      <c r="Y1030" s="239"/>
    </row>
    <row r="1031" spans="1:28" s="226" customFormat="1">
      <c r="A1031" s="235"/>
      <c r="B1031" s="1985"/>
      <c r="C1031" s="1972"/>
      <c r="D1031" s="1972"/>
      <c r="E1031" s="1973"/>
      <c r="F1031" s="1974"/>
      <c r="G1031" s="472"/>
      <c r="H1031" s="472"/>
      <c r="I1031" s="472"/>
      <c r="J1031" s="472"/>
      <c r="K1031" s="472"/>
      <c r="L1031" s="472"/>
      <c r="M1031" s="472"/>
      <c r="X1031" s="239"/>
      <c r="Y1031" s="239"/>
    </row>
    <row r="1032" spans="1:28" s="226" customFormat="1">
      <c r="A1032" s="235"/>
      <c r="B1032" s="1984"/>
      <c r="C1032" s="1972"/>
      <c r="D1032" s="1972"/>
      <c r="E1032" s="1973"/>
      <c r="F1032" s="1974"/>
      <c r="G1032" s="472"/>
      <c r="H1032" s="472"/>
      <c r="I1032" s="472"/>
      <c r="J1032" s="472"/>
      <c r="K1032" s="472"/>
      <c r="L1032" s="472"/>
      <c r="M1032" s="472"/>
      <c r="X1032" s="239"/>
      <c r="Y1032" s="239"/>
    </row>
    <row r="1033" spans="1:28" s="226" customFormat="1">
      <c r="A1033" s="235"/>
      <c r="B1033" s="1985"/>
      <c r="C1033" s="1972"/>
      <c r="D1033" s="1972"/>
      <c r="E1033" s="1973"/>
      <c r="F1033" s="1974"/>
      <c r="G1033" s="472"/>
      <c r="H1033" s="472"/>
      <c r="I1033" s="472"/>
      <c r="J1033" s="472"/>
      <c r="K1033" s="472"/>
      <c r="L1033" s="472"/>
      <c r="M1033" s="472"/>
      <c r="X1033" s="239"/>
      <c r="Y1033" s="239"/>
    </row>
    <row r="1034" spans="1:28" s="226" customFormat="1">
      <c r="A1034" s="235"/>
      <c r="B1034" s="1986"/>
      <c r="C1034" s="1972" t="s">
        <v>34</v>
      </c>
      <c r="D1034" s="1972" t="s">
        <v>34</v>
      </c>
      <c r="E1034" s="1975"/>
      <c r="F1034" s="1976" t="s">
        <v>34</v>
      </c>
      <c r="G1034" s="472"/>
      <c r="H1034" s="472"/>
      <c r="I1034" s="472"/>
      <c r="J1034" s="472"/>
      <c r="K1034" s="472"/>
      <c r="L1034" s="472"/>
      <c r="M1034" s="472"/>
      <c r="X1034" s="239"/>
      <c r="Y1034" s="239"/>
    </row>
    <row r="1035" spans="1:28" s="226" customFormat="1">
      <c r="A1035" s="235"/>
      <c r="B1035" s="1986"/>
      <c r="C1035" s="1972" t="s">
        <v>34</v>
      </c>
      <c r="D1035" s="1972" t="s">
        <v>34</v>
      </c>
      <c r="E1035" s="1975"/>
      <c r="F1035" s="1976" t="s">
        <v>34</v>
      </c>
      <c r="G1035" s="472"/>
      <c r="H1035" s="472"/>
      <c r="I1035" s="472"/>
      <c r="J1035" s="472"/>
      <c r="K1035" s="472"/>
      <c r="L1035" s="472"/>
      <c r="M1035" s="472"/>
      <c r="X1035" s="239"/>
      <c r="Y1035" s="239"/>
    </row>
    <row r="1036" spans="1:28" s="226" customFormat="1">
      <c r="A1036" s="235"/>
      <c r="B1036" s="1986"/>
      <c r="C1036" s="1977" t="s">
        <v>34</v>
      </c>
      <c r="D1036" s="1977" t="s">
        <v>34</v>
      </c>
      <c r="E1036" s="1975"/>
      <c r="F1036" s="1976" t="s">
        <v>34</v>
      </c>
      <c r="G1036" s="472"/>
      <c r="H1036" s="472"/>
      <c r="I1036" s="472"/>
      <c r="J1036" s="472"/>
      <c r="K1036" s="472"/>
      <c r="L1036" s="472"/>
      <c r="M1036" s="472"/>
      <c r="X1036" s="239"/>
      <c r="Y1036" s="239"/>
    </row>
    <row r="1037" spans="1:28" s="226" customFormat="1">
      <c r="A1037" s="235"/>
      <c r="B1037" s="1986"/>
      <c r="C1037" s="1977" t="s">
        <v>34</v>
      </c>
      <c r="D1037" s="1977" t="s">
        <v>34</v>
      </c>
      <c r="E1037" s="1975"/>
      <c r="F1037" s="1976" t="s">
        <v>34</v>
      </c>
      <c r="G1037" s="472"/>
      <c r="H1037" s="472"/>
      <c r="I1037" s="472"/>
      <c r="J1037" s="472"/>
      <c r="K1037" s="472"/>
      <c r="L1037" s="472"/>
      <c r="M1037" s="472"/>
      <c r="X1037" s="239"/>
      <c r="Y1037" s="239"/>
    </row>
    <row r="1038" spans="1:28" s="226" customFormat="1">
      <c r="A1038" s="235"/>
      <c r="B1038" s="1986"/>
      <c r="C1038" s="1977" t="s">
        <v>34</v>
      </c>
      <c r="D1038" s="1977" t="s">
        <v>34</v>
      </c>
      <c r="E1038" s="1975"/>
      <c r="F1038" s="1976" t="s">
        <v>34</v>
      </c>
      <c r="G1038" s="472"/>
      <c r="H1038" s="472"/>
      <c r="I1038" s="472"/>
      <c r="J1038" s="472"/>
      <c r="K1038" s="472"/>
      <c r="L1038" s="472"/>
      <c r="M1038" s="472"/>
      <c r="X1038" s="239"/>
      <c r="Y1038" s="239"/>
    </row>
    <row r="1039" spans="1:28" s="226" customFormat="1">
      <c r="A1039" s="235"/>
      <c r="B1039" s="1986"/>
      <c r="C1039" s="1977"/>
      <c r="D1039" s="1977"/>
      <c r="E1039" s="1975"/>
      <c r="F1039" s="1976"/>
      <c r="G1039" s="472"/>
      <c r="H1039" s="472"/>
      <c r="I1039" s="472"/>
      <c r="J1039" s="472"/>
      <c r="K1039" s="472"/>
      <c r="L1039" s="472"/>
      <c r="M1039" s="472"/>
      <c r="X1039" s="239"/>
      <c r="Y1039" s="239"/>
    </row>
    <row r="1040" spans="1:28" s="226" customFormat="1">
      <c r="A1040" s="235"/>
      <c r="B1040" s="1986"/>
      <c r="C1040" s="1977"/>
      <c r="D1040" s="1977"/>
      <c r="E1040" s="1975"/>
      <c r="F1040" s="1976"/>
      <c r="G1040" s="472"/>
      <c r="H1040" s="472"/>
      <c r="I1040" s="472"/>
      <c r="J1040" s="472"/>
      <c r="K1040" s="472"/>
      <c r="L1040" s="472"/>
      <c r="M1040" s="472"/>
      <c r="X1040" s="239"/>
      <c r="Y1040" s="239"/>
    </row>
    <row r="1041" spans="1:28" s="226" customFormat="1">
      <c r="A1041" s="235"/>
      <c r="B1041" s="1986"/>
      <c r="C1041" s="1977"/>
      <c r="D1041" s="1977"/>
      <c r="E1041" s="1975"/>
      <c r="F1041" s="1976"/>
      <c r="G1041" s="472"/>
      <c r="H1041" s="472"/>
      <c r="I1041" s="472"/>
      <c r="J1041" s="472"/>
      <c r="K1041" s="472"/>
      <c r="L1041" s="472"/>
      <c r="M1041" s="472"/>
      <c r="X1041" s="239"/>
      <c r="Y1041" s="239"/>
    </row>
    <row r="1042" spans="1:28" s="226" customFormat="1">
      <c r="A1042" s="235"/>
      <c r="B1042" s="1986"/>
      <c r="C1042" s="1977"/>
      <c r="D1042" s="1977"/>
      <c r="E1042" s="1975"/>
      <c r="F1042" s="1976"/>
      <c r="G1042" s="472"/>
      <c r="H1042" s="472"/>
      <c r="I1042" s="472"/>
      <c r="J1042" s="472"/>
      <c r="K1042" s="472"/>
      <c r="L1042" s="472"/>
      <c r="M1042" s="472"/>
      <c r="X1042" s="239"/>
      <c r="Y1042" s="239"/>
    </row>
    <row r="1043" spans="1:28" s="226" customFormat="1">
      <c r="A1043" s="235"/>
      <c r="B1043" s="1986"/>
      <c r="C1043" s="1977"/>
      <c r="D1043" s="1977"/>
      <c r="E1043" s="1975"/>
      <c r="F1043" s="1976"/>
      <c r="G1043" s="472"/>
      <c r="H1043" s="472"/>
      <c r="I1043" s="472"/>
      <c r="J1043" s="472"/>
      <c r="K1043" s="472"/>
      <c r="L1043" s="472"/>
      <c r="M1043" s="472"/>
      <c r="X1043" s="239"/>
      <c r="Y1043" s="239"/>
    </row>
    <row r="1044" spans="1:28" s="226" customFormat="1">
      <c r="A1044" s="235"/>
      <c r="B1044" s="1986"/>
      <c r="C1044" s="1977"/>
      <c r="D1044" s="1977"/>
      <c r="E1044" s="1975"/>
      <c r="F1044" s="1976"/>
      <c r="G1044" s="472"/>
      <c r="H1044" s="472"/>
      <c r="I1044" s="472"/>
      <c r="J1044" s="472"/>
      <c r="K1044" s="472"/>
      <c r="L1044" s="472"/>
      <c r="M1044" s="472"/>
      <c r="X1044" s="239"/>
      <c r="Y1044" s="239"/>
    </row>
    <row r="1045" spans="1:28" s="226" customFormat="1">
      <c r="A1045" s="235"/>
      <c r="B1045" s="1986"/>
      <c r="C1045" s="1977"/>
      <c r="D1045" s="1977"/>
      <c r="E1045" s="1975"/>
      <c r="F1045" s="1976"/>
      <c r="G1045" s="472"/>
      <c r="H1045" s="472"/>
      <c r="I1045" s="472"/>
      <c r="J1045" s="472"/>
      <c r="K1045" s="472"/>
      <c r="L1045" s="472"/>
      <c r="M1045" s="472"/>
      <c r="X1045" s="239"/>
      <c r="Y1045" s="239"/>
    </row>
    <row r="1046" spans="1:28" s="226" customFormat="1">
      <c r="A1046" s="235"/>
      <c r="B1046" s="1986"/>
      <c r="C1046" s="1977"/>
      <c r="D1046" s="1977"/>
      <c r="E1046" s="1975"/>
      <c r="F1046" s="1976"/>
      <c r="G1046" s="472"/>
      <c r="H1046" s="472"/>
      <c r="I1046" s="472"/>
      <c r="J1046" s="472"/>
      <c r="K1046" s="472"/>
      <c r="L1046" s="472"/>
      <c r="M1046" s="472"/>
      <c r="X1046" s="239"/>
      <c r="Y1046" s="239"/>
    </row>
    <row r="1047" spans="1:28" s="226" customFormat="1">
      <c r="A1047" s="235"/>
      <c r="B1047" s="1986"/>
      <c r="C1047" s="1977" t="s">
        <v>34</v>
      </c>
      <c r="D1047" s="1977" t="s">
        <v>34</v>
      </c>
      <c r="E1047" s="1975"/>
      <c r="F1047" s="1976" t="s">
        <v>34</v>
      </c>
      <c r="G1047" s="472"/>
      <c r="H1047" s="472"/>
      <c r="I1047" s="472"/>
      <c r="J1047" s="472"/>
      <c r="K1047" s="472"/>
      <c r="L1047" s="472"/>
      <c r="M1047" s="472"/>
      <c r="X1047" s="239"/>
      <c r="Y1047" s="239"/>
    </row>
    <row r="1048" spans="1:28" s="226" customFormat="1" ht="13.5" thickBot="1">
      <c r="A1048" s="235"/>
      <c r="B1048" s="1987"/>
      <c r="C1048" s="1978" t="s">
        <v>34</v>
      </c>
      <c r="D1048" s="1978" t="s">
        <v>34</v>
      </c>
      <c r="E1048" s="1979"/>
      <c r="F1048" s="1980" t="s">
        <v>34</v>
      </c>
      <c r="G1048" s="472"/>
      <c r="H1048" s="472"/>
      <c r="I1048" s="472"/>
      <c r="J1048" s="472"/>
      <c r="K1048" s="472"/>
      <c r="L1048" s="472"/>
      <c r="M1048" s="472"/>
      <c r="X1048" s="239"/>
      <c r="Y1048" s="239"/>
    </row>
    <row r="1049" spans="1:28" s="226" customFormat="1">
      <c r="A1049" s="235"/>
      <c r="B1049" s="472"/>
      <c r="C1049" s="472"/>
      <c r="D1049" s="472"/>
      <c r="E1049" s="472"/>
      <c r="F1049" s="472"/>
      <c r="G1049" s="472"/>
      <c r="H1049" s="472"/>
      <c r="I1049" s="472"/>
      <c r="J1049" s="472"/>
      <c r="K1049" s="472"/>
      <c r="L1049" s="472"/>
      <c r="M1049" s="472"/>
      <c r="N1049" s="472"/>
      <c r="O1049" s="472"/>
      <c r="P1049" s="472"/>
      <c r="AA1049" s="239"/>
      <c r="AB1049" s="239"/>
    </row>
    <row r="1050" spans="1:28" s="226" customFormat="1">
      <c r="A1050" s="235"/>
      <c r="B1050" s="205" t="s">
        <v>130</v>
      </c>
      <c r="C1050" s="205"/>
      <c r="D1050" s="205"/>
      <c r="E1050" s="205"/>
      <c r="F1050" s="205"/>
      <c r="G1050" s="205"/>
      <c r="H1050" s="205" t="s">
        <v>34</v>
      </c>
      <c r="I1050" s="205"/>
      <c r="J1050" s="205"/>
      <c r="K1050" s="205"/>
      <c r="L1050" s="205"/>
      <c r="M1050" s="205"/>
      <c r="N1050" s="205"/>
      <c r="O1050" s="205"/>
      <c r="P1050" s="205"/>
      <c r="AA1050" s="239"/>
      <c r="AB1050" s="239"/>
    </row>
    <row r="1051" spans="1:28" s="226" customFormat="1" ht="13.5" thickBot="1">
      <c r="A1051" s="235"/>
      <c r="B1051" s="205"/>
      <c r="C1051" s="205"/>
      <c r="D1051" s="205"/>
      <c r="E1051" s="205"/>
      <c r="F1051" s="205"/>
      <c r="G1051" s="205"/>
      <c r="H1051" s="205"/>
      <c r="I1051" s="205"/>
      <c r="J1051" s="205"/>
      <c r="K1051" s="205"/>
      <c r="L1051" s="205"/>
      <c r="M1051" s="205"/>
      <c r="N1051" s="205"/>
      <c r="O1051" s="205"/>
      <c r="P1051" s="205"/>
      <c r="AA1051" s="239"/>
      <c r="AB1051" s="239"/>
    </row>
    <row r="1052" spans="1:28" s="226" customFormat="1" ht="150" customHeight="1" thickBot="1">
      <c r="A1052" s="235"/>
      <c r="B1052" s="1895"/>
      <c r="C1052" s="1901"/>
      <c r="D1052" s="1901"/>
      <c r="E1052" s="1902"/>
      <c r="F1052" s="678"/>
      <c r="G1052" s="678"/>
      <c r="H1052" s="678"/>
      <c r="I1052" s="678"/>
      <c r="J1052" s="678"/>
      <c r="K1052" s="678"/>
      <c r="L1052" s="678"/>
      <c r="M1052" s="678"/>
      <c r="N1052" s="678"/>
      <c r="O1052" s="678"/>
      <c r="P1052" s="678"/>
      <c r="AA1052" s="239"/>
      <c r="AB1052" s="239"/>
    </row>
    <row r="1053" spans="1:28" ht="15" customHeight="1">
      <c r="A1053" s="217"/>
      <c r="B1053" s="209"/>
      <c r="J1053" s="264"/>
    </row>
    <row r="1054" spans="1:28" ht="15" customHeight="1">
      <c r="A1054" s="217"/>
      <c r="B1054" s="209"/>
      <c r="J1054" s="264"/>
    </row>
    <row r="1055" spans="1:28" ht="15" customHeight="1">
      <c r="A1055" s="210"/>
      <c r="B1055" s="204" t="s">
        <v>7</v>
      </c>
      <c r="J1055" s="264"/>
    </row>
    <row r="1056" spans="1:28" ht="15" customHeight="1" thickBot="1">
      <c r="A1056" s="210"/>
      <c r="B1056" s="211"/>
      <c r="AA1056" s="205"/>
      <c r="AB1056" s="205"/>
    </row>
    <row r="1057" spans="1:28" ht="75" customHeight="1" thickBot="1">
      <c r="A1057" s="696"/>
      <c r="B1057" s="1922" t="s">
        <v>15</v>
      </c>
      <c r="C1057" s="1894" t="s">
        <v>916</v>
      </c>
      <c r="AA1057" s="205"/>
      <c r="AB1057" s="205"/>
    </row>
    <row r="1058" spans="1:28" ht="15" customHeight="1">
      <c r="A1058" s="210"/>
      <c r="B1058" s="824"/>
      <c r="C1058" s="863"/>
      <c r="D1058" s="208"/>
      <c r="E1058" s="208"/>
      <c r="F1058" s="208"/>
      <c r="G1058" s="208"/>
      <c r="AA1058" s="205"/>
      <c r="AB1058" s="205"/>
    </row>
    <row r="1059" spans="1:28" ht="15" customHeight="1">
      <c r="A1059" s="210"/>
      <c r="B1059" s="825"/>
      <c r="C1059" s="864"/>
      <c r="D1059" s="208"/>
      <c r="E1059" s="208"/>
      <c r="F1059" s="208"/>
      <c r="G1059" s="208"/>
      <c r="AA1059" s="205"/>
      <c r="AB1059" s="205"/>
    </row>
    <row r="1060" spans="1:28" ht="15" customHeight="1">
      <c r="A1060" s="210"/>
      <c r="B1060" s="825"/>
      <c r="C1060" s="864"/>
      <c r="D1060" s="208"/>
      <c r="E1060" s="208"/>
      <c r="F1060" s="208"/>
      <c r="G1060" s="208"/>
      <c r="AA1060" s="205"/>
      <c r="AB1060" s="205"/>
    </row>
    <row r="1061" spans="1:28" ht="15" customHeight="1">
      <c r="A1061" s="210"/>
      <c r="B1061" s="825"/>
      <c r="C1061" s="864"/>
      <c r="D1061" s="208"/>
      <c r="E1061" s="208"/>
      <c r="F1061" s="208"/>
      <c r="G1061" s="208"/>
      <c r="AA1061" s="205"/>
      <c r="AB1061" s="205"/>
    </row>
    <row r="1062" spans="1:28" ht="15" customHeight="1">
      <c r="A1062" s="210"/>
      <c r="B1062" s="825"/>
      <c r="C1062" s="864"/>
      <c r="D1062" s="208"/>
      <c r="E1062" s="208"/>
      <c r="F1062" s="208"/>
      <c r="G1062" s="208"/>
      <c r="AA1062" s="205"/>
      <c r="AB1062" s="205"/>
    </row>
    <row r="1063" spans="1:28" ht="15" customHeight="1">
      <c r="A1063" s="210"/>
      <c r="B1063" s="825"/>
      <c r="C1063" s="864"/>
      <c r="D1063" s="208"/>
      <c r="E1063" s="208"/>
      <c r="F1063" s="208"/>
      <c r="G1063" s="208"/>
      <c r="AA1063" s="205"/>
      <c r="AB1063" s="205"/>
    </row>
    <row r="1064" spans="1:28" ht="15" customHeight="1">
      <c r="A1064" s="210"/>
      <c r="B1064" s="825"/>
      <c r="C1064" s="864"/>
      <c r="D1064" s="208"/>
      <c r="E1064" s="208"/>
      <c r="F1064" s="208"/>
      <c r="G1064" s="208"/>
      <c r="AA1064" s="205"/>
      <c r="AB1064" s="205"/>
    </row>
    <row r="1065" spans="1:28" ht="15" customHeight="1">
      <c r="A1065" s="210"/>
      <c r="B1065" s="825"/>
      <c r="C1065" s="864"/>
      <c r="D1065" s="208"/>
      <c r="E1065" s="208"/>
      <c r="F1065" s="208"/>
      <c r="G1065" s="208"/>
      <c r="AA1065" s="205"/>
      <c r="AB1065" s="205"/>
    </row>
    <row r="1066" spans="1:28" ht="15" customHeight="1">
      <c r="A1066" s="210"/>
      <c r="B1066" s="825"/>
      <c r="C1066" s="864"/>
      <c r="D1066" s="208"/>
      <c r="E1066" s="208"/>
      <c r="F1066" s="208"/>
      <c r="G1066" s="208"/>
      <c r="AA1066" s="205"/>
      <c r="AB1066" s="205"/>
    </row>
    <row r="1067" spans="1:28" ht="15" customHeight="1" thickBot="1">
      <c r="A1067" s="210"/>
      <c r="B1067" s="826"/>
      <c r="C1067" s="865"/>
      <c r="D1067" s="208"/>
      <c r="E1067" s="208"/>
      <c r="F1067" s="208"/>
      <c r="G1067" s="208"/>
      <c r="AA1067" s="205"/>
      <c r="AB1067" s="205"/>
    </row>
    <row r="1068" spans="1:28" ht="15" customHeight="1">
      <c r="A1068" s="210"/>
      <c r="B1068" s="669"/>
      <c r="C1068" s="208"/>
      <c r="D1068" s="208"/>
      <c r="E1068" s="208"/>
      <c r="F1068" s="208"/>
      <c r="G1068" s="208"/>
      <c r="AA1068" s="205"/>
      <c r="AB1068" s="205"/>
    </row>
    <row r="1069" spans="1:28" ht="15" customHeight="1">
      <c r="A1069" s="210"/>
      <c r="B1069" s="327" t="s">
        <v>169</v>
      </c>
      <c r="C1069" s="208"/>
      <c r="D1069" s="208"/>
      <c r="E1069" s="208"/>
      <c r="F1069" s="208"/>
      <c r="G1069" s="208"/>
      <c r="AA1069" s="205"/>
      <c r="AB1069" s="205"/>
    </row>
    <row r="1070" spans="1:28" ht="15" customHeight="1" thickBot="1">
      <c r="A1070" s="210"/>
      <c r="B1070" s="669"/>
      <c r="AA1070" s="205"/>
      <c r="AB1070" s="205"/>
    </row>
    <row r="1071" spans="1:28" s="677" customFormat="1" ht="75" customHeight="1" thickBot="1">
      <c r="A1071" s="234"/>
      <c r="B1071" s="1930" t="s">
        <v>15</v>
      </c>
      <c r="C1071" s="1906" t="s">
        <v>615</v>
      </c>
      <c r="D1071" s="1906" t="s">
        <v>610</v>
      </c>
      <c r="E1071" s="1906" t="s">
        <v>611</v>
      </c>
      <c r="F1071" s="1906" t="s">
        <v>181</v>
      </c>
      <c r="G1071" s="1906" t="s">
        <v>182</v>
      </c>
      <c r="H1071" s="1906" t="s">
        <v>183</v>
      </c>
      <c r="I1071" s="697"/>
    </row>
    <row r="1072" spans="1:28" ht="15" customHeight="1">
      <c r="A1072" s="217"/>
      <c r="B1072" s="784"/>
      <c r="C1072" s="842"/>
      <c r="D1072" s="858"/>
      <c r="E1072" s="858"/>
      <c r="F1072" s="858"/>
      <c r="G1072" s="858"/>
      <c r="H1072" s="862"/>
      <c r="I1072" s="221"/>
      <c r="U1072" s="206"/>
      <c r="V1072" s="206"/>
      <c r="AA1072" s="205"/>
      <c r="AB1072" s="205"/>
    </row>
    <row r="1073" spans="1:28" ht="15" customHeight="1">
      <c r="A1073" s="217"/>
      <c r="B1073" s="785"/>
      <c r="C1073" s="843"/>
      <c r="D1073" s="787"/>
      <c r="E1073" s="787"/>
      <c r="F1073" s="787"/>
      <c r="G1073" s="787"/>
      <c r="H1073" s="783"/>
      <c r="I1073" s="221"/>
      <c r="U1073" s="206"/>
      <c r="V1073" s="206"/>
      <c r="AA1073" s="205"/>
      <c r="AB1073" s="205"/>
    </row>
    <row r="1074" spans="1:28" ht="15" customHeight="1">
      <c r="A1074" s="217"/>
      <c r="B1074" s="785"/>
      <c r="C1074" s="843"/>
      <c r="D1074" s="787"/>
      <c r="E1074" s="787"/>
      <c r="F1074" s="787"/>
      <c r="G1074" s="787"/>
      <c r="H1074" s="783"/>
      <c r="I1074" s="221"/>
      <c r="U1074" s="206"/>
      <c r="V1074" s="206"/>
      <c r="AA1074" s="205"/>
      <c r="AB1074" s="205"/>
    </row>
    <row r="1075" spans="1:28" ht="15" customHeight="1">
      <c r="A1075" s="217"/>
      <c r="B1075" s="785"/>
      <c r="C1075" s="843"/>
      <c r="D1075" s="787"/>
      <c r="E1075" s="787"/>
      <c r="F1075" s="787"/>
      <c r="G1075" s="787"/>
      <c r="H1075" s="783"/>
      <c r="I1075" s="221"/>
      <c r="U1075" s="206"/>
      <c r="V1075" s="206"/>
      <c r="AA1075" s="205"/>
      <c r="AB1075" s="205"/>
    </row>
    <row r="1076" spans="1:28" ht="15" customHeight="1">
      <c r="A1076" s="217"/>
      <c r="B1076" s="785"/>
      <c r="C1076" s="843"/>
      <c r="D1076" s="787"/>
      <c r="E1076" s="787"/>
      <c r="F1076" s="787"/>
      <c r="G1076" s="787"/>
      <c r="H1076" s="783"/>
      <c r="I1076" s="221"/>
      <c r="U1076" s="206"/>
      <c r="V1076" s="206"/>
      <c r="AA1076" s="205"/>
      <c r="AB1076" s="205"/>
    </row>
    <row r="1077" spans="1:28" ht="15" customHeight="1">
      <c r="A1077" s="217"/>
      <c r="B1077" s="785"/>
      <c r="C1077" s="843"/>
      <c r="D1077" s="787"/>
      <c r="E1077" s="787"/>
      <c r="F1077" s="787"/>
      <c r="G1077" s="787"/>
      <c r="H1077" s="783"/>
      <c r="I1077" s="221"/>
      <c r="U1077" s="206"/>
      <c r="V1077" s="206"/>
      <c r="AA1077" s="205"/>
      <c r="AB1077" s="205"/>
    </row>
    <row r="1078" spans="1:28" ht="15" customHeight="1">
      <c r="A1078" s="217"/>
      <c r="B1078" s="785"/>
      <c r="C1078" s="843"/>
      <c r="D1078" s="787"/>
      <c r="E1078" s="787"/>
      <c r="F1078" s="787"/>
      <c r="G1078" s="787"/>
      <c r="H1078" s="783"/>
      <c r="I1078" s="221"/>
      <c r="U1078" s="206"/>
      <c r="V1078" s="206"/>
      <c r="AA1078" s="205"/>
      <c r="AB1078" s="205"/>
    </row>
    <row r="1079" spans="1:28" ht="15" customHeight="1">
      <c r="A1079" s="217"/>
      <c r="B1079" s="785"/>
      <c r="C1079" s="843"/>
      <c r="D1079" s="787"/>
      <c r="E1079" s="787"/>
      <c r="F1079" s="787"/>
      <c r="G1079" s="787"/>
      <c r="H1079" s="783"/>
      <c r="I1079" s="221"/>
      <c r="U1079" s="206"/>
      <c r="V1079" s="206"/>
      <c r="AA1079" s="205"/>
      <c r="AB1079" s="205"/>
    </row>
    <row r="1080" spans="1:28" ht="15" customHeight="1">
      <c r="A1080" s="217"/>
      <c r="B1080" s="785"/>
      <c r="C1080" s="843"/>
      <c r="D1080" s="787"/>
      <c r="E1080" s="787"/>
      <c r="F1080" s="787"/>
      <c r="G1080" s="787"/>
      <c r="H1080" s="783"/>
      <c r="I1080" s="221"/>
      <c r="U1080" s="206"/>
      <c r="V1080" s="206"/>
      <c r="AA1080" s="205"/>
      <c r="AB1080" s="205"/>
    </row>
    <row r="1081" spans="1:28" ht="15" customHeight="1" thickBot="1">
      <c r="A1081" s="217"/>
      <c r="B1081" s="786"/>
      <c r="C1081" s="844"/>
      <c r="D1081" s="753"/>
      <c r="E1081" s="753"/>
      <c r="F1081" s="753"/>
      <c r="G1081" s="753"/>
      <c r="H1081" s="747"/>
      <c r="I1081" s="221"/>
      <c r="U1081" s="206"/>
      <c r="V1081" s="206"/>
      <c r="AA1081" s="205"/>
      <c r="AB1081" s="205"/>
    </row>
    <row r="1082" spans="1:28" ht="15" customHeight="1">
      <c r="A1082" s="217"/>
      <c r="B1082" s="222"/>
      <c r="C1082" s="146"/>
      <c r="D1082" s="221"/>
      <c r="E1082" s="221"/>
      <c r="F1082" s="221"/>
      <c r="G1082" s="221"/>
      <c r="H1082" s="221"/>
      <c r="I1082" s="221"/>
      <c r="U1082" s="206"/>
      <c r="V1082" s="206"/>
      <c r="AA1082" s="205"/>
      <c r="AB1082" s="205"/>
    </row>
    <row r="1083" spans="1:28" ht="15" customHeight="1">
      <c r="A1083" s="217"/>
      <c r="B1083" s="1968" t="s">
        <v>171</v>
      </c>
      <c r="C1083" s="146"/>
      <c r="D1083" s="221"/>
      <c r="E1083" s="221"/>
      <c r="F1083" s="221"/>
      <c r="G1083" s="221"/>
      <c r="H1083" s="221"/>
      <c r="I1083" s="221"/>
      <c r="U1083" s="206"/>
      <c r="V1083" s="206"/>
      <c r="AA1083" s="205"/>
      <c r="AB1083" s="205"/>
    </row>
    <row r="1084" spans="1:28" ht="15" customHeight="1" thickBot="1">
      <c r="A1084" s="217"/>
      <c r="B1084" s="209"/>
      <c r="AA1084" s="205"/>
      <c r="AB1084" s="205"/>
    </row>
    <row r="1085" spans="1:28" s="213" customFormat="1" ht="75" customHeight="1" thickBot="1">
      <c r="A1085" s="219"/>
      <c r="B1085" s="1914" t="s">
        <v>15</v>
      </c>
      <c r="C1085" s="1906" t="s">
        <v>170</v>
      </c>
      <c r="D1085" s="1906" t="s">
        <v>172</v>
      </c>
      <c r="E1085" s="1885" t="s">
        <v>181</v>
      </c>
      <c r="F1085" s="1929" t="s">
        <v>182</v>
      </c>
      <c r="G1085" s="1894" t="s">
        <v>183</v>
      </c>
    </row>
    <row r="1086" spans="1:28" ht="12.75" customHeight="1">
      <c r="A1086" s="217"/>
      <c r="B1086" s="839"/>
      <c r="C1086" s="815"/>
      <c r="D1086" s="815"/>
      <c r="E1086" s="815"/>
      <c r="F1086" s="815"/>
      <c r="G1086" s="807"/>
      <c r="AA1086" s="205"/>
      <c r="AB1086" s="205"/>
    </row>
    <row r="1087" spans="1:28" ht="12.75" customHeight="1">
      <c r="A1087" s="217"/>
      <c r="B1087" s="840"/>
      <c r="C1087" s="816"/>
      <c r="D1087" s="816"/>
      <c r="E1087" s="816"/>
      <c r="F1087" s="816"/>
      <c r="G1087" s="809"/>
      <c r="AA1087" s="205"/>
      <c r="AB1087" s="205"/>
    </row>
    <row r="1088" spans="1:28" ht="12.75" customHeight="1">
      <c r="A1088" s="217"/>
      <c r="B1088" s="840"/>
      <c r="C1088" s="816"/>
      <c r="D1088" s="816"/>
      <c r="E1088" s="816"/>
      <c r="F1088" s="816"/>
      <c r="G1088" s="809"/>
      <c r="AA1088" s="205"/>
      <c r="AB1088" s="205"/>
    </row>
    <row r="1089" spans="1:28" ht="12.75" customHeight="1">
      <c r="A1089" s="217"/>
      <c r="B1089" s="840"/>
      <c r="C1089" s="816"/>
      <c r="D1089" s="816"/>
      <c r="E1089" s="816"/>
      <c r="F1089" s="816"/>
      <c r="G1089" s="809"/>
      <c r="AA1089" s="205"/>
      <c r="AB1089" s="205"/>
    </row>
    <row r="1090" spans="1:28" ht="12.75" customHeight="1">
      <c r="A1090" s="217"/>
      <c r="B1090" s="840"/>
      <c r="C1090" s="816"/>
      <c r="D1090" s="816"/>
      <c r="E1090" s="816"/>
      <c r="F1090" s="816"/>
      <c r="G1090" s="809"/>
      <c r="AA1090" s="205"/>
      <c r="AB1090" s="205"/>
    </row>
    <row r="1091" spans="1:28" ht="12.75" customHeight="1">
      <c r="A1091" s="217"/>
      <c r="B1091" s="840"/>
      <c r="C1091" s="816"/>
      <c r="D1091" s="816"/>
      <c r="E1091" s="816"/>
      <c r="F1091" s="816"/>
      <c r="G1091" s="809"/>
      <c r="AA1091" s="205"/>
      <c r="AB1091" s="205"/>
    </row>
    <row r="1092" spans="1:28" ht="12.75" customHeight="1">
      <c r="A1092" s="217"/>
      <c r="B1092" s="840"/>
      <c r="C1092" s="816"/>
      <c r="D1092" s="816"/>
      <c r="E1092" s="816"/>
      <c r="F1092" s="816"/>
      <c r="G1092" s="809"/>
      <c r="AA1092" s="205"/>
      <c r="AB1092" s="205"/>
    </row>
    <row r="1093" spans="1:28" ht="12.75" customHeight="1">
      <c r="A1093" s="217"/>
      <c r="B1093" s="840"/>
      <c r="C1093" s="816"/>
      <c r="D1093" s="816"/>
      <c r="E1093" s="816"/>
      <c r="F1093" s="816"/>
      <c r="G1093" s="809"/>
      <c r="AA1093" s="205"/>
      <c r="AB1093" s="205"/>
    </row>
    <row r="1094" spans="1:28" ht="12.75" customHeight="1">
      <c r="A1094" s="217"/>
      <c r="B1094" s="840"/>
      <c r="C1094" s="816"/>
      <c r="D1094" s="816"/>
      <c r="E1094" s="816"/>
      <c r="F1094" s="816"/>
      <c r="G1094" s="809"/>
      <c r="AA1094" s="205"/>
      <c r="AB1094" s="205"/>
    </row>
    <row r="1095" spans="1:28" ht="12.75" customHeight="1" thickBot="1">
      <c r="A1095" s="217"/>
      <c r="B1095" s="841"/>
      <c r="C1095" s="817"/>
      <c r="D1095" s="817"/>
      <c r="E1095" s="817"/>
      <c r="F1095" s="817"/>
      <c r="G1095" s="811"/>
      <c r="AA1095" s="205"/>
      <c r="AB1095" s="205"/>
    </row>
    <row r="1096" spans="1:28" ht="12.75" customHeight="1">
      <c r="A1096" s="217"/>
      <c r="B1096" s="675"/>
      <c r="AA1096" s="205"/>
      <c r="AB1096" s="205"/>
    </row>
    <row r="1097" spans="1:28" ht="12.75" customHeight="1">
      <c r="A1097" s="217"/>
      <c r="B1097" s="1967" t="s">
        <v>213</v>
      </c>
      <c r="AA1097" s="205"/>
      <c r="AB1097" s="205"/>
    </row>
    <row r="1098" spans="1:28" ht="12.75" customHeight="1" thickBot="1">
      <c r="A1098" s="217"/>
      <c r="B1098" s="675"/>
      <c r="AA1098" s="205"/>
      <c r="AB1098" s="205"/>
    </row>
    <row r="1099" spans="1:28" s="202" customFormat="1" ht="75" customHeight="1" thickBot="1">
      <c r="A1099" s="219"/>
      <c r="B1099" s="1925" t="s">
        <v>15</v>
      </c>
      <c r="C1099" s="1926" t="s">
        <v>217</v>
      </c>
      <c r="D1099" s="1926" t="s">
        <v>565</v>
      </c>
      <c r="E1099" s="1927" t="s">
        <v>181</v>
      </c>
      <c r="F1099" s="1927" t="s">
        <v>182</v>
      </c>
      <c r="G1099" s="1928" t="s">
        <v>183</v>
      </c>
    </row>
    <row r="1100" spans="1:28" ht="15">
      <c r="A1100" s="217"/>
      <c r="B1100" s="815"/>
      <c r="C1100" s="815"/>
      <c r="D1100" s="851"/>
      <c r="E1100" s="815"/>
      <c r="F1100" s="815"/>
      <c r="G1100" s="807"/>
      <c r="H1100" s="205" t="s">
        <v>34</v>
      </c>
    </row>
    <row r="1101" spans="1:28" ht="15">
      <c r="A1101" s="217"/>
      <c r="B1101" s="816"/>
      <c r="C1101" s="816"/>
      <c r="D1101" s="852"/>
      <c r="E1101" s="816"/>
      <c r="F1101" s="816"/>
      <c r="G1101" s="809"/>
    </row>
    <row r="1102" spans="1:28" ht="15">
      <c r="A1102" s="217"/>
      <c r="B1102" s="816"/>
      <c r="C1102" s="816"/>
      <c r="D1102" s="852"/>
      <c r="E1102" s="816"/>
      <c r="F1102" s="816"/>
      <c r="G1102" s="809"/>
    </row>
    <row r="1103" spans="1:28" ht="15">
      <c r="A1103" s="217"/>
      <c r="B1103" s="816"/>
      <c r="C1103" s="816"/>
      <c r="D1103" s="852"/>
      <c r="E1103" s="816"/>
      <c r="F1103" s="816"/>
      <c r="G1103" s="809"/>
    </row>
    <row r="1104" spans="1:28" ht="15">
      <c r="A1104" s="217"/>
      <c r="B1104" s="816"/>
      <c r="C1104" s="816"/>
      <c r="D1104" s="852"/>
      <c r="E1104" s="816"/>
      <c r="F1104" s="816"/>
      <c r="G1104" s="809"/>
    </row>
    <row r="1105" spans="1:28" ht="15">
      <c r="A1105" s="217"/>
      <c r="B1105" s="816"/>
      <c r="C1105" s="816"/>
      <c r="D1105" s="852"/>
      <c r="E1105" s="816"/>
      <c r="F1105" s="816"/>
      <c r="G1105" s="809"/>
    </row>
    <row r="1106" spans="1:28" ht="15">
      <c r="A1106" s="217"/>
      <c r="B1106" s="816"/>
      <c r="C1106" s="816"/>
      <c r="D1106" s="852"/>
      <c r="E1106" s="816"/>
      <c r="F1106" s="816"/>
      <c r="G1106" s="809"/>
    </row>
    <row r="1107" spans="1:28" ht="15">
      <c r="A1107" s="217"/>
      <c r="B1107" s="816"/>
      <c r="C1107" s="816"/>
      <c r="D1107" s="852"/>
      <c r="E1107" s="816"/>
      <c r="F1107" s="816"/>
      <c r="G1107" s="809"/>
    </row>
    <row r="1108" spans="1:28" ht="15">
      <c r="A1108" s="217"/>
      <c r="B1108" s="816"/>
      <c r="C1108" s="816"/>
      <c r="D1108" s="852"/>
      <c r="E1108" s="816"/>
      <c r="F1108" s="816"/>
      <c r="G1108" s="809"/>
    </row>
    <row r="1109" spans="1:28" ht="15.75" thickBot="1">
      <c r="A1109" s="217"/>
      <c r="B1109" s="817"/>
      <c r="C1109" s="817"/>
      <c r="D1109" s="853"/>
      <c r="E1109" s="817"/>
      <c r="F1109" s="817"/>
      <c r="G1109" s="811"/>
    </row>
    <row r="1110" spans="1:28" ht="15">
      <c r="A1110" s="217"/>
      <c r="D1110" s="215"/>
    </row>
    <row r="1111" spans="1:28" ht="12.75" customHeight="1">
      <c r="A1111" s="217"/>
      <c r="B1111" s="205" t="s">
        <v>130</v>
      </c>
      <c r="H1111" s="205" t="s">
        <v>34</v>
      </c>
    </row>
    <row r="1112" spans="1:28" ht="12.75" customHeight="1" thickBot="1">
      <c r="A1112" s="217"/>
    </row>
    <row r="1113" spans="1:28" ht="150" customHeight="1" thickBot="1">
      <c r="A1113" s="217"/>
      <c r="B1113" s="1895"/>
      <c r="C1113" s="1901"/>
      <c r="D1113" s="1901"/>
      <c r="E1113" s="1902"/>
      <c r="F1113" s="678"/>
      <c r="G1113" s="678"/>
      <c r="H1113" s="678"/>
      <c r="I1113" s="678"/>
      <c r="J1113" s="678"/>
      <c r="K1113" s="678"/>
      <c r="L1113" s="678"/>
      <c r="M1113" s="678"/>
      <c r="N1113" s="678"/>
      <c r="O1113" s="678"/>
      <c r="P1113" s="678"/>
    </row>
    <row r="1114" spans="1:28" ht="15" customHeight="1">
      <c r="A1114" s="217"/>
      <c r="B1114" s="209"/>
      <c r="J1114" s="264"/>
    </row>
    <row r="1115" spans="1:28" ht="15" customHeight="1">
      <c r="A1115" s="217"/>
      <c r="B1115" s="209"/>
      <c r="J1115" s="264"/>
    </row>
    <row r="1116" spans="1:28" ht="15" customHeight="1">
      <c r="A1116" s="210"/>
      <c r="B1116" s="204" t="s">
        <v>8</v>
      </c>
      <c r="J1116" s="264"/>
    </row>
    <row r="1117" spans="1:28" s="202" customFormat="1" ht="24" customHeight="1">
      <c r="A1117" s="269"/>
      <c r="B1117" s="986" t="s">
        <v>626</v>
      </c>
      <c r="C1117" s="986"/>
      <c r="D1117" s="986"/>
      <c r="E1117" s="986"/>
      <c r="F1117" s="986"/>
      <c r="G1117" s="986"/>
      <c r="H1117" s="986"/>
      <c r="I1117" s="986"/>
      <c r="J1117" s="986"/>
      <c r="AA1117" s="214"/>
      <c r="AB1117" s="214"/>
    </row>
    <row r="1118" spans="1:28" ht="18" customHeight="1">
      <c r="A1118" s="210"/>
      <c r="B1118" s="327" t="s">
        <v>169</v>
      </c>
      <c r="J1118" s="264"/>
    </row>
    <row r="1119" spans="1:28" ht="18" customHeight="1" thickBot="1">
      <c r="A1119" s="210"/>
      <c r="B1119" s="211"/>
      <c r="AA1119" s="205"/>
      <c r="AB1119" s="205"/>
    </row>
    <row r="1120" spans="1:28" s="281" customFormat="1" ht="75" customHeight="1" thickBot="1">
      <c r="A1120" s="210"/>
      <c r="B1120" s="1931" t="s">
        <v>15</v>
      </c>
      <c r="C1120" s="1932" t="s">
        <v>199</v>
      </c>
      <c r="D1120" s="1933" t="s">
        <v>200</v>
      </c>
    </row>
    <row r="1121" spans="1:28" ht="17.25" customHeight="1">
      <c r="A1121" s="210"/>
      <c r="B1121" s="824"/>
      <c r="C1121" s="815"/>
      <c r="D1121" s="859"/>
      <c r="U1121" s="206"/>
      <c r="V1121" s="206"/>
      <c r="W1121" s="206"/>
      <c r="AA1121" s="205"/>
      <c r="AB1121" s="205"/>
    </row>
    <row r="1122" spans="1:28" ht="17.25" customHeight="1">
      <c r="A1122" s="210"/>
      <c r="B1122" s="825"/>
      <c r="C1122" s="816"/>
      <c r="D1122" s="860"/>
      <c r="U1122" s="206"/>
      <c r="V1122" s="206"/>
      <c r="W1122" s="206"/>
      <c r="AA1122" s="205"/>
      <c r="AB1122" s="205"/>
    </row>
    <row r="1123" spans="1:28" ht="17.25" customHeight="1">
      <c r="A1123" s="210"/>
      <c r="B1123" s="825"/>
      <c r="C1123" s="816"/>
      <c r="D1123" s="860"/>
      <c r="U1123" s="206"/>
      <c r="V1123" s="206"/>
      <c r="W1123" s="206"/>
      <c r="AA1123" s="205"/>
      <c r="AB1123" s="205"/>
    </row>
    <row r="1124" spans="1:28" ht="17.25" customHeight="1">
      <c r="A1124" s="210"/>
      <c r="B1124" s="825"/>
      <c r="C1124" s="816"/>
      <c r="D1124" s="860"/>
      <c r="U1124" s="206"/>
      <c r="V1124" s="206"/>
      <c r="W1124" s="206"/>
      <c r="AA1124" s="205"/>
      <c r="AB1124" s="205"/>
    </row>
    <row r="1125" spans="1:28" ht="17.25" customHeight="1">
      <c r="A1125" s="210"/>
      <c r="B1125" s="825"/>
      <c r="C1125" s="816"/>
      <c r="D1125" s="860"/>
      <c r="U1125" s="206"/>
      <c r="V1125" s="206"/>
      <c r="W1125" s="206"/>
      <c r="AA1125" s="205"/>
      <c r="AB1125" s="205"/>
    </row>
    <row r="1126" spans="1:28" ht="17.25" customHeight="1">
      <c r="A1126" s="210"/>
      <c r="B1126" s="825"/>
      <c r="C1126" s="816"/>
      <c r="D1126" s="860"/>
      <c r="U1126" s="206"/>
      <c r="V1126" s="206"/>
      <c r="W1126" s="206"/>
      <c r="AA1126" s="205"/>
      <c r="AB1126" s="205"/>
    </row>
    <row r="1127" spans="1:28" ht="17.25" customHeight="1">
      <c r="A1127" s="210"/>
      <c r="B1127" s="825"/>
      <c r="C1127" s="816"/>
      <c r="D1127" s="860"/>
      <c r="U1127" s="206"/>
      <c r="V1127" s="206"/>
      <c r="W1127" s="206"/>
      <c r="AA1127" s="205"/>
      <c r="AB1127" s="205"/>
    </row>
    <row r="1128" spans="1:28" ht="17.25" customHeight="1">
      <c r="A1128" s="210"/>
      <c r="B1128" s="825"/>
      <c r="C1128" s="816"/>
      <c r="D1128" s="860"/>
      <c r="U1128" s="206"/>
      <c r="V1128" s="206"/>
      <c r="W1128" s="206"/>
      <c r="AA1128" s="205"/>
      <c r="AB1128" s="205"/>
    </row>
    <row r="1129" spans="1:28" ht="17.25" customHeight="1">
      <c r="A1129" s="210"/>
      <c r="B1129" s="825"/>
      <c r="C1129" s="816"/>
      <c r="D1129" s="860"/>
      <c r="U1129" s="206"/>
      <c r="V1129" s="206"/>
      <c r="W1129" s="206"/>
      <c r="AA1129" s="205"/>
      <c r="AB1129" s="205"/>
    </row>
    <row r="1130" spans="1:28" ht="17.25" customHeight="1" thickBot="1">
      <c r="A1130" s="210"/>
      <c r="B1130" s="826"/>
      <c r="C1130" s="817"/>
      <c r="D1130" s="861"/>
      <c r="U1130" s="206"/>
      <c r="V1130" s="206"/>
      <c r="W1130" s="206"/>
      <c r="AA1130" s="205"/>
      <c r="AB1130" s="205"/>
    </row>
    <row r="1131" spans="1:28" ht="18" customHeight="1">
      <c r="A1131" s="210"/>
      <c r="B1131" s="669"/>
      <c r="D1131" s="264"/>
      <c r="U1131" s="206"/>
      <c r="V1131" s="206"/>
      <c r="W1131" s="206"/>
      <c r="AA1131" s="205"/>
      <c r="AB1131" s="205"/>
    </row>
    <row r="1132" spans="1:28" ht="18" customHeight="1">
      <c r="A1132" s="210"/>
      <c r="B1132" s="327" t="s">
        <v>171</v>
      </c>
      <c r="D1132" s="264"/>
      <c r="U1132" s="206"/>
      <c r="V1132" s="206"/>
      <c r="W1132" s="206"/>
      <c r="AA1132" s="205"/>
      <c r="AB1132" s="205"/>
    </row>
    <row r="1133" spans="1:28" ht="18" customHeight="1" thickBot="1">
      <c r="B1133" s="208"/>
      <c r="AA1133" s="205"/>
      <c r="AB1133" s="205"/>
    </row>
    <row r="1134" spans="1:28" ht="75" customHeight="1" thickBot="1">
      <c r="B1134" s="1934" t="s">
        <v>15</v>
      </c>
      <c r="C1134" s="1923" t="s">
        <v>914</v>
      </c>
      <c r="D1134" s="1923" t="s">
        <v>915</v>
      </c>
      <c r="E1134" s="1923" t="s">
        <v>173</v>
      </c>
      <c r="F1134" s="1924" t="s">
        <v>667</v>
      </c>
      <c r="AA1134" s="205"/>
      <c r="AB1134" s="205"/>
    </row>
    <row r="1135" spans="1:28" ht="17.25" customHeight="1">
      <c r="B1135" s="855"/>
      <c r="C1135" s="815"/>
      <c r="D1135" s="815"/>
      <c r="E1135" s="815"/>
      <c r="F1135" s="807"/>
      <c r="AA1135" s="205"/>
      <c r="AB1135" s="205"/>
    </row>
    <row r="1136" spans="1:28" ht="17.25" customHeight="1">
      <c r="B1136" s="856"/>
      <c r="C1136" s="816"/>
      <c r="D1136" s="816"/>
      <c r="E1136" s="816"/>
      <c r="F1136" s="809"/>
      <c r="AA1136" s="205"/>
      <c r="AB1136" s="205"/>
    </row>
    <row r="1137" spans="1:28" ht="17.25" customHeight="1">
      <c r="B1137" s="856"/>
      <c r="C1137" s="816"/>
      <c r="D1137" s="816"/>
      <c r="E1137" s="816"/>
      <c r="F1137" s="809"/>
      <c r="AA1137" s="205"/>
      <c r="AB1137" s="205"/>
    </row>
    <row r="1138" spans="1:28" ht="17.25" customHeight="1">
      <c r="B1138" s="856"/>
      <c r="C1138" s="816"/>
      <c r="D1138" s="816"/>
      <c r="E1138" s="816"/>
      <c r="F1138" s="809"/>
      <c r="AA1138" s="205"/>
      <c r="AB1138" s="205"/>
    </row>
    <row r="1139" spans="1:28" ht="17.25" customHeight="1">
      <c r="B1139" s="856"/>
      <c r="C1139" s="816"/>
      <c r="D1139" s="816"/>
      <c r="E1139" s="816"/>
      <c r="F1139" s="809"/>
      <c r="AA1139" s="205"/>
      <c r="AB1139" s="205"/>
    </row>
    <row r="1140" spans="1:28" ht="17.25" customHeight="1">
      <c r="B1140" s="856"/>
      <c r="C1140" s="816"/>
      <c r="D1140" s="816"/>
      <c r="E1140" s="816"/>
      <c r="F1140" s="809"/>
      <c r="AA1140" s="205"/>
      <c r="AB1140" s="205"/>
    </row>
    <row r="1141" spans="1:28" ht="17.25" customHeight="1">
      <c r="B1141" s="856"/>
      <c r="C1141" s="816"/>
      <c r="D1141" s="816"/>
      <c r="E1141" s="816"/>
      <c r="F1141" s="809"/>
      <c r="AA1141" s="205"/>
      <c r="AB1141" s="205"/>
    </row>
    <row r="1142" spans="1:28" ht="17.25" customHeight="1">
      <c r="B1142" s="856"/>
      <c r="C1142" s="816"/>
      <c r="D1142" s="816"/>
      <c r="E1142" s="816"/>
      <c r="F1142" s="809"/>
      <c r="AA1142" s="205"/>
      <c r="AB1142" s="205"/>
    </row>
    <row r="1143" spans="1:28" ht="17.25" customHeight="1">
      <c r="B1143" s="856"/>
      <c r="C1143" s="816"/>
      <c r="D1143" s="816"/>
      <c r="E1143" s="816"/>
      <c r="F1143" s="809"/>
      <c r="AA1143" s="205"/>
      <c r="AB1143" s="205"/>
    </row>
    <row r="1144" spans="1:28" ht="17.25" customHeight="1" thickBot="1">
      <c r="B1144" s="857"/>
      <c r="C1144" s="817"/>
      <c r="D1144" s="817"/>
      <c r="E1144" s="817"/>
      <c r="F1144" s="811"/>
      <c r="AA1144" s="205"/>
      <c r="AB1144" s="205"/>
    </row>
    <row r="1145" spans="1:28" ht="18" customHeight="1">
      <c r="B1145" s="283"/>
      <c r="AA1145" s="205"/>
      <c r="AB1145" s="205"/>
    </row>
    <row r="1146" spans="1:28" ht="18" customHeight="1">
      <c r="B1146" s="1967" t="s">
        <v>213</v>
      </c>
      <c r="AA1146" s="205"/>
      <c r="AB1146" s="205"/>
    </row>
    <row r="1147" spans="1:28" ht="18" customHeight="1" thickBot="1">
      <c r="A1147" s="228"/>
      <c r="B1147" s="284"/>
      <c r="AA1147" s="205"/>
      <c r="AB1147" s="205"/>
    </row>
    <row r="1148" spans="1:28" s="720" customFormat="1" ht="75" customHeight="1" thickBot="1">
      <c r="A1148" s="281"/>
      <c r="B1148" s="1935" t="s">
        <v>15</v>
      </c>
      <c r="C1148" s="1923" t="s">
        <v>218</v>
      </c>
      <c r="D1148" s="1924" t="s">
        <v>174</v>
      </c>
    </row>
    <row r="1149" spans="1:28" ht="16.5" customHeight="1">
      <c r="B1149" s="815"/>
      <c r="C1149" s="815"/>
      <c r="D1149" s="807"/>
      <c r="AA1149" s="205"/>
      <c r="AB1149" s="205"/>
    </row>
    <row r="1150" spans="1:28" ht="16.5" customHeight="1">
      <c r="B1150" s="816"/>
      <c r="C1150" s="816"/>
      <c r="D1150" s="809"/>
      <c r="AA1150" s="205"/>
      <c r="AB1150" s="205"/>
    </row>
    <row r="1151" spans="1:28" ht="16.5" customHeight="1">
      <c r="B1151" s="816"/>
      <c r="C1151" s="816"/>
      <c r="D1151" s="809"/>
      <c r="AA1151" s="205"/>
      <c r="AB1151" s="205"/>
    </row>
    <row r="1152" spans="1:28" ht="16.5" customHeight="1">
      <c r="B1152" s="816"/>
      <c r="C1152" s="816"/>
      <c r="D1152" s="809"/>
      <c r="AA1152" s="205"/>
      <c r="AB1152" s="205"/>
    </row>
    <row r="1153" spans="1:28" ht="16.5" customHeight="1">
      <c r="B1153" s="816"/>
      <c r="C1153" s="816"/>
      <c r="D1153" s="809"/>
      <c r="AA1153" s="205"/>
      <c r="AB1153" s="205"/>
    </row>
    <row r="1154" spans="1:28" ht="16.5" customHeight="1">
      <c r="B1154" s="816"/>
      <c r="C1154" s="816"/>
      <c r="D1154" s="809"/>
      <c r="AA1154" s="205"/>
      <c r="AB1154" s="205"/>
    </row>
    <row r="1155" spans="1:28" ht="16.5" customHeight="1">
      <c r="B1155" s="816"/>
      <c r="C1155" s="816"/>
      <c r="D1155" s="809"/>
      <c r="AA1155" s="205"/>
      <c r="AB1155" s="205"/>
    </row>
    <row r="1156" spans="1:28" ht="16.5" customHeight="1">
      <c r="B1156" s="816"/>
      <c r="C1156" s="816"/>
      <c r="D1156" s="809"/>
      <c r="AA1156" s="205"/>
      <c r="AB1156" s="205"/>
    </row>
    <row r="1157" spans="1:28" ht="16.5" customHeight="1">
      <c r="B1157" s="816"/>
      <c r="C1157" s="816"/>
      <c r="D1157" s="809"/>
      <c r="AA1157" s="205"/>
      <c r="AB1157" s="205"/>
    </row>
    <row r="1158" spans="1:28" ht="23.25" customHeight="1" thickBot="1">
      <c r="B1158" s="817"/>
      <c r="C1158" s="817"/>
      <c r="D1158" s="811"/>
      <c r="AA1158" s="205"/>
      <c r="AB1158" s="205"/>
    </row>
    <row r="1159" spans="1:28" ht="12.75" customHeight="1">
      <c r="B1159" s="285"/>
      <c r="C1159" s="215"/>
    </row>
    <row r="1160" spans="1:28" ht="12.75" customHeight="1">
      <c r="B1160" s="205" t="s">
        <v>130</v>
      </c>
    </row>
    <row r="1161" spans="1:28" ht="12.75" customHeight="1" thickBot="1"/>
    <row r="1162" spans="1:28" ht="150" customHeight="1" thickBot="1">
      <c r="B1162" s="1895"/>
      <c r="C1162" s="1901"/>
      <c r="D1162" s="1901"/>
      <c r="E1162" s="1902"/>
      <c r="F1162" s="678"/>
      <c r="G1162" s="678"/>
      <c r="H1162" s="678"/>
      <c r="I1162" s="678"/>
      <c r="J1162" s="678"/>
      <c r="K1162" s="678"/>
      <c r="L1162" s="678"/>
      <c r="M1162" s="678"/>
      <c r="N1162" s="678"/>
      <c r="O1162" s="678"/>
      <c r="P1162" s="678"/>
      <c r="Q1162" s="228"/>
      <c r="R1162" s="228"/>
      <c r="S1162" s="228"/>
    </row>
    <row r="1163" spans="1:28" ht="12.75" customHeight="1"/>
    <row r="1164" spans="1:28" ht="12.75" customHeight="1"/>
    <row r="1165" spans="1:28" ht="12.75" customHeight="1"/>
    <row r="1166" spans="1:28" ht="20.25" customHeight="1">
      <c r="A1166" s="210"/>
      <c r="B1166" s="204" t="s">
        <v>215</v>
      </c>
    </row>
    <row r="1167" spans="1:28" ht="15">
      <c r="A1167" s="210"/>
      <c r="B1167" s="211"/>
    </row>
    <row r="1168" spans="1:28" ht="68.25" customHeight="1">
      <c r="A1168" s="210"/>
      <c r="B1168" s="982" t="s">
        <v>628</v>
      </c>
      <c r="C1168" s="982"/>
      <c r="D1168" s="982"/>
      <c r="E1168" s="982"/>
      <c r="F1168" s="982"/>
      <c r="G1168" s="982"/>
      <c r="H1168" s="982"/>
      <c r="I1168" s="982"/>
      <c r="J1168" s="673"/>
      <c r="K1168" s="673"/>
      <c r="L1168" s="673"/>
      <c r="M1168" s="673"/>
      <c r="N1168" s="673"/>
      <c r="O1168" s="673"/>
      <c r="P1168" s="673"/>
    </row>
    <row r="1169" spans="1:29" ht="15">
      <c r="A1169" s="210"/>
      <c r="B1169" s="286"/>
      <c r="C1169" s="286"/>
      <c r="D1169" s="286"/>
      <c r="E1169" s="286"/>
      <c r="F1169" s="286"/>
      <c r="G1169" s="286"/>
      <c r="H1169" s="286"/>
      <c r="I1169" s="286"/>
      <c r="J1169" s="286"/>
      <c r="K1169" s="286"/>
      <c r="L1169" s="286"/>
      <c r="M1169" s="286"/>
      <c r="N1169" s="286"/>
      <c r="O1169" s="286"/>
    </row>
    <row r="1170" spans="1:29" ht="15.75">
      <c r="A1170" s="210"/>
      <c r="B1170" s="327" t="s">
        <v>169</v>
      </c>
      <c r="C1170" s="286"/>
      <c r="D1170" s="286"/>
      <c r="E1170" s="286"/>
      <c r="F1170" s="286"/>
      <c r="G1170" s="286"/>
      <c r="H1170" s="286"/>
      <c r="I1170" s="286"/>
      <c r="J1170" s="286"/>
      <c r="K1170" s="286"/>
      <c r="L1170" s="286"/>
      <c r="M1170" s="286"/>
      <c r="N1170" s="286"/>
      <c r="O1170" s="286"/>
    </row>
    <row r="1171" spans="1:29" ht="8.1" customHeight="1" thickBot="1"/>
    <row r="1172" spans="1:29" s="272" customFormat="1" ht="75.75" customHeight="1" thickBot="1">
      <c r="B1172" s="1988" t="s">
        <v>179</v>
      </c>
      <c r="C1172" s="1910" t="s">
        <v>175</v>
      </c>
      <c r="D1172" s="1910" t="s">
        <v>176</v>
      </c>
      <c r="E1172" s="1910" t="s">
        <v>178</v>
      </c>
      <c r="F1172" s="1920" t="s">
        <v>177</v>
      </c>
      <c r="H1172" s="1988" t="s">
        <v>179</v>
      </c>
      <c r="I1172" s="1910" t="s">
        <v>175</v>
      </c>
      <c r="J1172" s="1910" t="s">
        <v>176</v>
      </c>
      <c r="K1172" s="1910" t="s">
        <v>178</v>
      </c>
      <c r="L1172" s="1920" t="s">
        <v>177</v>
      </c>
      <c r="M1172" s="287"/>
      <c r="AA1172" s="273"/>
      <c r="AB1172" s="273"/>
    </row>
    <row r="1173" spans="1:29">
      <c r="B1173" s="288" t="s">
        <v>627</v>
      </c>
      <c r="C1173" s="289">
        <v>1</v>
      </c>
      <c r="D1173" s="290">
        <v>1</v>
      </c>
      <c r="E1173" s="1938" t="s">
        <v>34</v>
      </c>
      <c r="F1173" s="1939" t="s">
        <v>34</v>
      </c>
      <c r="H1173" s="288" t="s">
        <v>627</v>
      </c>
      <c r="I1173" s="289">
        <v>1</v>
      </c>
      <c r="J1173" s="290">
        <v>1</v>
      </c>
      <c r="K1173" s="1989" t="s">
        <v>34</v>
      </c>
      <c r="L1173" s="1990" t="s">
        <v>34</v>
      </c>
      <c r="AA1173" s="229"/>
      <c r="AC1173" s="206"/>
    </row>
    <row r="1174" spans="1:29">
      <c r="B1174" s="291" t="s">
        <v>627</v>
      </c>
      <c r="C1174" s="292">
        <v>2</v>
      </c>
      <c r="D1174" s="293">
        <v>1</v>
      </c>
      <c r="E1174" s="1940" t="s">
        <v>34</v>
      </c>
      <c r="F1174" s="1939" t="s">
        <v>34</v>
      </c>
      <c r="H1174" s="291" t="s">
        <v>627</v>
      </c>
      <c r="I1174" s="292">
        <v>2</v>
      </c>
      <c r="J1174" s="293">
        <v>1</v>
      </c>
      <c r="K1174" s="1991" t="s">
        <v>34</v>
      </c>
      <c r="L1174" s="1992" t="s">
        <v>34</v>
      </c>
    </row>
    <row r="1175" spans="1:29">
      <c r="B1175" s="291" t="s">
        <v>627</v>
      </c>
      <c r="C1175" s="292">
        <v>2</v>
      </c>
      <c r="D1175" s="293">
        <v>2</v>
      </c>
      <c r="E1175" s="1940" t="s">
        <v>34</v>
      </c>
      <c r="F1175" s="1939" t="s">
        <v>34</v>
      </c>
      <c r="H1175" s="291" t="s">
        <v>627</v>
      </c>
      <c r="I1175" s="292">
        <v>2</v>
      </c>
      <c r="J1175" s="293">
        <v>2</v>
      </c>
      <c r="K1175" s="1991" t="s">
        <v>34</v>
      </c>
      <c r="L1175" s="1992" t="s">
        <v>34</v>
      </c>
    </row>
    <row r="1176" spans="1:29">
      <c r="B1176" s="291" t="s">
        <v>627</v>
      </c>
      <c r="C1176" s="292">
        <v>3</v>
      </c>
      <c r="D1176" s="293">
        <v>1</v>
      </c>
      <c r="E1176" s="1940" t="s">
        <v>34</v>
      </c>
      <c r="F1176" s="1939" t="s">
        <v>34</v>
      </c>
      <c r="H1176" s="291" t="s">
        <v>627</v>
      </c>
      <c r="I1176" s="292">
        <v>3</v>
      </c>
      <c r="J1176" s="293">
        <v>1</v>
      </c>
      <c r="K1176" s="1991" t="s">
        <v>34</v>
      </c>
      <c r="L1176" s="1992" t="s">
        <v>34</v>
      </c>
    </row>
    <row r="1177" spans="1:29">
      <c r="B1177" s="291" t="s">
        <v>627</v>
      </c>
      <c r="C1177" s="292">
        <v>3</v>
      </c>
      <c r="D1177" s="293">
        <v>2</v>
      </c>
      <c r="E1177" s="1940" t="s">
        <v>34</v>
      </c>
      <c r="F1177" s="1939" t="s">
        <v>34</v>
      </c>
      <c r="H1177" s="291" t="s">
        <v>627</v>
      </c>
      <c r="I1177" s="292">
        <v>3</v>
      </c>
      <c r="J1177" s="293">
        <v>2</v>
      </c>
      <c r="K1177" s="1991" t="s">
        <v>34</v>
      </c>
      <c r="L1177" s="1992" t="s">
        <v>34</v>
      </c>
    </row>
    <row r="1178" spans="1:29">
      <c r="B1178" s="291" t="s">
        <v>627</v>
      </c>
      <c r="C1178" s="292">
        <v>3</v>
      </c>
      <c r="D1178" s="293">
        <v>3</v>
      </c>
      <c r="E1178" s="1940" t="s">
        <v>34</v>
      </c>
      <c r="F1178" s="1939" t="s">
        <v>34</v>
      </c>
      <c r="H1178" s="291" t="s">
        <v>627</v>
      </c>
      <c r="I1178" s="292">
        <v>3</v>
      </c>
      <c r="J1178" s="293">
        <v>3</v>
      </c>
      <c r="K1178" s="1991" t="s">
        <v>34</v>
      </c>
      <c r="L1178" s="1992" t="s">
        <v>34</v>
      </c>
    </row>
    <row r="1179" spans="1:29">
      <c r="B1179" s="291" t="s">
        <v>627</v>
      </c>
      <c r="C1179" s="292">
        <v>4</v>
      </c>
      <c r="D1179" s="293">
        <v>1</v>
      </c>
      <c r="E1179" s="1940" t="s">
        <v>34</v>
      </c>
      <c r="F1179" s="1939" t="s">
        <v>34</v>
      </c>
      <c r="H1179" s="291" t="s">
        <v>627</v>
      </c>
      <c r="I1179" s="292">
        <v>4</v>
      </c>
      <c r="J1179" s="293">
        <v>1</v>
      </c>
      <c r="K1179" s="1991" t="s">
        <v>34</v>
      </c>
      <c r="L1179" s="1992" t="s">
        <v>34</v>
      </c>
      <c r="Z1179" s="206"/>
      <c r="AB1179" s="205"/>
    </row>
    <row r="1180" spans="1:29">
      <c r="B1180" s="291" t="s">
        <v>627</v>
      </c>
      <c r="C1180" s="292">
        <v>4</v>
      </c>
      <c r="D1180" s="293">
        <v>2</v>
      </c>
      <c r="E1180" s="1940" t="s">
        <v>34</v>
      </c>
      <c r="F1180" s="1939" t="s">
        <v>34</v>
      </c>
      <c r="H1180" s="291" t="s">
        <v>627</v>
      </c>
      <c r="I1180" s="292">
        <v>4</v>
      </c>
      <c r="J1180" s="293">
        <v>2</v>
      </c>
      <c r="K1180" s="1991" t="s">
        <v>34</v>
      </c>
      <c r="L1180" s="1992" t="s">
        <v>34</v>
      </c>
      <c r="Z1180" s="206"/>
      <c r="AB1180" s="205"/>
    </row>
    <row r="1181" spans="1:29">
      <c r="B1181" s="291" t="s">
        <v>627</v>
      </c>
      <c r="C1181" s="292">
        <v>4</v>
      </c>
      <c r="D1181" s="293">
        <v>3</v>
      </c>
      <c r="E1181" s="1940" t="s">
        <v>34</v>
      </c>
      <c r="F1181" s="1939" t="s">
        <v>34</v>
      </c>
      <c r="H1181" s="291" t="s">
        <v>627</v>
      </c>
      <c r="I1181" s="292">
        <v>4</v>
      </c>
      <c r="J1181" s="293">
        <v>3</v>
      </c>
      <c r="K1181" s="1991" t="s">
        <v>34</v>
      </c>
      <c r="L1181" s="1992" t="s">
        <v>34</v>
      </c>
      <c r="Z1181" s="206"/>
      <c r="AB1181" s="205"/>
    </row>
    <row r="1182" spans="1:29">
      <c r="B1182" s="291" t="s">
        <v>627</v>
      </c>
      <c r="C1182" s="292">
        <v>4</v>
      </c>
      <c r="D1182" s="293">
        <v>4</v>
      </c>
      <c r="E1182" s="1940" t="s">
        <v>34</v>
      </c>
      <c r="F1182" s="1939" t="s">
        <v>34</v>
      </c>
      <c r="H1182" s="291" t="s">
        <v>627</v>
      </c>
      <c r="I1182" s="292">
        <v>4</v>
      </c>
      <c r="J1182" s="293">
        <v>4</v>
      </c>
      <c r="K1182" s="1991" t="s">
        <v>34</v>
      </c>
      <c r="L1182" s="1992" t="s">
        <v>34</v>
      </c>
      <c r="Z1182" s="206"/>
      <c r="AB1182" s="205"/>
    </row>
    <row r="1183" spans="1:29">
      <c r="B1183" s="291" t="s">
        <v>627</v>
      </c>
      <c r="C1183" s="292">
        <v>5</v>
      </c>
      <c r="D1183" s="293">
        <v>1</v>
      </c>
      <c r="E1183" s="1940" t="s">
        <v>34</v>
      </c>
      <c r="F1183" s="1941" t="s">
        <v>34</v>
      </c>
      <c r="H1183" s="291" t="s">
        <v>627</v>
      </c>
      <c r="I1183" s="292">
        <v>5</v>
      </c>
      <c r="J1183" s="293">
        <v>1</v>
      </c>
      <c r="K1183" s="1991" t="s">
        <v>34</v>
      </c>
      <c r="L1183" s="1992" t="s">
        <v>34</v>
      </c>
      <c r="Z1183" s="206"/>
      <c r="AB1183" s="205"/>
    </row>
    <row r="1184" spans="1:29">
      <c r="B1184" s="291" t="s">
        <v>627</v>
      </c>
      <c r="C1184" s="292">
        <v>5</v>
      </c>
      <c r="D1184" s="293">
        <v>2</v>
      </c>
      <c r="E1184" s="1940" t="s">
        <v>34</v>
      </c>
      <c r="F1184" s="1941" t="s">
        <v>34</v>
      </c>
      <c r="H1184" s="291" t="s">
        <v>627</v>
      </c>
      <c r="I1184" s="292">
        <v>5</v>
      </c>
      <c r="J1184" s="293">
        <v>2</v>
      </c>
      <c r="K1184" s="1991" t="s">
        <v>34</v>
      </c>
      <c r="L1184" s="1992" t="s">
        <v>34</v>
      </c>
      <c r="Z1184" s="206"/>
      <c r="AB1184" s="205"/>
    </row>
    <row r="1185" spans="2:28">
      <c r="B1185" s="291" t="s">
        <v>627</v>
      </c>
      <c r="C1185" s="292">
        <v>5</v>
      </c>
      <c r="D1185" s="293">
        <v>3</v>
      </c>
      <c r="E1185" s="1940" t="s">
        <v>34</v>
      </c>
      <c r="F1185" s="1941" t="s">
        <v>34</v>
      </c>
      <c r="H1185" s="291" t="s">
        <v>627</v>
      </c>
      <c r="I1185" s="292">
        <v>5</v>
      </c>
      <c r="J1185" s="293">
        <v>3</v>
      </c>
      <c r="K1185" s="1991" t="s">
        <v>34</v>
      </c>
      <c r="L1185" s="1992" t="s">
        <v>34</v>
      </c>
      <c r="Z1185" s="206"/>
      <c r="AB1185" s="205"/>
    </row>
    <row r="1186" spans="2:28">
      <c r="B1186" s="291" t="s">
        <v>627</v>
      </c>
      <c r="C1186" s="292">
        <v>5</v>
      </c>
      <c r="D1186" s="293">
        <v>4</v>
      </c>
      <c r="E1186" s="1940" t="s">
        <v>34</v>
      </c>
      <c r="F1186" s="1941" t="s">
        <v>34</v>
      </c>
      <c r="H1186" s="291" t="s">
        <v>627</v>
      </c>
      <c r="I1186" s="292">
        <v>5</v>
      </c>
      <c r="J1186" s="293">
        <v>4</v>
      </c>
      <c r="K1186" s="1991" t="s">
        <v>34</v>
      </c>
      <c r="L1186" s="1992" t="s">
        <v>34</v>
      </c>
      <c r="Z1186" s="206"/>
      <c r="AB1186" s="205"/>
    </row>
    <row r="1187" spans="2:28" ht="13.5" thickBot="1">
      <c r="B1187" s="294" t="s">
        <v>627</v>
      </c>
      <c r="C1187" s="295">
        <v>5</v>
      </c>
      <c r="D1187" s="296">
        <v>5</v>
      </c>
      <c r="E1187" s="1942" t="s">
        <v>34</v>
      </c>
      <c r="F1187" s="1943" t="s">
        <v>34</v>
      </c>
      <c r="H1187" s="294" t="s">
        <v>627</v>
      </c>
      <c r="I1187" s="295">
        <v>5</v>
      </c>
      <c r="J1187" s="296">
        <v>5</v>
      </c>
      <c r="K1187" s="1993" t="s">
        <v>34</v>
      </c>
      <c r="L1187" s="1945" t="s">
        <v>34</v>
      </c>
      <c r="Z1187" s="206"/>
      <c r="AB1187" s="205"/>
    </row>
    <row r="1188" spans="2:28" ht="15" customHeight="1" thickBot="1">
      <c r="B1188" s="297"/>
      <c r="C1188" s="297"/>
      <c r="D1188" s="298"/>
      <c r="E1188" s="256"/>
      <c r="F1188" s="256"/>
      <c r="H1188" s="297"/>
      <c r="I1188" s="297"/>
      <c r="J1188" s="298"/>
      <c r="K1188" s="220"/>
      <c r="L1188" s="220"/>
      <c r="Z1188" s="206"/>
      <c r="AB1188" s="205"/>
    </row>
    <row r="1189" spans="2:28" ht="37.5" customHeight="1">
      <c r="B1189" s="943" t="s">
        <v>566</v>
      </c>
      <c r="C1189" s="1947"/>
      <c r="D1189" s="1948"/>
      <c r="E1189" s="1948"/>
      <c r="F1189" s="1949"/>
      <c r="G1189" s="1946"/>
      <c r="H1189" s="1946"/>
      <c r="I1189" s="1946"/>
      <c r="J1189" s="1946"/>
      <c r="K1189" s="1946"/>
      <c r="L1189" s="228"/>
      <c r="U1189" s="206"/>
      <c r="V1189" s="206"/>
      <c r="AA1189" s="205"/>
      <c r="AB1189" s="205"/>
    </row>
    <row r="1190" spans="2:28" ht="37.5" customHeight="1" thickBot="1">
      <c r="B1190" s="942" t="s">
        <v>567</v>
      </c>
      <c r="C1190" s="1950"/>
      <c r="D1190" s="1951"/>
      <c r="E1190" s="1951"/>
      <c r="F1190" s="1952"/>
      <c r="G1190" s="1946"/>
      <c r="H1190" s="1946"/>
      <c r="I1190" s="1946"/>
      <c r="J1190" s="1946"/>
      <c r="K1190" s="1946"/>
      <c r="L1190" s="228"/>
      <c r="U1190" s="206"/>
      <c r="V1190" s="206"/>
      <c r="AA1190" s="205"/>
      <c r="AB1190" s="205"/>
    </row>
    <row r="1191" spans="2:28" ht="15" customHeight="1">
      <c r="Z1191" s="206"/>
      <c r="AB1191" s="205"/>
    </row>
    <row r="1192" spans="2:28" ht="15.75">
      <c r="B1192" s="1968" t="s">
        <v>171</v>
      </c>
    </row>
    <row r="1193" spans="2:28" ht="8.1" customHeight="1" thickBot="1">
      <c r="B1193" s="990"/>
      <c r="C1193" s="990"/>
      <c r="D1193" s="990"/>
      <c r="E1193" s="990"/>
      <c r="F1193" s="990"/>
      <c r="G1193" s="990"/>
      <c r="H1193" s="990"/>
      <c r="I1193" s="990"/>
      <c r="J1193" s="990"/>
    </row>
    <row r="1194" spans="2:28" s="272" customFormat="1" ht="75.75" customHeight="1" thickBot="1">
      <c r="B1194" s="1988" t="s">
        <v>179</v>
      </c>
      <c r="C1194" s="1910" t="s">
        <v>175</v>
      </c>
      <c r="D1194" s="1910" t="s">
        <v>176</v>
      </c>
      <c r="E1194" s="1910" t="s">
        <v>178</v>
      </c>
      <c r="F1194" s="1920" t="s">
        <v>177</v>
      </c>
      <c r="H1194" s="1988" t="s">
        <v>179</v>
      </c>
      <c r="I1194" s="1910" t="s">
        <v>175</v>
      </c>
      <c r="J1194" s="1910" t="s">
        <v>176</v>
      </c>
      <c r="K1194" s="1910" t="s">
        <v>178</v>
      </c>
      <c r="L1194" s="1920" t="s">
        <v>177</v>
      </c>
      <c r="AA1194" s="273"/>
      <c r="AB1194" s="273"/>
    </row>
    <row r="1195" spans="2:28">
      <c r="B1195" s="288" t="s">
        <v>629</v>
      </c>
      <c r="C1195" s="289">
        <v>1</v>
      </c>
      <c r="D1195" s="290">
        <v>1</v>
      </c>
      <c r="E1195" s="1938" t="s">
        <v>34</v>
      </c>
      <c r="F1195" s="1939" t="s">
        <v>34</v>
      </c>
      <c r="H1195" s="288" t="s">
        <v>629</v>
      </c>
      <c r="I1195" s="289">
        <v>1</v>
      </c>
      <c r="J1195" s="290">
        <v>1</v>
      </c>
      <c r="K1195" s="1938" t="s">
        <v>34</v>
      </c>
      <c r="L1195" s="1939" t="s">
        <v>34</v>
      </c>
    </row>
    <row r="1196" spans="2:28">
      <c r="B1196" s="291" t="s">
        <v>629</v>
      </c>
      <c r="C1196" s="292">
        <v>2</v>
      </c>
      <c r="D1196" s="293">
        <v>1</v>
      </c>
      <c r="E1196" s="1940" t="s">
        <v>34</v>
      </c>
      <c r="F1196" s="1939" t="s">
        <v>34</v>
      </c>
      <c r="H1196" s="291" t="s">
        <v>629</v>
      </c>
      <c r="I1196" s="292">
        <v>2</v>
      </c>
      <c r="J1196" s="293">
        <v>1</v>
      </c>
      <c r="K1196" s="1940" t="s">
        <v>34</v>
      </c>
      <c r="L1196" s="1941" t="s">
        <v>34</v>
      </c>
    </row>
    <row r="1197" spans="2:28">
      <c r="B1197" s="291" t="s">
        <v>629</v>
      </c>
      <c r="C1197" s="292">
        <v>2</v>
      </c>
      <c r="D1197" s="293">
        <v>2</v>
      </c>
      <c r="E1197" s="1940" t="s">
        <v>34</v>
      </c>
      <c r="F1197" s="1939" t="s">
        <v>34</v>
      </c>
      <c r="H1197" s="291" t="s">
        <v>629</v>
      </c>
      <c r="I1197" s="292">
        <v>2</v>
      </c>
      <c r="J1197" s="293">
        <v>2</v>
      </c>
      <c r="K1197" s="1940" t="s">
        <v>34</v>
      </c>
      <c r="L1197" s="1941" t="s">
        <v>34</v>
      </c>
    </row>
    <row r="1198" spans="2:28">
      <c r="B1198" s="291" t="s">
        <v>629</v>
      </c>
      <c r="C1198" s="292">
        <v>3</v>
      </c>
      <c r="D1198" s="293">
        <v>1</v>
      </c>
      <c r="E1198" s="1940" t="s">
        <v>34</v>
      </c>
      <c r="F1198" s="1939" t="s">
        <v>34</v>
      </c>
      <c r="H1198" s="291" t="s">
        <v>629</v>
      </c>
      <c r="I1198" s="292">
        <v>3</v>
      </c>
      <c r="J1198" s="293">
        <v>1</v>
      </c>
      <c r="K1198" s="1940" t="s">
        <v>34</v>
      </c>
      <c r="L1198" s="1941" t="s">
        <v>34</v>
      </c>
    </row>
    <row r="1199" spans="2:28">
      <c r="B1199" s="291" t="s">
        <v>629</v>
      </c>
      <c r="C1199" s="292">
        <v>3</v>
      </c>
      <c r="D1199" s="293">
        <v>2</v>
      </c>
      <c r="E1199" s="1940" t="s">
        <v>34</v>
      </c>
      <c r="F1199" s="1939" t="s">
        <v>34</v>
      </c>
      <c r="H1199" s="291" t="s">
        <v>629</v>
      </c>
      <c r="I1199" s="292">
        <v>3</v>
      </c>
      <c r="J1199" s="293">
        <v>2</v>
      </c>
      <c r="K1199" s="1940" t="s">
        <v>34</v>
      </c>
      <c r="L1199" s="1941" t="s">
        <v>34</v>
      </c>
    </row>
    <row r="1200" spans="2:28">
      <c r="B1200" s="291" t="s">
        <v>629</v>
      </c>
      <c r="C1200" s="292">
        <v>3</v>
      </c>
      <c r="D1200" s="293">
        <v>3</v>
      </c>
      <c r="E1200" s="1940" t="s">
        <v>34</v>
      </c>
      <c r="F1200" s="1939" t="s">
        <v>34</v>
      </c>
      <c r="H1200" s="291" t="s">
        <v>629</v>
      </c>
      <c r="I1200" s="292">
        <v>3</v>
      </c>
      <c r="J1200" s="293">
        <v>3</v>
      </c>
      <c r="K1200" s="1940" t="s">
        <v>34</v>
      </c>
      <c r="L1200" s="1941" t="s">
        <v>34</v>
      </c>
    </row>
    <row r="1201" spans="2:28">
      <c r="B1201" s="291" t="s">
        <v>629</v>
      </c>
      <c r="C1201" s="292">
        <v>4</v>
      </c>
      <c r="D1201" s="293">
        <v>1</v>
      </c>
      <c r="E1201" s="1940" t="s">
        <v>34</v>
      </c>
      <c r="F1201" s="1939" t="s">
        <v>34</v>
      </c>
      <c r="H1201" s="291" t="s">
        <v>629</v>
      </c>
      <c r="I1201" s="292">
        <v>4</v>
      </c>
      <c r="J1201" s="293">
        <v>1</v>
      </c>
      <c r="K1201" s="1940" t="s">
        <v>34</v>
      </c>
      <c r="L1201" s="1941" t="s">
        <v>34</v>
      </c>
    </row>
    <row r="1202" spans="2:28">
      <c r="B1202" s="291" t="s">
        <v>629</v>
      </c>
      <c r="C1202" s="292">
        <v>4</v>
      </c>
      <c r="D1202" s="293">
        <v>2</v>
      </c>
      <c r="E1202" s="1940" t="s">
        <v>34</v>
      </c>
      <c r="F1202" s="1939" t="s">
        <v>34</v>
      </c>
      <c r="H1202" s="291" t="s">
        <v>629</v>
      </c>
      <c r="I1202" s="292">
        <v>4</v>
      </c>
      <c r="J1202" s="293">
        <v>2</v>
      </c>
      <c r="K1202" s="1940" t="s">
        <v>34</v>
      </c>
      <c r="L1202" s="1941" t="s">
        <v>34</v>
      </c>
    </row>
    <row r="1203" spans="2:28">
      <c r="B1203" s="291" t="s">
        <v>629</v>
      </c>
      <c r="C1203" s="292">
        <v>4</v>
      </c>
      <c r="D1203" s="293">
        <v>3</v>
      </c>
      <c r="E1203" s="1940" t="s">
        <v>34</v>
      </c>
      <c r="F1203" s="1939" t="s">
        <v>34</v>
      </c>
      <c r="H1203" s="291" t="s">
        <v>629</v>
      </c>
      <c r="I1203" s="292">
        <v>4</v>
      </c>
      <c r="J1203" s="293">
        <v>3</v>
      </c>
      <c r="K1203" s="1940" t="s">
        <v>34</v>
      </c>
      <c r="L1203" s="1941" t="s">
        <v>34</v>
      </c>
    </row>
    <row r="1204" spans="2:28">
      <c r="B1204" s="291" t="s">
        <v>629</v>
      </c>
      <c r="C1204" s="292">
        <v>4</v>
      </c>
      <c r="D1204" s="293">
        <v>4</v>
      </c>
      <c r="E1204" s="1940" t="s">
        <v>34</v>
      </c>
      <c r="F1204" s="1939" t="s">
        <v>34</v>
      </c>
      <c r="H1204" s="291" t="s">
        <v>629</v>
      </c>
      <c r="I1204" s="292">
        <v>4</v>
      </c>
      <c r="J1204" s="293">
        <v>4</v>
      </c>
      <c r="K1204" s="1940" t="s">
        <v>34</v>
      </c>
      <c r="L1204" s="1941" t="s">
        <v>34</v>
      </c>
    </row>
    <row r="1205" spans="2:28">
      <c r="B1205" s="291" t="s">
        <v>629</v>
      </c>
      <c r="C1205" s="292">
        <v>5</v>
      </c>
      <c r="D1205" s="293">
        <v>1</v>
      </c>
      <c r="E1205" s="1940" t="s">
        <v>34</v>
      </c>
      <c r="F1205" s="1941" t="s">
        <v>34</v>
      </c>
      <c r="H1205" s="291" t="s">
        <v>629</v>
      </c>
      <c r="I1205" s="292">
        <v>5</v>
      </c>
      <c r="J1205" s="293">
        <v>1</v>
      </c>
      <c r="K1205" s="1940" t="s">
        <v>34</v>
      </c>
      <c r="L1205" s="1941" t="s">
        <v>34</v>
      </c>
    </row>
    <row r="1206" spans="2:28">
      <c r="B1206" s="291" t="s">
        <v>629</v>
      </c>
      <c r="C1206" s="292">
        <v>5</v>
      </c>
      <c r="D1206" s="293">
        <v>2</v>
      </c>
      <c r="E1206" s="1940" t="s">
        <v>34</v>
      </c>
      <c r="F1206" s="1941" t="s">
        <v>34</v>
      </c>
      <c r="H1206" s="291" t="s">
        <v>629</v>
      </c>
      <c r="I1206" s="292">
        <v>5</v>
      </c>
      <c r="J1206" s="293">
        <v>2</v>
      </c>
      <c r="K1206" s="1940" t="s">
        <v>34</v>
      </c>
      <c r="L1206" s="1941" t="s">
        <v>34</v>
      </c>
    </row>
    <row r="1207" spans="2:28">
      <c r="B1207" s="291" t="s">
        <v>629</v>
      </c>
      <c r="C1207" s="292">
        <v>5</v>
      </c>
      <c r="D1207" s="293">
        <v>3</v>
      </c>
      <c r="E1207" s="1940" t="s">
        <v>34</v>
      </c>
      <c r="F1207" s="1941" t="s">
        <v>34</v>
      </c>
      <c r="H1207" s="291" t="s">
        <v>629</v>
      </c>
      <c r="I1207" s="292">
        <v>5</v>
      </c>
      <c r="J1207" s="293">
        <v>3</v>
      </c>
      <c r="K1207" s="1940" t="s">
        <v>34</v>
      </c>
      <c r="L1207" s="1941" t="s">
        <v>34</v>
      </c>
    </row>
    <row r="1208" spans="2:28">
      <c r="B1208" s="291" t="s">
        <v>629</v>
      </c>
      <c r="C1208" s="292">
        <v>5</v>
      </c>
      <c r="D1208" s="293">
        <v>4</v>
      </c>
      <c r="E1208" s="1940" t="s">
        <v>34</v>
      </c>
      <c r="F1208" s="1941" t="s">
        <v>34</v>
      </c>
      <c r="H1208" s="291" t="s">
        <v>629</v>
      </c>
      <c r="I1208" s="292">
        <v>5</v>
      </c>
      <c r="J1208" s="293">
        <v>4</v>
      </c>
      <c r="K1208" s="1940" t="s">
        <v>34</v>
      </c>
      <c r="L1208" s="1941" t="s">
        <v>34</v>
      </c>
    </row>
    <row r="1209" spans="2:28" ht="13.5" thickBot="1">
      <c r="B1209" s="294" t="s">
        <v>629</v>
      </c>
      <c r="C1209" s="295">
        <v>5</v>
      </c>
      <c r="D1209" s="296">
        <v>5</v>
      </c>
      <c r="E1209" s="1944" t="s">
        <v>34</v>
      </c>
      <c r="F1209" s="1945" t="s">
        <v>34</v>
      </c>
      <c r="H1209" s="294" t="s">
        <v>629</v>
      </c>
      <c r="I1209" s="295">
        <v>5</v>
      </c>
      <c r="J1209" s="296">
        <v>5</v>
      </c>
      <c r="K1209" s="1942" t="s">
        <v>34</v>
      </c>
      <c r="L1209" s="1943" t="s">
        <v>34</v>
      </c>
    </row>
    <row r="1210" spans="2:28" ht="15" customHeight="1" thickBot="1">
      <c r="B1210" s="297"/>
      <c r="C1210" s="297"/>
      <c r="D1210" s="298"/>
      <c r="E1210" s="223"/>
      <c r="F1210" s="223"/>
      <c r="H1210" s="297"/>
      <c r="I1210" s="297"/>
      <c r="J1210" s="298"/>
      <c r="K1210" s="256"/>
      <c r="L1210" s="256"/>
    </row>
    <row r="1211" spans="2:28" ht="37.5" customHeight="1" thickBot="1">
      <c r="B1211" s="1953" t="s">
        <v>566</v>
      </c>
      <c r="C1211" s="1955"/>
      <c r="D1211" s="1956"/>
      <c r="E1211" s="1956"/>
      <c r="F1211" s="1957"/>
      <c r="G1211" s="373"/>
      <c r="H1211" s="1961"/>
      <c r="I1211" s="1961"/>
      <c r="J1211" s="1961"/>
      <c r="K1211" s="1961"/>
      <c r="L1211" s="1961"/>
      <c r="M1211" s="1961"/>
      <c r="N1211" s="1961"/>
      <c r="O1211" s="1961"/>
      <c r="P1211" s="1961"/>
      <c r="Q1211" s="228"/>
    </row>
    <row r="1212" spans="2:28" ht="37.5" customHeight="1" thickBot="1">
      <c r="B1212" s="1954" t="s">
        <v>567</v>
      </c>
      <c r="C1212" s="1958"/>
      <c r="D1212" s="1959"/>
      <c r="E1212" s="1959"/>
      <c r="F1212" s="1960"/>
      <c r="G1212" s="945"/>
      <c r="H1212" s="1946"/>
      <c r="I1212" s="1946"/>
      <c r="J1212" s="1946"/>
      <c r="K1212" s="1946"/>
      <c r="L1212" s="1946"/>
      <c r="M1212" s="1946"/>
      <c r="N1212" s="1946"/>
      <c r="O1212" s="1946"/>
      <c r="P1212" s="1946"/>
      <c r="Q1212" s="228"/>
    </row>
    <row r="1213" spans="2:28" ht="15" customHeight="1"/>
    <row r="1214" spans="2:28" ht="15.75">
      <c r="B1214" s="1967" t="s">
        <v>213</v>
      </c>
    </row>
    <row r="1215" spans="2:28" ht="8.1" customHeight="1" thickBot="1"/>
    <row r="1216" spans="2:28" s="272" customFormat="1" ht="75.75" customHeight="1" thickBot="1">
      <c r="B1216" s="1988" t="s">
        <v>179</v>
      </c>
      <c r="C1216" s="1910" t="s">
        <v>175</v>
      </c>
      <c r="D1216" s="1910" t="s">
        <v>176</v>
      </c>
      <c r="E1216" s="1910" t="s">
        <v>178</v>
      </c>
      <c r="F1216" s="1920" t="s">
        <v>177</v>
      </c>
      <c r="H1216" s="1988" t="s">
        <v>179</v>
      </c>
      <c r="I1216" s="1910" t="s">
        <v>175</v>
      </c>
      <c r="J1216" s="1910" t="s">
        <v>176</v>
      </c>
      <c r="K1216" s="1910" t="s">
        <v>178</v>
      </c>
      <c r="L1216" s="1920" t="s">
        <v>177</v>
      </c>
      <c r="AA1216" s="273"/>
      <c r="AB1216" s="273"/>
    </row>
    <row r="1217" spans="2:12">
      <c r="B1217" s="288" t="s">
        <v>668</v>
      </c>
      <c r="C1217" s="289">
        <v>1</v>
      </c>
      <c r="D1217" s="290">
        <v>1</v>
      </c>
      <c r="E1217" s="1938" t="s">
        <v>34</v>
      </c>
      <c r="F1217" s="1939" t="s">
        <v>34</v>
      </c>
      <c r="H1217" s="288" t="s">
        <v>668</v>
      </c>
      <c r="I1217" s="289">
        <v>1</v>
      </c>
      <c r="J1217" s="290">
        <v>1</v>
      </c>
      <c r="K1217" s="1938" t="s">
        <v>34</v>
      </c>
      <c r="L1217" s="1939" t="s">
        <v>34</v>
      </c>
    </row>
    <row r="1218" spans="2:12">
      <c r="B1218" s="291" t="s">
        <v>668</v>
      </c>
      <c r="C1218" s="292">
        <v>2</v>
      </c>
      <c r="D1218" s="293">
        <v>1</v>
      </c>
      <c r="E1218" s="1940" t="s">
        <v>34</v>
      </c>
      <c r="F1218" s="1939" t="s">
        <v>34</v>
      </c>
      <c r="H1218" s="291" t="s">
        <v>668</v>
      </c>
      <c r="I1218" s="292">
        <v>2</v>
      </c>
      <c r="J1218" s="293">
        <v>1</v>
      </c>
      <c r="K1218" s="1940" t="s">
        <v>34</v>
      </c>
      <c r="L1218" s="1939" t="s">
        <v>34</v>
      </c>
    </row>
    <row r="1219" spans="2:12">
      <c r="B1219" s="291" t="s">
        <v>668</v>
      </c>
      <c r="C1219" s="292">
        <v>2</v>
      </c>
      <c r="D1219" s="293">
        <v>2</v>
      </c>
      <c r="E1219" s="1940" t="s">
        <v>34</v>
      </c>
      <c r="F1219" s="1939" t="s">
        <v>34</v>
      </c>
      <c r="H1219" s="291" t="s">
        <v>668</v>
      </c>
      <c r="I1219" s="292">
        <v>2</v>
      </c>
      <c r="J1219" s="293">
        <v>2</v>
      </c>
      <c r="K1219" s="1940" t="s">
        <v>34</v>
      </c>
      <c r="L1219" s="1939" t="s">
        <v>34</v>
      </c>
    </row>
    <row r="1220" spans="2:12">
      <c r="B1220" s="291" t="s">
        <v>668</v>
      </c>
      <c r="C1220" s="292">
        <v>3</v>
      </c>
      <c r="D1220" s="293">
        <v>1</v>
      </c>
      <c r="E1220" s="1940" t="s">
        <v>34</v>
      </c>
      <c r="F1220" s="1939" t="s">
        <v>34</v>
      </c>
      <c r="H1220" s="291" t="s">
        <v>668</v>
      </c>
      <c r="I1220" s="292">
        <v>3</v>
      </c>
      <c r="J1220" s="293">
        <v>1</v>
      </c>
      <c r="K1220" s="1940" t="s">
        <v>34</v>
      </c>
      <c r="L1220" s="1939" t="s">
        <v>34</v>
      </c>
    </row>
    <row r="1221" spans="2:12">
      <c r="B1221" s="291" t="s">
        <v>668</v>
      </c>
      <c r="C1221" s="292">
        <v>3</v>
      </c>
      <c r="D1221" s="293">
        <v>2</v>
      </c>
      <c r="E1221" s="1940" t="s">
        <v>34</v>
      </c>
      <c r="F1221" s="1939" t="s">
        <v>34</v>
      </c>
      <c r="H1221" s="291" t="s">
        <v>668</v>
      </c>
      <c r="I1221" s="292">
        <v>3</v>
      </c>
      <c r="J1221" s="293">
        <v>2</v>
      </c>
      <c r="K1221" s="1940" t="s">
        <v>34</v>
      </c>
      <c r="L1221" s="1939" t="s">
        <v>34</v>
      </c>
    </row>
    <row r="1222" spans="2:12">
      <c r="B1222" s="291" t="s">
        <v>668</v>
      </c>
      <c r="C1222" s="292">
        <v>3</v>
      </c>
      <c r="D1222" s="293">
        <v>3</v>
      </c>
      <c r="E1222" s="1940" t="s">
        <v>34</v>
      </c>
      <c r="F1222" s="1939" t="s">
        <v>34</v>
      </c>
      <c r="H1222" s="291" t="s">
        <v>668</v>
      </c>
      <c r="I1222" s="292">
        <v>3</v>
      </c>
      <c r="J1222" s="293">
        <v>3</v>
      </c>
      <c r="K1222" s="1940" t="s">
        <v>34</v>
      </c>
      <c r="L1222" s="1939" t="s">
        <v>34</v>
      </c>
    </row>
    <row r="1223" spans="2:12">
      <c r="B1223" s="291" t="s">
        <v>668</v>
      </c>
      <c r="C1223" s="292">
        <v>4</v>
      </c>
      <c r="D1223" s="293">
        <v>1</v>
      </c>
      <c r="E1223" s="1940" t="s">
        <v>34</v>
      </c>
      <c r="F1223" s="1939" t="s">
        <v>34</v>
      </c>
      <c r="H1223" s="291" t="s">
        <v>668</v>
      </c>
      <c r="I1223" s="292">
        <v>4</v>
      </c>
      <c r="J1223" s="293">
        <v>1</v>
      </c>
      <c r="K1223" s="1940" t="s">
        <v>34</v>
      </c>
      <c r="L1223" s="1939" t="s">
        <v>34</v>
      </c>
    </row>
    <row r="1224" spans="2:12">
      <c r="B1224" s="291" t="s">
        <v>668</v>
      </c>
      <c r="C1224" s="292">
        <v>4</v>
      </c>
      <c r="D1224" s="293">
        <v>2</v>
      </c>
      <c r="E1224" s="1940" t="s">
        <v>34</v>
      </c>
      <c r="F1224" s="1939" t="s">
        <v>34</v>
      </c>
      <c r="H1224" s="291" t="s">
        <v>668</v>
      </c>
      <c r="I1224" s="292">
        <v>4</v>
      </c>
      <c r="J1224" s="293">
        <v>2</v>
      </c>
      <c r="K1224" s="1940" t="s">
        <v>34</v>
      </c>
      <c r="L1224" s="1939" t="s">
        <v>34</v>
      </c>
    </row>
    <row r="1225" spans="2:12">
      <c r="B1225" s="291" t="s">
        <v>668</v>
      </c>
      <c r="C1225" s="292">
        <v>4</v>
      </c>
      <c r="D1225" s="293">
        <v>3</v>
      </c>
      <c r="E1225" s="1940" t="s">
        <v>34</v>
      </c>
      <c r="F1225" s="1939" t="s">
        <v>34</v>
      </c>
      <c r="H1225" s="291" t="s">
        <v>668</v>
      </c>
      <c r="I1225" s="292">
        <v>4</v>
      </c>
      <c r="J1225" s="293">
        <v>3</v>
      </c>
      <c r="K1225" s="1940" t="s">
        <v>34</v>
      </c>
      <c r="L1225" s="1939" t="s">
        <v>34</v>
      </c>
    </row>
    <row r="1226" spans="2:12">
      <c r="B1226" s="291" t="s">
        <v>668</v>
      </c>
      <c r="C1226" s="292">
        <v>4</v>
      </c>
      <c r="D1226" s="293">
        <v>4</v>
      </c>
      <c r="E1226" s="1940" t="s">
        <v>34</v>
      </c>
      <c r="F1226" s="1939" t="s">
        <v>34</v>
      </c>
      <c r="H1226" s="291" t="s">
        <v>668</v>
      </c>
      <c r="I1226" s="292">
        <v>4</v>
      </c>
      <c r="J1226" s="293">
        <v>4</v>
      </c>
      <c r="K1226" s="1940" t="s">
        <v>34</v>
      </c>
      <c r="L1226" s="1939" t="s">
        <v>34</v>
      </c>
    </row>
    <row r="1227" spans="2:12">
      <c r="B1227" s="291" t="s">
        <v>668</v>
      </c>
      <c r="C1227" s="292">
        <v>5</v>
      </c>
      <c r="D1227" s="293">
        <v>1</v>
      </c>
      <c r="E1227" s="1940" t="s">
        <v>34</v>
      </c>
      <c r="F1227" s="1941" t="s">
        <v>34</v>
      </c>
      <c r="H1227" s="291" t="s">
        <v>668</v>
      </c>
      <c r="I1227" s="292">
        <v>5</v>
      </c>
      <c r="J1227" s="293">
        <v>1</v>
      </c>
      <c r="K1227" s="1940" t="s">
        <v>34</v>
      </c>
      <c r="L1227" s="1941" t="s">
        <v>34</v>
      </c>
    </row>
    <row r="1228" spans="2:12">
      <c r="B1228" s="291" t="s">
        <v>668</v>
      </c>
      <c r="C1228" s="292">
        <v>5</v>
      </c>
      <c r="D1228" s="293">
        <v>2</v>
      </c>
      <c r="E1228" s="1940" t="s">
        <v>34</v>
      </c>
      <c r="F1228" s="1941" t="s">
        <v>34</v>
      </c>
      <c r="H1228" s="291" t="s">
        <v>668</v>
      </c>
      <c r="I1228" s="292">
        <v>5</v>
      </c>
      <c r="J1228" s="293">
        <v>2</v>
      </c>
      <c r="K1228" s="1940" t="s">
        <v>34</v>
      </c>
      <c r="L1228" s="1941" t="s">
        <v>34</v>
      </c>
    </row>
    <row r="1229" spans="2:12">
      <c r="B1229" s="291" t="s">
        <v>668</v>
      </c>
      <c r="C1229" s="292">
        <v>5</v>
      </c>
      <c r="D1229" s="293">
        <v>3</v>
      </c>
      <c r="E1229" s="1940" t="s">
        <v>34</v>
      </c>
      <c r="F1229" s="1941" t="s">
        <v>34</v>
      </c>
      <c r="H1229" s="291" t="s">
        <v>668</v>
      </c>
      <c r="I1229" s="292">
        <v>5</v>
      </c>
      <c r="J1229" s="293">
        <v>3</v>
      </c>
      <c r="K1229" s="1940" t="s">
        <v>34</v>
      </c>
      <c r="L1229" s="1941" t="s">
        <v>34</v>
      </c>
    </row>
    <row r="1230" spans="2:12">
      <c r="B1230" s="291" t="s">
        <v>668</v>
      </c>
      <c r="C1230" s="292">
        <v>5</v>
      </c>
      <c r="D1230" s="293">
        <v>4</v>
      </c>
      <c r="E1230" s="1940" t="s">
        <v>34</v>
      </c>
      <c r="F1230" s="1941" t="s">
        <v>34</v>
      </c>
      <c r="H1230" s="291" t="s">
        <v>668</v>
      </c>
      <c r="I1230" s="292">
        <v>5</v>
      </c>
      <c r="J1230" s="293">
        <v>4</v>
      </c>
      <c r="K1230" s="1940" t="s">
        <v>34</v>
      </c>
      <c r="L1230" s="1941" t="s">
        <v>34</v>
      </c>
    </row>
    <row r="1231" spans="2:12" ht="13.5" thickBot="1">
      <c r="B1231" s="294" t="s">
        <v>668</v>
      </c>
      <c r="C1231" s="295">
        <v>5</v>
      </c>
      <c r="D1231" s="296">
        <v>5</v>
      </c>
      <c r="E1231" s="1944" t="s">
        <v>34</v>
      </c>
      <c r="F1231" s="1945" t="s">
        <v>34</v>
      </c>
      <c r="H1231" s="294" t="s">
        <v>668</v>
      </c>
      <c r="I1231" s="295">
        <v>5</v>
      </c>
      <c r="J1231" s="296">
        <v>5</v>
      </c>
      <c r="K1231" s="1944" t="s">
        <v>34</v>
      </c>
      <c r="L1231" s="1945" t="s">
        <v>34</v>
      </c>
    </row>
    <row r="1232" spans="2:12" ht="15" customHeight="1" thickBot="1">
      <c r="B1232" s="297"/>
      <c r="C1232" s="297"/>
      <c r="D1232" s="298"/>
      <c r="E1232" s="256"/>
      <c r="F1232" s="256"/>
      <c r="H1232" s="297"/>
      <c r="I1232" s="297"/>
      <c r="J1232" s="298"/>
      <c r="K1232" s="256"/>
      <c r="L1232" s="256"/>
    </row>
    <row r="1233" spans="1:28" ht="36.75" customHeight="1" thickBot="1">
      <c r="B1233" s="1953" t="s">
        <v>566</v>
      </c>
      <c r="C1233" s="1962"/>
      <c r="D1233" s="1963"/>
      <c r="E1233" s="1963"/>
      <c r="F1233" s="1964"/>
      <c r="M1233" s="206"/>
      <c r="N1233" s="206"/>
      <c r="AA1233" s="205"/>
      <c r="AB1233" s="205"/>
    </row>
    <row r="1234" spans="1:28" ht="36.75" customHeight="1" thickBot="1">
      <c r="B1234" s="1954" t="s">
        <v>567</v>
      </c>
      <c r="C1234" s="1962"/>
      <c r="D1234" s="1963"/>
      <c r="E1234" s="1963"/>
      <c r="F1234" s="1964"/>
      <c r="M1234" s="206"/>
      <c r="N1234" s="206"/>
      <c r="AA1234" s="205"/>
      <c r="AB1234" s="205"/>
    </row>
    <row r="1235" spans="1:28" ht="15" customHeight="1">
      <c r="B1235" s="227"/>
      <c r="C1235" s="227"/>
      <c r="D1235" s="227"/>
      <c r="E1235" s="227"/>
      <c r="F1235" s="227"/>
      <c r="G1235" s="227"/>
      <c r="H1235" s="299"/>
      <c r="I1235" s="299"/>
      <c r="J1235" s="299"/>
      <c r="K1235" s="299"/>
      <c r="L1235" s="299"/>
      <c r="M1235" s="299"/>
      <c r="N1235" s="299"/>
      <c r="O1235" s="299"/>
      <c r="P1235" s="299"/>
    </row>
    <row r="1236" spans="1:28" ht="15" customHeight="1">
      <c r="B1236" s="205" t="s">
        <v>130</v>
      </c>
    </row>
    <row r="1237" spans="1:28" ht="15" customHeight="1" thickBot="1"/>
    <row r="1238" spans="1:28" ht="150" customHeight="1" thickBot="1">
      <c r="B1238" s="1895"/>
      <c r="C1238" s="1901"/>
      <c r="D1238" s="1901"/>
      <c r="E1238" s="1902"/>
      <c r="F1238" s="678"/>
      <c r="G1238" s="678"/>
      <c r="H1238" s="678"/>
      <c r="I1238" s="678"/>
      <c r="J1238" s="678"/>
      <c r="K1238" s="678"/>
      <c r="L1238" s="678"/>
      <c r="M1238" s="678"/>
      <c r="N1238" s="678"/>
      <c r="O1238" s="678"/>
      <c r="P1238" s="678"/>
    </row>
    <row r="1241" spans="1:28" ht="21.75" customHeight="1">
      <c r="A1241" s="210"/>
      <c r="B1241" s="204" t="s">
        <v>207</v>
      </c>
    </row>
    <row r="1242" spans="1:28" ht="15" customHeight="1" thickBot="1">
      <c r="A1242" s="246"/>
      <c r="B1242" s="300"/>
      <c r="AA1242" s="205"/>
      <c r="AB1242" s="205"/>
    </row>
    <row r="1243" spans="1:28" s="721" customFormat="1" ht="75" customHeight="1" thickBot="1">
      <c r="B1243" s="1935" t="s">
        <v>15</v>
      </c>
      <c r="C1243" s="1936" t="s">
        <v>208</v>
      </c>
    </row>
    <row r="1244" spans="1:28" s="226" customFormat="1" ht="15" customHeight="1">
      <c r="B1244" s="858"/>
      <c r="C1244" s="836"/>
    </row>
    <row r="1245" spans="1:28" s="226" customFormat="1" ht="15" customHeight="1">
      <c r="B1245" s="787"/>
      <c r="C1245" s="837"/>
    </row>
    <row r="1246" spans="1:28" s="226" customFormat="1" ht="15" customHeight="1">
      <c r="B1246" s="787"/>
      <c r="C1246" s="837"/>
    </row>
    <row r="1247" spans="1:28" s="226" customFormat="1" ht="15" customHeight="1">
      <c r="B1247" s="787"/>
      <c r="C1247" s="837"/>
    </row>
    <row r="1248" spans="1:28" s="226" customFormat="1" ht="15" customHeight="1">
      <c r="B1248" s="787"/>
      <c r="C1248" s="837"/>
    </row>
    <row r="1249" spans="1:28" s="226" customFormat="1" ht="15" customHeight="1">
      <c r="B1249" s="787"/>
      <c r="C1249" s="837"/>
    </row>
    <row r="1250" spans="1:28" s="226" customFormat="1" ht="15" customHeight="1">
      <c r="B1250" s="787"/>
      <c r="C1250" s="837"/>
    </row>
    <row r="1251" spans="1:28" s="226" customFormat="1" ht="15" customHeight="1">
      <c r="B1251" s="787"/>
      <c r="C1251" s="837"/>
    </row>
    <row r="1252" spans="1:28" s="226" customFormat="1" ht="15" customHeight="1">
      <c r="B1252" s="787"/>
      <c r="C1252" s="837"/>
    </row>
    <row r="1253" spans="1:28" s="226" customFormat="1" ht="15" customHeight="1" thickBot="1">
      <c r="B1253" s="753"/>
      <c r="C1253" s="838"/>
    </row>
    <row r="1254" spans="1:28" s="226" customFormat="1" ht="15" customHeight="1">
      <c r="B1254" s="306"/>
    </row>
    <row r="1255" spans="1:28" s="226" customFormat="1" ht="15" customHeight="1">
      <c r="B1255" s="306"/>
    </row>
    <row r="1256" spans="1:28" ht="21" customHeight="1">
      <c r="A1256" s="210"/>
      <c r="B1256" s="204" t="s">
        <v>574</v>
      </c>
      <c r="AA1256" s="205"/>
      <c r="AB1256" s="205"/>
    </row>
    <row r="1257" spans="1:28" ht="15" customHeight="1" thickBot="1">
      <c r="A1257" s="246"/>
      <c r="B1257" s="300"/>
      <c r="AA1257" s="205"/>
      <c r="AB1257" s="205"/>
    </row>
    <row r="1258" spans="1:28" s="721" customFormat="1" ht="75" customHeight="1" thickBot="1">
      <c r="B1258" s="1935" t="s">
        <v>15</v>
      </c>
      <c r="C1258" s="1936" t="s">
        <v>675</v>
      </c>
    </row>
    <row r="1259" spans="1:28" ht="15" customHeight="1">
      <c r="B1259" s="815"/>
      <c r="C1259" s="807"/>
    </row>
    <row r="1260" spans="1:28" ht="15" customHeight="1">
      <c r="B1260" s="816"/>
      <c r="C1260" s="809"/>
    </row>
    <row r="1261" spans="1:28" ht="15" customHeight="1">
      <c r="B1261" s="816"/>
      <c r="C1261" s="809"/>
    </row>
    <row r="1262" spans="1:28" ht="15" customHeight="1">
      <c r="B1262" s="816"/>
      <c r="C1262" s="809"/>
    </row>
    <row r="1263" spans="1:28" ht="15" customHeight="1">
      <c r="B1263" s="816"/>
      <c r="C1263" s="809"/>
    </row>
    <row r="1264" spans="1:28" ht="15" customHeight="1">
      <c r="B1264" s="816"/>
      <c r="C1264" s="809"/>
    </row>
    <row r="1265" spans="1:17" ht="15" customHeight="1">
      <c r="B1265" s="816"/>
      <c r="C1265" s="809"/>
    </row>
    <row r="1266" spans="1:17" ht="15" customHeight="1">
      <c r="B1266" s="816"/>
      <c r="C1266" s="809"/>
    </row>
    <row r="1267" spans="1:17" ht="15" customHeight="1">
      <c r="B1267" s="816"/>
      <c r="C1267" s="809"/>
    </row>
    <row r="1268" spans="1:17" ht="15" customHeight="1" thickBot="1">
      <c r="B1268" s="817"/>
      <c r="C1268" s="811"/>
    </row>
    <row r="1269" spans="1:17" ht="15" customHeight="1"/>
    <row r="1270" spans="1:17" ht="15" customHeight="1">
      <c r="B1270" s="205" t="s">
        <v>130</v>
      </c>
    </row>
    <row r="1271" spans="1:17" ht="15" customHeight="1" thickBot="1"/>
    <row r="1272" spans="1:17" ht="150" customHeight="1" thickBot="1">
      <c r="B1272" s="1895"/>
      <c r="C1272" s="1901"/>
      <c r="D1272" s="1901"/>
      <c r="E1272" s="1902"/>
      <c r="F1272" s="678"/>
      <c r="G1272" s="678"/>
      <c r="H1272" s="678"/>
      <c r="I1272" s="678"/>
      <c r="J1272" s="678"/>
      <c r="K1272" s="678"/>
      <c r="L1272" s="678"/>
      <c r="M1272" s="678"/>
      <c r="N1272" s="678"/>
      <c r="O1272" s="678"/>
      <c r="P1272" s="678"/>
      <c r="Q1272" s="228"/>
    </row>
    <row r="1273" spans="1:17" ht="15" customHeight="1"/>
    <row r="1274" spans="1:17" ht="15" customHeight="1"/>
    <row r="1275" spans="1:17" ht="18.75" customHeight="1">
      <c r="A1275" s="210"/>
      <c r="B1275" s="204" t="s">
        <v>597</v>
      </c>
    </row>
    <row r="1276" spans="1:17" ht="15" customHeight="1" thickBot="1">
      <c r="A1276" s="210"/>
      <c r="B1276" s="669"/>
    </row>
    <row r="1277" spans="1:17" s="281" customFormat="1" ht="75" customHeight="1" thickBot="1">
      <c r="A1277" s="246"/>
      <c r="B1277" s="1937" t="s">
        <v>15</v>
      </c>
      <c r="C1277" s="1923" t="s">
        <v>676</v>
      </c>
      <c r="D1277" s="1923" t="s">
        <v>598</v>
      </c>
      <c r="E1277" s="1923" t="s">
        <v>677</v>
      </c>
      <c r="F1277" s="1924" t="s">
        <v>678</v>
      </c>
    </row>
    <row r="1278" spans="1:17" ht="15" customHeight="1">
      <c r="B1278" s="815"/>
      <c r="C1278" s="815"/>
      <c r="D1278" s="815"/>
      <c r="E1278" s="815"/>
      <c r="F1278" s="807"/>
    </row>
    <row r="1279" spans="1:17" ht="15" customHeight="1">
      <c r="B1279" s="816"/>
      <c r="C1279" s="816"/>
      <c r="D1279" s="816"/>
      <c r="E1279" s="816"/>
      <c r="F1279" s="809"/>
    </row>
    <row r="1280" spans="1:17" ht="15" customHeight="1">
      <c r="B1280" s="816"/>
      <c r="C1280" s="816"/>
      <c r="D1280" s="816"/>
      <c r="E1280" s="816"/>
      <c r="F1280" s="809"/>
    </row>
    <row r="1281" spans="2:28" ht="15" customHeight="1">
      <c r="B1281" s="816"/>
      <c r="C1281" s="816"/>
      <c r="D1281" s="816"/>
      <c r="E1281" s="816"/>
      <c r="F1281" s="809"/>
    </row>
    <row r="1282" spans="2:28" ht="15" customHeight="1">
      <c r="B1282" s="816"/>
      <c r="C1282" s="816"/>
      <c r="D1282" s="816"/>
      <c r="E1282" s="816"/>
      <c r="F1282" s="809"/>
    </row>
    <row r="1283" spans="2:28" ht="15" customHeight="1">
      <c r="B1283" s="816"/>
      <c r="C1283" s="816"/>
      <c r="D1283" s="816"/>
      <c r="E1283" s="816"/>
      <c r="F1283" s="809"/>
    </row>
    <row r="1284" spans="2:28" ht="15" customHeight="1">
      <c r="B1284" s="816"/>
      <c r="C1284" s="816"/>
      <c r="D1284" s="816"/>
      <c r="E1284" s="816"/>
      <c r="F1284" s="809"/>
    </row>
    <row r="1285" spans="2:28" ht="15" customHeight="1">
      <c r="B1285" s="816"/>
      <c r="C1285" s="816"/>
      <c r="D1285" s="816"/>
      <c r="E1285" s="816"/>
      <c r="F1285" s="809"/>
    </row>
    <row r="1286" spans="2:28" ht="15" customHeight="1">
      <c r="B1286" s="816"/>
      <c r="C1286" s="816"/>
      <c r="D1286" s="816"/>
      <c r="E1286" s="816"/>
      <c r="F1286" s="809"/>
    </row>
    <row r="1287" spans="2:28" ht="15" customHeight="1" thickBot="1">
      <c r="B1287" s="817"/>
      <c r="C1287" s="817"/>
      <c r="D1287" s="817"/>
      <c r="E1287" s="817"/>
      <c r="F1287" s="811"/>
    </row>
    <row r="1288" spans="2:28" ht="15" customHeight="1"/>
    <row r="1289" spans="2:28" ht="15" customHeight="1">
      <c r="B1289" s="205" t="s">
        <v>130</v>
      </c>
    </row>
    <row r="1290" spans="2:28" ht="15" customHeight="1" thickBot="1"/>
    <row r="1291" spans="2:28" ht="150" customHeight="1" thickBot="1">
      <c r="B1291" s="1895"/>
      <c r="C1291" s="1901"/>
      <c r="D1291" s="1901"/>
      <c r="E1291" s="1902"/>
      <c r="F1291" s="722"/>
      <c r="M1291" s="206"/>
      <c r="N1291" s="206"/>
      <c r="AA1291" s="205"/>
      <c r="AB1291" s="205"/>
    </row>
    <row r="1294" spans="2:28" ht="18.75">
      <c r="B1294" s="204" t="s">
        <v>893</v>
      </c>
    </row>
    <row r="1295" spans="2:28" ht="9" customHeight="1">
      <c r="B1295" s="211"/>
    </row>
    <row r="1296" spans="2:28">
      <c r="B1296" s="208" t="s">
        <v>895</v>
      </c>
    </row>
    <row r="1297" spans="2:28" ht="13.5" thickBot="1">
      <c r="B1297" s="208"/>
    </row>
    <row r="1298" spans="2:28" ht="75" customHeight="1" thickBot="1">
      <c r="B1298" s="1935" t="s">
        <v>15</v>
      </c>
      <c r="C1298" s="1907" t="s">
        <v>894</v>
      </c>
      <c r="AA1298" s="205"/>
      <c r="AB1298" s="205"/>
    </row>
    <row r="1299" spans="2:28">
      <c r="B1299" s="815"/>
      <c r="C1299" s="807"/>
    </row>
    <row r="1300" spans="2:28">
      <c r="B1300" s="816"/>
      <c r="C1300" s="809"/>
    </row>
    <row r="1301" spans="2:28">
      <c r="B1301" s="816"/>
      <c r="C1301" s="809"/>
    </row>
    <row r="1302" spans="2:28">
      <c r="B1302" s="816"/>
      <c r="C1302" s="809"/>
    </row>
    <row r="1303" spans="2:28">
      <c r="B1303" s="816"/>
      <c r="C1303" s="809"/>
    </row>
    <row r="1304" spans="2:28">
      <c r="B1304" s="816"/>
      <c r="C1304" s="809"/>
    </row>
    <row r="1305" spans="2:28">
      <c r="B1305" s="816"/>
      <c r="C1305" s="809"/>
    </row>
    <row r="1306" spans="2:28">
      <c r="B1306" s="816"/>
      <c r="C1306" s="809"/>
    </row>
    <row r="1307" spans="2:28">
      <c r="B1307" s="816"/>
      <c r="C1307" s="809"/>
    </row>
    <row r="1308" spans="2:28" ht="13.5" thickBot="1">
      <c r="B1308" s="817"/>
      <c r="C1308" s="811"/>
    </row>
  </sheetData>
  <sheetProtection formatCells="0" formatColumns="0" formatRows="0"/>
  <dataConsolidate/>
  <customSheetViews>
    <customSheetView guid="{B6007CFB-3D06-43CC-8EB0-042D40129E35}" scale="80" showPageBreaks="1" showGridLines="0" printArea="1" topLeftCell="A774">
      <selection activeCell="O203" sqref="O203"/>
      <rowBreaks count="12" manualBreakCount="12">
        <brk id="117" max="25" man="1"/>
        <brk id="153" max="16383" man="1"/>
        <brk id="182" max="25" man="1"/>
        <brk id="867" max="25" man="1"/>
        <brk id="964" max="25" man="1"/>
        <brk id="1539" max="16383" man="1"/>
        <brk id="1615" max="25" man="1"/>
        <brk id="1683" max="25" man="1"/>
        <brk id="2266" max="25" man="1"/>
        <brk id="2324" max="25" man="1"/>
        <brk id="2379" max="25" man="1"/>
        <brk id="2453" max="25" man="1"/>
      </rowBreaks>
      <pageMargins left="0" right="0" top="0.39370078740157483" bottom="0" header="0" footer="0"/>
      <pageSetup paperSize="9" scale="40" fitToHeight="6" orientation="landscape" r:id="rId1"/>
    </customSheetView>
  </customSheetViews>
  <mergeCells count="87">
    <mergeCell ref="B114:E114"/>
    <mergeCell ref="B197:O197"/>
    <mergeCell ref="B1117:J1117"/>
    <mergeCell ref="B1193:J1193"/>
    <mergeCell ref="B1113:E1113"/>
    <mergeCell ref="C4:F4"/>
    <mergeCell ref="C5:F5"/>
    <mergeCell ref="B7:E7"/>
    <mergeCell ref="G119:I120"/>
    <mergeCell ref="G121:I121"/>
    <mergeCell ref="C119:D119"/>
    <mergeCell ref="F119:F120"/>
    <mergeCell ref="E119:E120"/>
    <mergeCell ref="B134:E134"/>
    <mergeCell ref="B192:E192"/>
    <mergeCell ref="B174:E174"/>
    <mergeCell ref="B153:E153"/>
    <mergeCell ref="B119:B120"/>
    <mergeCell ref="B1272:E1272"/>
    <mergeCell ref="B1291:E1291"/>
    <mergeCell ref="B1026:H1026"/>
    <mergeCell ref="B986:H986"/>
    <mergeCell ref="B965:E965"/>
    <mergeCell ref="B1162:E1162"/>
    <mergeCell ref="B1168:I1168"/>
    <mergeCell ref="C1189:F1189"/>
    <mergeCell ref="C1190:F1190"/>
    <mergeCell ref="C1211:F1211"/>
    <mergeCell ref="B158:P158"/>
    <mergeCell ref="B212:H212"/>
    <mergeCell ref="B1002:E1002"/>
    <mergeCell ref="B1021:E1021"/>
    <mergeCell ref="B1052:E1052"/>
    <mergeCell ref="B916:E916"/>
    <mergeCell ref="B937:E937"/>
    <mergeCell ref="B981:E981"/>
    <mergeCell ref="B1238:E1238"/>
    <mergeCell ref="B436:E436"/>
    <mergeCell ref="B665:E665"/>
    <mergeCell ref="B895:E895"/>
    <mergeCell ref="B670:O670"/>
    <mergeCell ref="B922:P922"/>
    <mergeCell ref="C1212:F1212"/>
    <mergeCell ref="C1233:F1233"/>
    <mergeCell ref="C1234:F1234"/>
    <mergeCell ref="B347:B366"/>
    <mergeCell ref="B369:B388"/>
    <mergeCell ref="B391:B410"/>
    <mergeCell ref="B413:B432"/>
    <mergeCell ref="B441:H441"/>
    <mergeCell ref="B827:B846"/>
    <mergeCell ref="B960:E960"/>
    <mergeCell ref="B871:B890"/>
    <mergeCell ref="B849:B868"/>
    <mergeCell ref="B106:B110"/>
    <mergeCell ref="B805:B824"/>
    <mergeCell ref="B783:B802"/>
    <mergeCell ref="B761:B780"/>
    <mergeCell ref="B739:B758"/>
    <mergeCell ref="B717:B736"/>
    <mergeCell ref="B695:B714"/>
    <mergeCell ref="B673:B692"/>
    <mergeCell ref="B444:B463"/>
    <mergeCell ref="B466:B485"/>
    <mergeCell ref="B488:B507"/>
    <mergeCell ref="B510:B529"/>
    <mergeCell ref="B532:B551"/>
    <mergeCell ref="B554:B573"/>
    <mergeCell ref="B576:B595"/>
    <mergeCell ref="B598:B617"/>
    <mergeCell ref="B620:B639"/>
    <mergeCell ref="B642:B661"/>
    <mergeCell ref="B215:B234"/>
    <mergeCell ref="B237:B256"/>
    <mergeCell ref="B259:B278"/>
    <mergeCell ref="B281:B300"/>
    <mergeCell ref="B303:B322"/>
    <mergeCell ref="B325:B344"/>
    <mergeCell ref="B43:B47"/>
    <mergeCell ref="B50:B54"/>
    <mergeCell ref="B57:B61"/>
    <mergeCell ref="B64:B68"/>
    <mergeCell ref="B71:B75"/>
    <mergeCell ref="B78:B82"/>
    <mergeCell ref="B85:B89"/>
    <mergeCell ref="B92:B96"/>
    <mergeCell ref="B99:B103"/>
  </mergeCells>
  <dataValidations count="13">
    <dataValidation type="list" allowBlank="1" showInputMessage="1" showErrorMessage="1" sqref="F1029:F1048 H413:H432 H391:H410 H369:H388 H215:H234 H237:H257 H259:H279 H281:H301 M235:M433 H303:H323 H325:H345 H347:H367">
      <formula1>"FPS1, FPS2, FPS3, FPS4, FPS5, FPS6, FPS7, FPS8, FPS9, FPS10, FPS11,FPS12,FPS13,FPS14,FPS15,FPS16,FPS17,FPS18,FPS19,FPS20"</formula1>
    </dataValidation>
    <dataValidation type="list" allowBlank="1" showInputMessage="1" showErrorMessage="1" sqref="F1173:F1188 F1217:F1232 L1195:L1210 L1173:L1188 F1195:F1210 L1217:L1232">
      <formula1>"Yes, No, Either"</formula1>
    </dataValidation>
    <dataValidation type="list" allowBlank="1" showInputMessage="1" showErrorMessage="1" sqref="G28:G37 J28:N37">
      <formula1>"Yes, No"</formula1>
    </dataValidation>
    <dataValidation type="list" allowBlank="1" showInputMessage="1" showErrorMessage="1" sqref="E673:E693 E871:E891 E695:E714 E739:E758 E761:E781 E783:E803 E805:E824 E717:E736 E827:E847 E849:E869">
      <formula1>PENINC</formula1>
    </dataValidation>
    <dataValidation type="list" allowBlank="1" showInputMessage="1" showErrorMessage="1" sqref="D673:D693 D871:D891 D695:D714 D739:D758 D761:D781 D783:D803 D805:D824 D717:D736 D827:D847 D849:D869">
      <formula1>"Statutory, Paid, Discretionary, Insured, Notional"</formula1>
    </dataValidation>
    <dataValidation type="list" allowBlank="1" showInputMessage="1" showErrorMessage="1" sqref="C673:C693 C871:C891 C695:C714 C739:C758 C761:C781 C783:C803 C805:C824 C717:C736 C827:C847 C849:C869">
      <formula1>AllPensionerElements</formula1>
    </dataValidation>
    <dataValidation type="list" allowBlank="1" showInputMessage="1" showErrorMessage="1" sqref="K235 K433 K411 K389">
      <formula1>"Male, Female, Either"</formula1>
    </dataValidation>
    <dataValidation type="whole" allowBlank="1" showInputMessage="1" showErrorMessage="1" errorTitle="Invalid NRA" error="NRA must be between 55 and 75." sqref="C121:C130">
      <formula1>55</formula1>
      <formula2>75</formula2>
    </dataValidation>
    <dataValidation type="whole" allowBlank="1" showInputMessage="1" showErrorMessage="1" errorTitle="Invalid NRA" error="The NRA must be between 55 and 75." sqref="D121:D130">
      <formula1>55</formula1>
      <formula2>75</formula2>
    </dataValidation>
    <dataValidation type="list" allowBlank="1" showInputMessage="1" showErrorMessage="1" sqref="G121:G130">
      <formula1>"Date of birth plus NRA,Last day of the month of date of birth plus NRA,Day immediately prior to date of birth plus NRA,First day of the month following NRA,First day of the month following NRA or NRA if this is the first"</formula1>
    </dataValidation>
    <dataValidation type="list" allowBlank="1" showInputMessage="1" showErrorMessage="1" sqref="L215:L234 L413:L432 L391:L410 L369:L388 L259:L279 L281:L301 L237:L257 L303:L323 L325:L345 L347:L367">
      <formula1>DeferredXSElements</formula1>
    </dataValidation>
    <dataValidation type="list" allowBlank="1" showInputMessage="1" showErrorMessage="1" sqref="I28:I37">
      <formula1>"1,2,3,4,5,6,7,8,9,10,11,12,13,14,15,16,17,18,19,20,21,22,23,24,25,26,27,28,29,30,31,Day before retirement, Date of retirement,Day after retirement"</formula1>
    </dataValidation>
    <dataValidation type="list" allowBlank="1" showInputMessage="1" showErrorMessage="1" sqref="C5:F5 D6:G6">
      <formula1>"Final aSlary, Money Purchase, Hybrid"</formula1>
    </dataValidation>
  </dataValidations>
  <hyperlinks>
    <hyperlink ref="B9" location="Scheme_Categories" display="Scheme Categories"/>
    <hyperlink ref="B10" location="Contracted_Out" display="Contracted Out"/>
    <hyperlink ref="B11" location="NRA" display="NRA"/>
    <hyperlink ref="B12" location="Pensionable_Salary" display="Pensionable Salary "/>
    <hyperlink ref="B13" location="Career_Average_Revalued_Earnings__CARE" display="Career Average Revalued Earnings (CARE)"/>
    <hyperlink ref="B14" location="Final_Pensionable_Salary" display="Final Pensionable Salary "/>
    <hyperlink ref="B15" location="Pensionable_Service" display="Pensionable Service "/>
    <hyperlink ref="B16" location="Part_Time" display="Part Time"/>
    <hyperlink ref="B17" location="Revaluation" display="Revaluation"/>
    <hyperlink ref="B18" location="Escalation" display="Escalation"/>
    <hyperlink ref="B19" location="Historic_Benefits" display="Historic Benefits"/>
    <hyperlink ref="C9" location="AVCs" display="AVCs"/>
    <hyperlink ref="C10" location="DC" display="DC"/>
    <hyperlink ref="C11" location="PCLS_Calculation" display="PCLS Calculation"/>
    <hyperlink ref="C12" location="Commutation_Residual_Pension" display="Commutation/Residual Pension"/>
    <hyperlink ref="C13" location="Additional_Cash" display="Additional Cash"/>
    <hyperlink ref="C14" location="Spouse_Dependants_Benefits" display="Spouse/Dependants Benefits"/>
    <hyperlink ref="C15" location="Death_Lump_Sums" display="Death Lump Sums"/>
    <hyperlink ref="C16" location="Children_s_Benefits" display="Children's Benefits"/>
    <hyperlink ref="C17" location="Trivial_Commutation" display="Trivial Commutation"/>
    <hyperlink ref="C18" location="Transfers_Out" display="Transfers Out"/>
    <hyperlink ref="C19" location="Refund_of_Contribution_Calculations" display="Refund of Contribution Calculations"/>
    <hyperlink ref="B20" location="GMP_Test" display="GMP Test"/>
    <hyperlink ref="C20" location="Closed_DB" display="Closed DB"/>
  </hyperlinks>
  <pageMargins left="0" right="0" top="0.39370078740157483" bottom="0" header="0" footer="0"/>
  <pageSetup paperSize="9" scale="43" fitToHeight="20" orientation="landscape" r:id="rId2"/>
  <rowBreaks count="1" manualBreakCount="1">
    <brk id="1286" max="20" man="1"/>
  </rowBreaks>
  <legacyDrawing r:id="rId3"/>
</worksheet>
</file>

<file path=xl/worksheets/sheet3.xml><?xml version="1.0" encoding="utf-8"?>
<worksheet xmlns="http://schemas.openxmlformats.org/spreadsheetml/2006/main" xmlns:r="http://schemas.openxmlformats.org/officeDocument/2006/relationships">
  <sheetPr codeName="Sheet4"/>
  <dimension ref="A1:AQ1089"/>
  <sheetViews>
    <sheetView showGridLines="0" tabSelected="1" zoomScale="80" zoomScaleNormal="80" zoomScaleSheetLayoutView="80" workbookViewId="0"/>
  </sheetViews>
  <sheetFormatPr defaultRowHeight="12.75"/>
  <cols>
    <col min="1" max="1" width="2.42578125" style="321" customWidth="1"/>
    <col min="2" max="2" width="17.140625" style="321" customWidth="1"/>
    <col min="3" max="3" width="21.42578125" style="321" customWidth="1"/>
    <col min="4" max="4" width="15.7109375" style="321" customWidth="1"/>
    <col min="5" max="5" width="8.7109375" style="321" customWidth="1"/>
    <col min="6" max="6" width="18.28515625" style="321" customWidth="1"/>
    <col min="7" max="7" width="20.5703125" style="321" customWidth="1"/>
    <col min="8" max="8" width="15.7109375" style="321" customWidth="1"/>
    <col min="9" max="9" width="8.7109375" style="321" customWidth="1"/>
    <col min="10" max="10" width="18" style="321" customWidth="1"/>
    <col min="11" max="11" width="18.140625" style="321" customWidth="1"/>
    <col min="12" max="12" width="15.7109375" style="321" customWidth="1"/>
    <col min="13" max="13" width="8.7109375" style="321" customWidth="1"/>
    <col min="14" max="14" width="17.85546875" style="321" customWidth="1"/>
    <col min="15" max="16" width="15.7109375" style="321" customWidth="1"/>
    <col min="17" max="17" width="8.7109375" style="321" customWidth="1"/>
    <col min="18" max="18" width="16.5703125" style="321" customWidth="1"/>
    <col min="19" max="20" width="15.7109375" style="321" customWidth="1"/>
    <col min="21" max="21" width="8.7109375" style="321" customWidth="1"/>
    <col min="22" max="22" width="17.5703125" style="321" customWidth="1"/>
    <col min="23" max="24" width="15.7109375" style="321" customWidth="1"/>
    <col min="25" max="25" width="8.7109375" style="321" customWidth="1"/>
    <col min="26" max="26" width="17.85546875" style="321" customWidth="1"/>
    <col min="27" max="28" width="15.7109375" style="321" customWidth="1"/>
    <col min="29" max="29" width="8.7109375" style="321" customWidth="1"/>
    <col min="30" max="30" width="16.85546875" style="321" customWidth="1"/>
    <col min="31" max="32" width="15.7109375" style="321" customWidth="1"/>
    <col min="33" max="33" width="8.7109375" style="321" customWidth="1"/>
    <col min="34" max="34" width="17.140625" style="321" customWidth="1"/>
    <col min="35" max="36" width="15.7109375" style="321" customWidth="1"/>
    <col min="37" max="37" width="8.7109375" style="321" customWidth="1"/>
    <col min="38" max="38" width="18" style="321" customWidth="1"/>
    <col min="39" max="41" width="15.7109375" style="321" customWidth="1"/>
    <col min="42" max="16384" width="9.140625" style="321"/>
  </cols>
  <sheetData>
    <row r="1" spans="1:43" s="496" customFormat="1" ht="21">
      <c r="A1" s="495"/>
      <c r="B1" s="2048" t="s">
        <v>134</v>
      </c>
      <c r="M1" s="477"/>
      <c r="N1" s="477"/>
      <c r="O1" s="477"/>
      <c r="P1" s="477"/>
      <c r="Q1" s="477"/>
      <c r="R1" s="477"/>
      <c r="S1" s="477"/>
      <c r="T1" s="477"/>
      <c r="U1" s="477"/>
      <c r="V1" s="477"/>
      <c r="W1" s="477"/>
      <c r="X1" s="477"/>
      <c r="Y1" s="477"/>
      <c r="Z1" s="477"/>
      <c r="AA1" s="477"/>
      <c r="AB1" s="477"/>
      <c r="AC1" s="477"/>
      <c r="AD1" s="477"/>
      <c r="AE1" s="477"/>
      <c r="AF1" s="477"/>
      <c r="AG1" s="477"/>
      <c r="AH1" s="477"/>
      <c r="AI1" s="477"/>
      <c r="AJ1" s="477"/>
      <c r="AK1" s="477"/>
      <c r="AL1" s="477"/>
      <c r="AM1" s="477"/>
      <c r="AN1" s="477"/>
      <c r="AO1" s="477"/>
      <c r="AP1" s="477"/>
      <c r="AQ1" s="477"/>
    </row>
    <row r="2" spans="1:43" s="496" customFormat="1" ht="10.5" customHeight="1">
      <c r="A2" s="495"/>
      <c r="M2" s="477"/>
      <c r="N2" s="477"/>
      <c r="O2" s="477"/>
      <c r="P2" s="477"/>
      <c r="Q2" s="477"/>
      <c r="R2" s="477"/>
      <c r="S2" s="477"/>
      <c r="T2" s="477"/>
      <c r="U2" s="477"/>
      <c r="V2" s="477"/>
      <c r="W2" s="477"/>
      <c r="X2" s="477"/>
      <c r="Y2" s="477"/>
      <c r="Z2" s="477"/>
      <c r="AA2" s="477"/>
      <c r="AB2" s="477"/>
      <c r="AC2" s="477"/>
      <c r="AD2" s="477"/>
      <c r="AE2" s="477"/>
      <c r="AF2" s="477"/>
      <c r="AG2" s="477"/>
      <c r="AH2" s="477"/>
      <c r="AI2" s="477"/>
      <c r="AJ2" s="477"/>
      <c r="AK2" s="477"/>
      <c r="AL2" s="477"/>
      <c r="AM2" s="477"/>
      <c r="AN2" s="477"/>
      <c r="AO2" s="477"/>
      <c r="AP2" s="477"/>
      <c r="AQ2" s="477"/>
    </row>
    <row r="3" spans="1:43" ht="15">
      <c r="A3" s="475"/>
      <c r="B3" s="321" t="s">
        <v>884</v>
      </c>
      <c r="M3" s="477"/>
      <c r="N3" s="477"/>
      <c r="O3" s="477"/>
      <c r="P3" s="477"/>
      <c r="Q3" s="477"/>
      <c r="R3" s="477"/>
      <c r="S3" s="477"/>
      <c r="T3" s="477"/>
      <c r="U3" s="477"/>
      <c r="V3" s="477"/>
      <c r="W3" s="477"/>
      <c r="X3" s="477"/>
      <c r="Y3" s="477"/>
      <c r="Z3" s="477"/>
      <c r="AA3" s="477"/>
      <c r="AB3" s="477"/>
      <c r="AC3" s="477"/>
      <c r="AD3" s="477"/>
      <c r="AE3" s="477"/>
      <c r="AF3" s="477"/>
      <c r="AG3" s="477"/>
      <c r="AH3" s="477"/>
      <c r="AI3" s="477"/>
      <c r="AJ3" s="477"/>
      <c r="AK3" s="477"/>
      <c r="AL3" s="477"/>
      <c r="AM3" s="477"/>
      <c r="AN3" s="477"/>
      <c r="AO3" s="477"/>
      <c r="AP3" s="477"/>
      <c r="AQ3" s="477"/>
    </row>
    <row r="4" spans="1:43">
      <c r="A4" s="475"/>
      <c r="B4" s="2002" t="s">
        <v>883</v>
      </c>
    </row>
    <row r="5" spans="1:43">
      <c r="A5" s="475"/>
      <c r="B5" s="2002" t="s">
        <v>10</v>
      </c>
      <c r="C5" s="475"/>
    </row>
    <row r="6" spans="1:43">
      <c r="A6" s="475"/>
      <c r="B6" s="2002" t="s">
        <v>11</v>
      </c>
    </row>
    <row r="7" spans="1:43">
      <c r="A7" s="475"/>
      <c r="B7" s="2002" t="s">
        <v>572</v>
      </c>
    </row>
    <row r="8" spans="1:43">
      <c r="A8" s="475"/>
      <c r="B8" s="2002" t="s">
        <v>207</v>
      </c>
    </row>
    <row r="9" spans="1:43" ht="15">
      <c r="A9" s="475"/>
      <c r="M9" s="477"/>
      <c r="N9" s="477"/>
      <c r="O9" s="477"/>
      <c r="P9" s="477"/>
      <c r="Q9" s="477"/>
      <c r="R9" s="477"/>
      <c r="S9" s="477"/>
      <c r="T9" s="477"/>
      <c r="U9" s="477"/>
      <c r="V9" s="477"/>
      <c r="W9" s="477"/>
      <c r="X9" s="477"/>
      <c r="Y9" s="477"/>
      <c r="Z9" s="477"/>
      <c r="AA9" s="477"/>
      <c r="AB9" s="477"/>
      <c r="AC9" s="477"/>
      <c r="AD9" s="477"/>
      <c r="AE9" s="477"/>
      <c r="AF9" s="477"/>
      <c r="AG9" s="477"/>
      <c r="AH9" s="477"/>
      <c r="AI9" s="477"/>
      <c r="AJ9" s="477"/>
      <c r="AK9" s="477"/>
      <c r="AL9" s="477"/>
      <c r="AM9" s="477"/>
      <c r="AN9" s="477"/>
      <c r="AO9" s="477"/>
      <c r="AP9" s="477"/>
      <c r="AQ9" s="477"/>
    </row>
    <row r="10" spans="1:43" ht="18.75">
      <c r="A10" s="474"/>
      <c r="B10" s="495" t="s">
        <v>9</v>
      </c>
      <c r="M10" s="477"/>
      <c r="N10" s="477"/>
      <c r="O10" s="477"/>
      <c r="P10" s="477"/>
      <c r="Q10" s="477"/>
      <c r="R10" s="477"/>
      <c r="S10" s="477"/>
      <c r="T10" s="477"/>
      <c r="U10" s="477"/>
      <c r="V10" s="477"/>
      <c r="W10" s="477"/>
      <c r="X10" s="477"/>
      <c r="Y10" s="477"/>
      <c r="Z10" s="477"/>
      <c r="AA10" s="477"/>
      <c r="AB10" s="477"/>
      <c r="AC10" s="477"/>
      <c r="AD10" s="477"/>
      <c r="AE10" s="477"/>
      <c r="AF10" s="477"/>
      <c r="AG10" s="477"/>
      <c r="AH10" s="477"/>
      <c r="AI10" s="477"/>
      <c r="AJ10" s="477"/>
      <c r="AK10" s="477"/>
      <c r="AL10" s="477"/>
      <c r="AM10" s="477"/>
      <c r="AN10" s="477"/>
      <c r="AO10" s="477"/>
      <c r="AP10" s="477"/>
      <c r="AQ10" s="477"/>
    </row>
    <row r="11" spans="1:43" ht="15.75" thickBot="1">
      <c r="A11" s="474"/>
      <c r="B11" s="474"/>
      <c r="M11" s="477"/>
      <c r="N11" s="477"/>
      <c r="O11" s="477"/>
      <c r="P11" s="477"/>
      <c r="Q11" s="477"/>
      <c r="R11" s="477"/>
      <c r="S11" s="477"/>
      <c r="T11" s="477"/>
      <c r="U11" s="477"/>
      <c r="V11" s="477"/>
      <c r="W11" s="477"/>
      <c r="X11" s="477"/>
      <c r="Y11" s="477"/>
      <c r="Z11" s="477"/>
      <c r="AA11" s="477"/>
      <c r="AB11" s="477"/>
      <c r="AC11" s="477"/>
      <c r="AD11" s="477"/>
      <c r="AE11" s="477"/>
      <c r="AF11" s="477"/>
      <c r="AG11" s="477"/>
      <c r="AH11" s="477"/>
      <c r="AI11" s="477"/>
      <c r="AJ11" s="477"/>
      <c r="AK11" s="477"/>
      <c r="AL11" s="477"/>
      <c r="AM11" s="477"/>
      <c r="AN11" s="477"/>
      <c r="AO11" s="477"/>
      <c r="AP11" s="477"/>
      <c r="AQ11" s="477"/>
    </row>
    <row r="12" spans="1:43" ht="15.75" thickBot="1">
      <c r="A12" s="474"/>
      <c r="B12" s="2033" t="s">
        <v>216</v>
      </c>
      <c r="C12" s="2034"/>
      <c r="D12" s="2034"/>
      <c r="E12" s="2034"/>
      <c r="F12" s="2003"/>
      <c r="M12" s="477"/>
      <c r="N12" s="477"/>
      <c r="O12" s="477"/>
      <c r="P12" s="477"/>
      <c r="Q12" s="477"/>
      <c r="R12" s="477"/>
      <c r="S12" s="477"/>
      <c r="T12" s="477"/>
      <c r="U12" s="477"/>
      <c r="V12" s="477"/>
      <c r="W12" s="477"/>
      <c r="X12" s="477"/>
      <c r="Y12" s="477"/>
      <c r="Z12" s="477"/>
      <c r="AA12" s="477"/>
      <c r="AB12" s="477"/>
      <c r="AC12" s="477"/>
      <c r="AD12" s="477"/>
      <c r="AE12" s="477"/>
      <c r="AF12" s="477"/>
      <c r="AG12" s="477"/>
      <c r="AH12" s="477"/>
      <c r="AI12" s="477"/>
      <c r="AJ12" s="477"/>
      <c r="AK12" s="477"/>
      <c r="AL12" s="477"/>
      <c r="AM12" s="477"/>
      <c r="AN12" s="477"/>
      <c r="AO12" s="477"/>
      <c r="AP12" s="477"/>
      <c r="AQ12" s="477"/>
    </row>
    <row r="13" spans="1:43" ht="9.75" customHeight="1">
      <c r="A13" s="474"/>
      <c r="B13" s="321" t="s">
        <v>34</v>
      </c>
      <c r="C13" s="245"/>
      <c r="D13" s="245"/>
      <c r="E13" s="245"/>
      <c r="F13" s="245"/>
      <c r="M13" s="477"/>
      <c r="N13" s="477"/>
      <c r="O13" s="477"/>
      <c r="P13" s="477"/>
      <c r="Q13" s="477"/>
      <c r="R13" s="477"/>
      <c r="S13" s="477"/>
      <c r="T13" s="477"/>
      <c r="U13" s="477"/>
      <c r="V13" s="477"/>
      <c r="W13" s="477"/>
      <c r="X13" s="477"/>
      <c r="Y13" s="477"/>
      <c r="Z13" s="477"/>
      <c r="AA13" s="477"/>
      <c r="AB13" s="477"/>
      <c r="AC13" s="477"/>
      <c r="AD13" s="477"/>
      <c r="AE13" s="477"/>
      <c r="AF13" s="477"/>
      <c r="AG13" s="477"/>
      <c r="AH13" s="477"/>
      <c r="AI13" s="477"/>
      <c r="AJ13" s="477"/>
      <c r="AK13" s="477"/>
      <c r="AL13" s="477"/>
      <c r="AM13" s="477"/>
      <c r="AN13" s="477"/>
      <c r="AO13" s="477"/>
      <c r="AP13" s="477"/>
      <c r="AQ13" s="477"/>
    </row>
    <row r="14" spans="1:43" ht="15">
      <c r="A14" s="474"/>
      <c r="B14" s="321" t="s">
        <v>40</v>
      </c>
      <c r="C14" s="245"/>
      <c r="D14" s="245"/>
      <c r="E14" s="245"/>
      <c r="F14" s="245"/>
      <c r="M14" s="477"/>
      <c r="N14" s="477"/>
      <c r="O14" s="477"/>
      <c r="P14" s="477"/>
      <c r="Q14" s="477"/>
      <c r="R14" s="477"/>
      <c r="S14" s="477"/>
      <c r="T14" s="477"/>
      <c r="U14" s="477"/>
      <c r="V14" s="477"/>
      <c r="W14" s="477"/>
      <c r="X14" s="477"/>
      <c r="Y14" s="477"/>
      <c r="Z14" s="477"/>
      <c r="AA14" s="477"/>
      <c r="AB14" s="477"/>
      <c r="AC14" s="477"/>
      <c r="AD14" s="477"/>
      <c r="AE14" s="477"/>
      <c r="AF14" s="477"/>
      <c r="AG14" s="477"/>
      <c r="AH14" s="477"/>
      <c r="AI14" s="477"/>
      <c r="AJ14" s="477"/>
      <c r="AK14" s="477"/>
      <c r="AL14" s="477"/>
      <c r="AM14" s="477"/>
      <c r="AN14" s="477"/>
      <c r="AO14" s="477"/>
      <c r="AP14" s="477"/>
      <c r="AQ14" s="477"/>
    </row>
    <row r="15" spans="1:43" ht="15.75" customHeight="1" thickBot="1">
      <c r="A15" s="474"/>
      <c r="B15" s="321" t="s">
        <v>34</v>
      </c>
      <c r="M15" s="477"/>
      <c r="N15" s="477"/>
      <c r="O15" s="477"/>
      <c r="P15" s="477"/>
      <c r="Q15" s="477"/>
      <c r="R15" s="477"/>
      <c r="S15" s="477"/>
      <c r="T15" s="477"/>
      <c r="U15" s="477"/>
      <c r="V15" s="477"/>
      <c r="W15" s="477"/>
      <c r="X15" s="477"/>
      <c r="Y15" s="477"/>
      <c r="Z15" s="477"/>
      <c r="AA15" s="477"/>
      <c r="AB15" s="477"/>
      <c r="AC15" s="477"/>
      <c r="AD15" s="477"/>
      <c r="AE15" s="477"/>
      <c r="AF15" s="477"/>
      <c r="AG15" s="477"/>
      <c r="AH15" s="477"/>
      <c r="AI15" s="477"/>
      <c r="AJ15" s="477"/>
      <c r="AK15" s="477"/>
      <c r="AL15" s="477"/>
      <c r="AM15" s="477"/>
      <c r="AN15" s="477"/>
      <c r="AO15" s="477"/>
      <c r="AP15" s="477"/>
      <c r="AQ15" s="477"/>
    </row>
    <row r="16" spans="1:43" ht="15">
      <c r="A16" s="474"/>
      <c r="B16" s="2042" t="s">
        <v>564</v>
      </c>
      <c r="C16" s="1006" t="s">
        <v>685</v>
      </c>
      <c r="D16" s="1007"/>
      <c r="F16" s="2042" t="s">
        <v>564</v>
      </c>
      <c r="G16" s="1006" t="s">
        <v>686</v>
      </c>
      <c r="H16" s="1007"/>
      <c r="J16" s="2042" t="s">
        <v>564</v>
      </c>
      <c r="K16" s="1006" t="s">
        <v>687</v>
      </c>
      <c r="L16" s="1007"/>
      <c r="M16" s="474"/>
      <c r="N16" s="2042" t="s">
        <v>564</v>
      </c>
      <c r="O16" s="1006" t="s">
        <v>688</v>
      </c>
      <c r="P16" s="1007"/>
      <c r="R16" s="2042" t="s">
        <v>564</v>
      </c>
      <c r="S16" s="1006" t="s">
        <v>689</v>
      </c>
      <c r="T16" s="1007"/>
      <c r="V16" s="2042" t="s">
        <v>564</v>
      </c>
      <c r="W16" s="2037" t="s">
        <v>690</v>
      </c>
      <c r="X16" s="2038"/>
      <c r="Z16" s="2042" t="s">
        <v>564</v>
      </c>
      <c r="AA16" s="2037" t="s">
        <v>691</v>
      </c>
      <c r="AB16" s="2038"/>
      <c r="AC16" s="474"/>
      <c r="AD16" s="2042" t="s">
        <v>564</v>
      </c>
      <c r="AE16" s="2037" t="s">
        <v>692</v>
      </c>
      <c r="AF16" s="2038"/>
      <c r="AH16" s="2042" t="s">
        <v>564</v>
      </c>
      <c r="AI16" s="2037" t="s">
        <v>693</v>
      </c>
      <c r="AJ16" s="2038"/>
      <c r="AL16" s="2042" t="s">
        <v>564</v>
      </c>
      <c r="AM16" s="2037" t="s">
        <v>694</v>
      </c>
      <c r="AN16" s="2038"/>
      <c r="AO16" s="477"/>
      <c r="AP16" s="477"/>
      <c r="AQ16" s="477"/>
    </row>
    <row r="17" spans="1:43" ht="15">
      <c r="A17" s="474"/>
      <c r="B17" s="2043" t="s">
        <v>45</v>
      </c>
      <c r="C17" s="2004"/>
      <c r="D17" s="2005"/>
      <c r="F17" s="2043" t="s">
        <v>45</v>
      </c>
      <c r="G17" s="2004"/>
      <c r="H17" s="2005"/>
      <c r="J17" s="2043" t="s">
        <v>45</v>
      </c>
      <c r="K17" s="2004"/>
      <c r="L17" s="2005"/>
      <c r="M17" s="474"/>
      <c r="N17" s="2043" t="s">
        <v>45</v>
      </c>
      <c r="O17" s="2004"/>
      <c r="P17" s="2005"/>
      <c r="R17" s="2043" t="s">
        <v>45</v>
      </c>
      <c r="S17" s="2004"/>
      <c r="T17" s="2005"/>
      <c r="V17" s="2043" t="s">
        <v>45</v>
      </c>
      <c r="W17" s="2004"/>
      <c r="X17" s="2005"/>
      <c r="Z17" s="2043" t="s">
        <v>45</v>
      </c>
      <c r="AA17" s="2004"/>
      <c r="AB17" s="2005"/>
      <c r="AC17" s="474"/>
      <c r="AD17" s="2043" t="s">
        <v>45</v>
      </c>
      <c r="AE17" s="2004"/>
      <c r="AF17" s="2005"/>
      <c r="AH17" s="2043" t="s">
        <v>45</v>
      </c>
      <c r="AI17" s="2004"/>
      <c r="AJ17" s="2005"/>
      <c r="AL17" s="2043" t="s">
        <v>45</v>
      </c>
      <c r="AM17" s="2004"/>
      <c r="AN17" s="2005"/>
      <c r="AO17" s="477"/>
      <c r="AP17" s="477"/>
      <c r="AQ17" s="477"/>
    </row>
    <row r="18" spans="1:43" ht="15">
      <c r="A18" s="474"/>
      <c r="B18" s="2043" t="s">
        <v>568</v>
      </c>
      <c r="C18" s="2006"/>
      <c r="D18" s="2007"/>
      <c r="F18" s="2043" t="s">
        <v>568</v>
      </c>
      <c r="G18" s="2006"/>
      <c r="H18" s="2007"/>
      <c r="J18" s="2043" t="s">
        <v>568</v>
      </c>
      <c r="K18" s="2006"/>
      <c r="L18" s="2007"/>
      <c r="M18" s="474"/>
      <c r="N18" s="2043" t="s">
        <v>568</v>
      </c>
      <c r="O18" s="2006"/>
      <c r="P18" s="2007"/>
      <c r="R18" s="2043" t="s">
        <v>568</v>
      </c>
      <c r="S18" s="2006"/>
      <c r="T18" s="2007"/>
      <c r="V18" s="2043" t="s">
        <v>568</v>
      </c>
      <c r="W18" s="2006"/>
      <c r="X18" s="2007"/>
      <c r="Z18" s="2043" t="s">
        <v>568</v>
      </c>
      <c r="AA18" s="2006"/>
      <c r="AB18" s="2007"/>
      <c r="AC18" s="474"/>
      <c r="AD18" s="2043" t="s">
        <v>568</v>
      </c>
      <c r="AE18" s="2006"/>
      <c r="AF18" s="2007"/>
      <c r="AH18" s="2043" t="s">
        <v>568</v>
      </c>
      <c r="AI18" s="2006"/>
      <c r="AJ18" s="2007"/>
      <c r="AL18" s="2043" t="s">
        <v>568</v>
      </c>
      <c r="AM18" s="2006"/>
      <c r="AN18" s="2007"/>
      <c r="AO18" s="477"/>
      <c r="AP18" s="477"/>
      <c r="AQ18" s="477"/>
    </row>
    <row r="19" spans="1:43" ht="15.75" thickBot="1">
      <c r="A19" s="474"/>
      <c r="B19" s="2044" t="s">
        <v>569</v>
      </c>
      <c r="C19" s="2008"/>
      <c r="D19" s="2009"/>
      <c r="F19" s="2044" t="s">
        <v>569</v>
      </c>
      <c r="G19" s="2008"/>
      <c r="H19" s="2009"/>
      <c r="J19" s="2044" t="s">
        <v>569</v>
      </c>
      <c r="K19" s="2008"/>
      <c r="L19" s="2009"/>
      <c r="M19" s="474"/>
      <c r="N19" s="2044" t="s">
        <v>569</v>
      </c>
      <c r="O19" s="2008"/>
      <c r="P19" s="2009"/>
      <c r="R19" s="2044" t="s">
        <v>569</v>
      </c>
      <c r="S19" s="2008"/>
      <c r="T19" s="2009"/>
      <c r="V19" s="2044" t="s">
        <v>569</v>
      </c>
      <c r="W19" s="2008"/>
      <c r="X19" s="2009"/>
      <c r="Z19" s="2044" t="s">
        <v>569</v>
      </c>
      <c r="AA19" s="2008"/>
      <c r="AB19" s="2009"/>
      <c r="AC19" s="474"/>
      <c r="AD19" s="2044" t="s">
        <v>569</v>
      </c>
      <c r="AE19" s="2008"/>
      <c r="AF19" s="2009"/>
      <c r="AH19" s="2044" t="s">
        <v>569</v>
      </c>
      <c r="AI19" s="2008"/>
      <c r="AJ19" s="2009"/>
      <c r="AL19" s="2044" t="s">
        <v>569</v>
      </c>
      <c r="AM19" s="2008"/>
      <c r="AN19" s="2009"/>
      <c r="AO19" s="477"/>
      <c r="AP19" s="477"/>
      <c r="AQ19" s="477"/>
    </row>
    <row r="20" spans="1:43" ht="15.75" thickBot="1">
      <c r="A20" s="474"/>
      <c r="B20" s="475"/>
      <c r="C20" s="476"/>
      <c r="D20" s="476"/>
      <c r="F20" s="475"/>
      <c r="G20" s="476"/>
      <c r="H20" s="476"/>
      <c r="J20" s="475"/>
      <c r="K20" s="476"/>
      <c r="L20" s="476"/>
      <c r="M20" s="474"/>
      <c r="N20" s="475"/>
      <c r="O20" s="476"/>
      <c r="P20" s="476"/>
      <c r="R20" s="475"/>
      <c r="S20" s="476"/>
      <c r="T20" s="476"/>
      <c r="V20" s="475"/>
      <c r="W20" s="476"/>
      <c r="X20" s="476"/>
      <c r="Z20" s="475"/>
      <c r="AA20" s="476"/>
      <c r="AB20" s="476"/>
      <c r="AC20" s="474"/>
      <c r="AD20" s="475"/>
      <c r="AE20" s="476"/>
      <c r="AF20" s="476"/>
      <c r="AH20" s="475"/>
      <c r="AI20" s="476"/>
      <c r="AJ20" s="476"/>
      <c r="AL20" s="475"/>
      <c r="AM20" s="476"/>
      <c r="AN20" s="476"/>
      <c r="AO20" s="477"/>
      <c r="AP20" s="477"/>
      <c r="AQ20" s="477"/>
    </row>
    <row r="21" spans="1:43" s="902" customFormat="1" ht="75" customHeight="1" thickBot="1">
      <c r="A21" s="2035"/>
      <c r="B21" s="2039" t="s">
        <v>562</v>
      </c>
      <c r="C21" s="2040" t="s">
        <v>563</v>
      </c>
      <c r="D21" s="2041" t="s">
        <v>620</v>
      </c>
      <c r="F21" s="2039" t="s">
        <v>562</v>
      </c>
      <c r="G21" s="2040" t="s">
        <v>563</v>
      </c>
      <c r="H21" s="2041" t="s">
        <v>620</v>
      </c>
      <c r="J21" s="2039" t="s">
        <v>562</v>
      </c>
      <c r="K21" s="2040" t="s">
        <v>563</v>
      </c>
      <c r="L21" s="2041" t="s">
        <v>620</v>
      </c>
      <c r="M21" s="2035"/>
      <c r="N21" s="2039" t="s">
        <v>562</v>
      </c>
      <c r="O21" s="2040" t="s">
        <v>563</v>
      </c>
      <c r="P21" s="2041" t="s">
        <v>620</v>
      </c>
      <c r="R21" s="2039" t="s">
        <v>562</v>
      </c>
      <c r="S21" s="2040" t="s">
        <v>563</v>
      </c>
      <c r="T21" s="2041" t="s">
        <v>620</v>
      </c>
      <c r="V21" s="2039" t="s">
        <v>562</v>
      </c>
      <c r="W21" s="2040" t="s">
        <v>563</v>
      </c>
      <c r="X21" s="2041" t="s">
        <v>620</v>
      </c>
      <c r="Z21" s="2039" t="s">
        <v>562</v>
      </c>
      <c r="AA21" s="2040" t="s">
        <v>563</v>
      </c>
      <c r="AB21" s="2041" t="s">
        <v>620</v>
      </c>
      <c r="AC21" s="2035"/>
      <c r="AD21" s="2039" t="s">
        <v>562</v>
      </c>
      <c r="AE21" s="2040" t="s">
        <v>563</v>
      </c>
      <c r="AF21" s="2041" t="s">
        <v>620</v>
      </c>
      <c r="AH21" s="2039" t="s">
        <v>562</v>
      </c>
      <c r="AI21" s="2040" t="s">
        <v>563</v>
      </c>
      <c r="AJ21" s="2041" t="s">
        <v>620</v>
      </c>
      <c r="AL21" s="2039" t="s">
        <v>562</v>
      </c>
      <c r="AM21" s="2040" t="s">
        <v>563</v>
      </c>
      <c r="AN21" s="2041" t="s">
        <v>620</v>
      </c>
      <c r="AO21" s="2036"/>
      <c r="AP21" s="2036"/>
      <c r="AQ21" s="2036"/>
    </row>
    <row r="22" spans="1:43" ht="15">
      <c r="A22" s="474"/>
      <c r="B22" s="2010"/>
      <c r="C22" s="2011"/>
      <c r="D22" s="2012"/>
      <c r="F22" s="2013"/>
      <c r="G22" s="2011"/>
      <c r="H22" s="2012"/>
      <c r="J22" s="2013"/>
      <c r="K22" s="2011"/>
      <c r="L22" s="2012"/>
      <c r="M22" s="474"/>
      <c r="N22" s="2013"/>
      <c r="O22" s="2011"/>
      <c r="P22" s="2012"/>
      <c r="R22" s="2013"/>
      <c r="S22" s="2011"/>
      <c r="T22" s="2012"/>
      <c r="V22" s="2013"/>
      <c r="W22" s="2011"/>
      <c r="X22" s="2014"/>
      <c r="Z22" s="2013"/>
      <c r="AA22" s="2011"/>
      <c r="AB22" s="2012"/>
      <c r="AC22" s="474"/>
      <c r="AD22" s="2013"/>
      <c r="AE22" s="2011"/>
      <c r="AF22" s="2012"/>
      <c r="AH22" s="2013"/>
      <c r="AI22" s="2015"/>
      <c r="AJ22" s="2012"/>
      <c r="AL22" s="2013"/>
      <c r="AM22" s="2015"/>
      <c r="AN22" s="2012"/>
      <c r="AO22" s="477"/>
      <c r="AP22" s="477"/>
      <c r="AQ22" s="477"/>
    </row>
    <row r="23" spans="1:43" ht="15">
      <c r="A23" s="474"/>
      <c r="B23" s="2016"/>
      <c r="C23" s="2017"/>
      <c r="D23" s="2018"/>
      <c r="F23" s="2019"/>
      <c r="G23" s="2017"/>
      <c r="H23" s="2018"/>
      <c r="J23" s="2019"/>
      <c r="K23" s="2017"/>
      <c r="L23" s="2018"/>
      <c r="M23" s="474"/>
      <c r="N23" s="2019"/>
      <c r="O23" s="2017"/>
      <c r="P23" s="2018"/>
      <c r="R23" s="2019"/>
      <c r="S23" s="2017"/>
      <c r="T23" s="2018"/>
      <c r="V23" s="2019"/>
      <c r="W23" s="2017"/>
      <c r="X23" s="2020"/>
      <c r="Z23" s="2019"/>
      <c r="AA23" s="2017"/>
      <c r="AB23" s="2018"/>
      <c r="AC23" s="474"/>
      <c r="AD23" s="2019"/>
      <c r="AE23" s="2017"/>
      <c r="AF23" s="2018"/>
      <c r="AH23" s="2019"/>
      <c r="AI23" s="2021"/>
      <c r="AJ23" s="2018"/>
      <c r="AL23" s="2019"/>
      <c r="AM23" s="2021"/>
      <c r="AN23" s="2018"/>
      <c r="AO23" s="477"/>
      <c r="AP23" s="477"/>
      <c r="AQ23" s="477"/>
    </row>
    <row r="24" spans="1:43" ht="15">
      <c r="A24" s="474"/>
      <c r="B24" s="2016"/>
      <c r="C24" s="2017"/>
      <c r="D24" s="2018"/>
      <c r="F24" s="2019"/>
      <c r="G24" s="2017"/>
      <c r="H24" s="2018"/>
      <c r="J24" s="2019"/>
      <c r="K24" s="2017"/>
      <c r="L24" s="2018"/>
      <c r="M24" s="474"/>
      <c r="N24" s="2019"/>
      <c r="O24" s="2017"/>
      <c r="P24" s="2018"/>
      <c r="R24" s="2019"/>
      <c r="S24" s="2017"/>
      <c r="T24" s="2018"/>
      <c r="V24" s="2019"/>
      <c r="W24" s="2017"/>
      <c r="X24" s="2020"/>
      <c r="Z24" s="2019"/>
      <c r="AA24" s="2017"/>
      <c r="AB24" s="2018"/>
      <c r="AC24" s="474"/>
      <c r="AD24" s="2019"/>
      <c r="AE24" s="2017"/>
      <c r="AF24" s="2018"/>
      <c r="AH24" s="2019"/>
      <c r="AI24" s="2021"/>
      <c r="AJ24" s="2018"/>
      <c r="AL24" s="2019"/>
      <c r="AM24" s="2021"/>
      <c r="AN24" s="2018"/>
      <c r="AO24" s="477"/>
      <c r="AP24" s="477"/>
      <c r="AQ24" s="477"/>
    </row>
    <row r="25" spans="1:43" ht="15">
      <c r="A25" s="474"/>
      <c r="B25" s="2016"/>
      <c r="C25" s="2017"/>
      <c r="D25" s="2018"/>
      <c r="F25" s="2019"/>
      <c r="G25" s="2017"/>
      <c r="H25" s="2018"/>
      <c r="J25" s="2019"/>
      <c r="K25" s="2017"/>
      <c r="L25" s="2018"/>
      <c r="M25" s="474"/>
      <c r="N25" s="2019"/>
      <c r="O25" s="2017"/>
      <c r="P25" s="2018"/>
      <c r="R25" s="2019"/>
      <c r="S25" s="2017"/>
      <c r="T25" s="2018"/>
      <c r="V25" s="2019"/>
      <c r="W25" s="2017"/>
      <c r="X25" s="2020"/>
      <c r="Z25" s="2019"/>
      <c r="AA25" s="2017"/>
      <c r="AB25" s="2018"/>
      <c r="AC25" s="474"/>
      <c r="AD25" s="2019"/>
      <c r="AE25" s="2017"/>
      <c r="AF25" s="2018"/>
      <c r="AH25" s="2019"/>
      <c r="AI25" s="2021"/>
      <c r="AJ25" s="2018"/>
      <c r="AL25" s="2019"/>
      <c r="AM25" s="2021"/>
      <c r="AN25" s="2018"/>
      <c r="AO25" s="477"/>
      <c r="AP25" s="477"/>
      <c r="AQ25" s="477"/>
    </row>
    <row r="26" spans="1:43" ht="15">
      <c r="A26" s="474"/>
      <c r="B26" s="2016"/>
      <c r="C26" s="2017"/>
      <c r="D26" s="2018"/>
      <c r="F26" s="2019"/>
      <c r="G26" s="2017"/>
      <c r="H26" s="2018"/>
      <c r="J26" s="2019"/>
      <c r="K26" s="2017"/>
      <c r="L26" s="2018"/>
      <c r="M26" s="474"/>
      <c r="N26" s="2019"/>
      <c r="O26" s="2017"/>
      <c r="P26" s="2018"/>
      <c r="R26" s="2019"/>
      <c r="S26" s="2017"/>
      <c r="T26" s="2018"/>
      <c r="V26" s="2019"/>
      <c r="W26" s="2017"/>
      <c r="X26" s="2020"/>
      <c r="Z26" s="2019"/>
      <c r="AA26" s="2017"/>
      <c r="AB26" s="2018"/>
      <c r="AC26" s="474"/>
      <c r="AD26" s="2019"/>
      <c r="AE26" s="2017"/>
      <c r="AF26" s="2018"/>
      <c r="AH26" s="2019"/>
      <c r="AI26" s="2021"/>
      <c r="AJ26" s="2018"/>
      <c r="AL26" s="2019"/>
      <c r="AM26" s="2021"/>
      <c r="AN26" s="2018"/>
      <c r="AO26" s="477"/>
      <c r="AP26" s="477"/>
      <c r="AQ26" s="477"/>
    </row>
    <row r="27" spans="1:43" ht="15">
      <c r="A27" s="474"/>
      <c r="B27" s="2016"/>
      <c r="C27" s="2017"/>
      <c r="D27" s="2018"/>
      <c r="F27" s="2019"/>
      <c r="G27" s="2017"/>
      <c r="H27" s="2018"/>
      <c r="J27" s="2019"/>
      <c r="K27" s="2017"/>
      <c r="L27" s="2018"/>
      <c r="M27" s="474"/>
      <c r="N27" s="2019"/>
      <c r="O27" s="2017"/>
      <c r="P27" s="2018"/>
      <c r="R27" s="2019"/>
      <c r="S27" s="2017"/>
      <c r="T27" s="2018"/>
      <c r="V27" s="2019"/>
      <c r="W27" s="2017"/>
      <c r="X27" s="2020"/>
      <c r="Z27" s="2019"/>
      <c r="AA27" s="2017"/>
      <c r="AB27" s="2018"/>
      <c r="AC27" s="474"/>
      <c r="AD27" s="2019"/>
      <c r="AE27" s="2017"/>
      <c r="AF27" s="2018"/>
      <c r="AH27" s="2019"/>
      <c r="AI27" s="2021"/>
      <c r="AJ27" s="2018"/>
      <c r="AL27" s="2019"/>
      <c r="AM27" s="2021"/>
      <c r="AN27" s="2018"/>
      <c r="AO27" s="477"/>
      <c r="AP27" s="477"/>
      <c r="AQ27" s="477"/>
    </row>
    <row r="28" spans="1:43" ht="15">
      <c r="A28" s="474"/>
      <c r="B28" s="2016"/>
      <c r="C28" s="2017"/>
      <c r="D28" s="2018"/>
      <c r="F28" s="2019"/>
      <c r="G28" s="2017"/>
      <c r="H28" s="2018"/>
      <c r="J28" s="2019"/>
      <c r="K28" s="2017"/>
      <c r="L28" s="2018"/>
      <c r="M28" s="474"/>
      <c r="N28" s="2019"/>
      <c r="O28" s="2017"/>
      <c r="P28" s="2018"/>
      <c r="R28" s="2019"/>
      <c r="S28" s="2017"/>
      <c r="T28" s="2018"/>
      <c r="V28" s="2019"/>
      <c r="W28" s="2017"/>
      <c r="X28" s="2020"/>
      <c r="Z28" s="2019"/>
      <c r="AA28" s="2017"/>
      <c r="AB28" s="2018"/>
      <c r="AC28" s="474"/>
      <c r="AD28" s="2019"/>
      <c r="AE28" s="2017"/>
      <c r="AF28" s="2018"/>
      <c r="AH28" s="2019"/>
      <c r="AI28" s="2021"/>
      <c r="AJ28" s="2018"/>
      <c r="AL28" s="2019"/>
      <c r="AM28" s="2021"/>
      <c r="AN28" s="2018"/>
      <c r="AO28" s="477"/>
      <c r="AP28" s="477"/>
      <c r="AQ28" s="477"/>
    </row>
    <row r="29" spans="1:43" ht="15">
      <c r="A29" s="474"/>
      <c r="B29" s="2016"/>
      <c r="C29" s="2017"/>
      <c r="D29" s="2018"/>
      <c r="F29" s="2019"/>
      <c r="G29" s="2017"/>
      <c r="H29" s="2018"/>
      <c r="J29" s="2019"/>
      <c r="K29" s="2017"/>
      <c r="L29" s="2018"/>
      <c r="M29" s="474"/>
      <c r="N29" s="2019"/>
      <c r="O29" s="2017"/>
      <c r="P29" s="2018"/>
      <c r="R29" s="2019"/>
      <c r="S29" s="2017"/>
      <c r="T29" s="2018"/>
      <c r="V29" s="2019"/>
      <c r="W29" s="2017"/>
      <c r="X29" s="2020"/>
      <c r="Z29" s="2019"/>
      <c r="AA29" s="2017"/>
      <c r="AB29" s="2018"/>
      <c r="AC29" s="474"/>
      <c r="AD29" s="2019"/>
      <c r="AE29" s="2017"/>
      <c r="AF29" s="2018"/>
      <c r="AH29" s="2019"/>
      <c r="AI29" s="2021"/>
      <c r="AJ29" s="2018"/>
      <c r="AL29" s="2019"/>
      <c r="AM29" s="2021"/>
      <c r="AN29" s="2018"/>
      <c r="AO29" s="477"/>
      <c r="AP29" s="477"/>
      <c r="AQ29" s="477"/>
    </row>
    <row r="30" spans="1:43" ht="15">
      <c r="A30" s="474"/>
      <c r="B30" s="2016"/>
      <c r="C30" s="2017"/>
      <c r="D30" s="2018"/>
      <c r="F30" s="2019"/>
      <c r="G30" s="2017"/>
      <c r="H30" s="2018"/>
      <c r="J30" s="2019"/>
      <c r="K30" s="2017"/>
      <c r="L30" s="2018"/>
      <c r="M30" s="474"/>
      <c r="N30" s="2019"/>
      <c r="O30" s="2017"/>
      <c r="P30" s="2018"/>
      <c r="R30" s="2019"/>
      <c r="S30" s="2017"/>
      <c r="T30" s="2018"/>
      <c r="V30" s="2019"/>
      <c r="W30" s="2017"/>
      <c r="X30" s="2020"/>
      <c r="Z30" s="2019"/>
      <c r="AA30" s="2017"/>
      <c r="AB30" s="2018"/>
      <c r="AC30" s="474"/>
      <c r="AD30" s="2019"/>
      <c r="AE30" s="2017"/>
      <c r="AF30" s="2018"/>
      <c r="AH30" s="2019"/>
      <c r="AI30" s="2021"/>
      <c r="AJ30" s="2018"/>
      <c r="AL30" s="2019"/>
      <c r="AM30" s="2021"/>
      <c r="AN30" s="2018"/>
      <c r="AO30" s="477"/>
      <c r="AP30" s="477"/>
      <c r="AQ30" s="477"/>
    </row>
    <row r="31" spans="1:43" ht="15">
      <c r="A31" s="474"/>
      <c r="B31" s="2016"/>
      <c r="C31" s="2017"/>
      <c r="D31" s="2018"/>
      <c r="F31" s="2019"/>
      <c r="G31" s="2017"/>
      <c r="H31" s="2018"/>
      <c r="J31" s="2019"/>
      <c r="K31" s="2017"/>
      <c r="L31" s="2018"/>
      <c r="M31" s="474"/>
      <c r="N31" s="2019"/>
      <c r="O31" s="2017"/>
      <c r="P31" s="2018"/>
      <c r="R31" s="2019"/>
      <c r="S31" s="2017"/>
      <c r="T31" s="2018"/>
      <c r="V31" s="2019"/>
      <c r="W31" s="2017"/>
      <c r="X31" s="2020"/>
      <c r="Z31" s="2019"/>
      <c r="AA31" s="2017"/>
      <c r="AB31" s="2018"/>
      <c r="AC31" s="474"/>
      <c r="AD31" s="2019"/>
      <c r="AE31" s="2017"/>
      <c r="AF31" s="2018"/>
      <c r="AH31" s="2019"/>
      <c r="AI31" s="2021"/>
      <c r="AJ31" s="2018"/>
      <c r="AL31" s="2019"/>
      <c r="AM31" s="2021"/>
      <c r="AN31" s="2018"/>
      <c r="AO31" s="477"/>
      <c r="AP31" s="477"/>
      <c r="AQ31" s="477"/>
    </row>
    <row r="32" spans="1:43" ht="15">
      <c r="A32" s="474"/>
      <c r="B32" s="2016"/>
      <c r="C32" s="2017"/>
      <c r="D32" s="2018"/>
      <c r="F32" s="2019"/>
      <c r="G32" s="2017"/>
      <c r="H32" s="2018"/>
      <c r="J32" s="2019"/>
      <c r="K32" s="2017"/>
      <c r="L32" s="2018"/>
      <c r="M32" s="474"/>
      <c r="N32" s="2019"/>
      <c r="O32" s="2017"/>
      <c r="P32" s="2018"/>
      <c r="R32" s="2019"/>
      <c r="S32" s="2017"/>
      <c r="T32" s="2018"/>
      <c r="V32" s="2019"/>
      <c r="W32" s="2017"/>
      <c r="X32" s="2020"/>
      <c r="Z32" s="2019"/>
      <c r="AA32" s="2017"/>
      <c r="AB32" s="2018"/>
      <c r="AC32" s="474"/>
      <c r="AD32" s="2019"/>
      <c r="AE32" s="2017"/>
      <c r="AF32" s="2018"/>
      <c r="AH32" s="2019"/>
      <c r="AI32" s="2021"/>
      <c r="AJ32" s="2018"/>
      <c r="AL32" s="2019"/>
      <c r="AM32" s="2021"/>
      <c r="AN32" s="2018"/>
      <c r="AO32" s="477"/>
      <c r="AP32" s="477"/>
      <c r="AQ32" s="477"/>
    </row>
    <row r="33" spans="1:43" ht="15">
      <c r="A33" s="474"/>
      <c r="B33" s="2016"/>
      <c r="C33" s="2017"/>
      <c r="D33" s="2018"/>
      <c r="F33" s="2019"/>
      <c r="G33" s="2017"/>
      <c r="H33" s="2018"/>
      <c r="J33" s="2019"/>
      <c r="K33" s="2017"/>
      <c r="L33" s="2018"/>
      <c r="M33" s="474"/>
      <c r="N33" s="2019"/>
      <c r="O33" s="2017"/>
      <c r="P33" s="2018"/>
      <c r="R33" s="2019"/>
      <c r="S33" s="2017"/>
      <c r="T33" s="2018"/>
      <c r="V33" s="2019"/>
      <c r="W33" s="2017"/>
      <c r="X33" s="2020"/>
      <c r="Z33" s="2019"/>
      <c r="AA33" s="2017"/>
      <c r="AB33" s="2018"/>
      <c r="AC33" s="474"/>
      <c r="AD33" s="2019"/>
      <c r="AE33" s="2017"/>
      <c r="AF33" s="2018"/>
      <c r="AH33" s="2019"/>
      <c r="AI33" s="2021"/>
      <c r="AJ33" s="2018"/>
      <c r="AL33" s="2019"/>
      <c r="AM33" s="2021"/>
      <c r="AN33" s="2018"/>
      <c r="AO33" s="477"/>
      <c r="AP33" s="477"/>
      <c r="AQ33" s="477"/>
    </row>
    <row r="34" spans="1:43" ht="15">
      <c r="A34" s="474"/>
      <c r="B34" s="2016"/>
      <c r="C34" s="2017"/>
      <c r="D34" s="2018"/>
      <c r="F34" s="2019"/>
      <c r="G34" s="2017"/>
      <c r="H34" s="2018"/>
      <c r="J34" s="2019"/>
      <c r="K34" s="2017"/>
      <c r="L34" s="2018"/>
      <c r="M34" s="474"/>
      <c r="N34" s="2019"/>
      <c r="O34" s="2017"/>
      <c r="P34" s="2018"/>
      <c r="R34" s="2019"/>
      <c r="S34" s="2017"/>
      <c r="T34" s="2018"/>
      <c r="V34" s="2019"/>
      <c r="W34" s="2017"/>
      <c r="X34" s="2020"/>
      <c r="Z34" s="2019"/>
      <c r="AA34" s="2017"/>
      <c r="AB34" s="2018"/>
      <c r="AC34" s="474"/>
      <c r="AD34" s="2019"/>
      <c r="AE34" s="2017"/>
      <c r="AF34" s="2018"/>
      <c r="AH34" s="2019"/>
      <c r="AI34" s="2021"/>
      <c r="AJ34" s="2018"/>
      <c r="AL34" s="2019"/>
      <c r="AM34" s="2021"/>
      <c r="AN34" s="2018"/>
      <c r="AO34" s="477"/>
      <c r="AP34" s="477"/>
      <c r="AQ34" s="477"/>
    </row>
    <row r="35" spans="1:43" ht="15">
      <c r="A35" s="474"/>
      <c r="B35" s="2016"/>
      <c r="C35" s="2017"/>
      <c r="D35" s="2018"/>
      <c r="F35" s="2019"/>
      <c r="G35" s="2017"/>
      <c r="H35" s="2018"/>
      <c r="J35" s="2019"/>
      <c r="K35" s="2017"/>
      <c r="L35" s="2018"/>
      <c r="M35" s="474"/>
      <c r="N35" s="2019"/>
      <c r="O35" s="2017"/>
      <c r="P35" s="2018"/>
      <c r="R35" s="2019"/>
      <c r="S35" s="2017"/>
      <c r="T35" s="2018"/>
      <c r="V35" s="2019"/>
      <c r="W35" s="2017"/>
      <c r="X35" s="2020"/>
      <c r="Z35" s="2019"/>
      <c r="AA35" s="2017"/>
      <c r="AB35" s="2018"/>
      <c r="AC35" s="474"/>
      <c r="AD35" s="2019"/>
      <c r="AE35" s="2017"/>
      <c r="AF35" s="2018"/>
      <c r="AH35" s="2019"/>
      <c r="AI35" s="2021"/>
      <c r="AJ35" s="2018"/>
      <c r="AL35" s="2019"/>
      <c r="AM35" s="2021"/>
      <c r="AN35" s="2018"/>
      <c r="AO35" s="477"/>
      <c r="AP35" s="477"/>
      <c r="AQ35" s="477"/>
    </row>
    <row r="36" spans="1:43" ht="15">
      <c r="A36" s="474"/>
      <c r="B36" s="2016"/>
      <c r="C36" s="2017"/>
      <c r="D36" s="2018"/>
      <c r="F36" s="2019"/>
      <c r="G36" s="2017"/>
      <c r="H36" s="2018"/>
      <c r="J36" s="2019"/>
      <c r="K36" s="2017"/>
      <c r="L36" s="2018"/>
      <c r="M36" s="474"/>
      <c r="N36" s="2019"/>
      <c r="O36" s="2017"/>
      <c r="P36" s="2018"/>
      <c r="R36" s="2019"/>
      <c r="S36" s="2017"/>
      <c r="T36" s="2018"/>
      <c r="V36" s="2019"/>
      <c r="W36" s="2017"/>
      <c r="X36" s="2020"/>
      <c r="Z36" s="2019"/>
      <c r="AA36" s="2017"/>
      <c r="AB36" s="2018"/>
      <c r="AC36" s="474"/>
      <c r="AD36" s="2019"/>
      <c r="AE36" s="2017"/>
      <c r="AF36" s="2018"/>
      <c r="AH36" s="2019"/>
      <c r="AI36" s="2021"/>
      <c r="AJ36" s="2018"/>
      <c r="AL36" s="2019"/>
      <c r="AM36" s="2021"/>
      <c r="AN36" s="2018"/>
      <c r="AO36" s="477"/>
      <c r="AP36" s="477"/>
      <c r="AQ36" s="477"/>
    </row>
    <row r="37" spans="1:43" ht="15">
      <c r="A37" s="474"/>
      <c r="B37" s="2016"/>
      <c r="C37" s="2017"/>
      <c r="D37" s="2018"/>
      <c r="F37" s="2019"/>
      <c r="G37" s="2017"/>
      <c r="H37" s="2018"/>
      <c r="J37" s="2019"/>
      <c r="K37" s="2017"/>
      <c r="L37" s="2018"/>
      <c r="M37" s="474"/>
      <c r="N37" s="2019"/>
      <c r="O37" s="2017"/>
      <c r="P37" s="2018"/>
      <c r="R37" s="2019"/>
      <c r="S37" s="2017"/>
      <c r="T37" s="2018"/>
      <c r="V37" s="2019"/>
      <c r="W37" s="2017"/>
      <c r="X37" s="2020"/>
      <c r="Z37" s="2019"/>
      <c r="AA37" s="2017"/>
      <c r="AB37" s="2018"/>
      <c r="AC37" s="474"/>
      <c r="AD37" s="2019"/>
      <c r="AE37" s="2017"/>
      <c r="AF37" s="2018"/>
      <c r="AH37" s="2019"/>
      <c r="AI37" s="2021"/>
      <c r="AJ37" s="2018"/>
      <c r="AL37" s="2019"/>
      <c r="AM37" s="2021"/>
      <c r="AN37" s="2018"/>
      <c r="AO37" s="477"/>
      <c r="AP37" s="477"/>
      <c r="AQ37" s="477"/>
    </row>
    <row r="38" spans="1:43" ht="15">
      <c r="A38" s="474"/>
      <c r="B38" s="2016"/>
      <c r="C38" s="2017"/>
      <c r="D38" s="2018"/>
      <c r="F38" s="2019"/>
      <c r="G38" s="2017"/>
      <c r="H38" s="2018"/>
      <c r="J38" s="2019"/>
      <c r="K38" s="2017"/>
      <c r="L38" s="2018"/>
      <c r="M38" s="474"/>
      <c r="N38" s="2019"/>
      <c r="O38" s="2017"/>
      <c r="P38" s="2018"/>
      <c r="R38" s="2019"/>
      <c r="S38" s="2017"/>
      <c r="T38" s="2018"/>
      <c r="V38" s="2019"/>
      <c r="W38" s="2017"/>
      <c r="X38" s="2020"/>
      <c r="Z38" s="2019"/>
      <c r="AA38" s="2017"/>
      <c r="AB38" s="2018"/>
      <c r="AC38" s="474"/>
      <c r="AD38" s="2019"/>
      <c r="AE38" s="2017"/>
      <c r="AF38" s="2018"/>
      <c r="AH38" s="2019"/>
      <c r="AI38" s="2021"/>
      <c r="AJ38" s="2018"/>
      <c r="AL38" s="2019"/>
      <c r="AM38" s="2021"/>
      <c r="AN38" s="2018"/>
      <c r="AO38" s="477"/>
      <c r="AP38" s="477"/>
      <c r="AQ38" s="477"/>
    </row>
    <row r="39" spans="1:43" ht="15">
      <c r="A39" s="474"/>
      <c r="B39" s="2016"/>
      <c r="C39" s="2017"/>
      <c r="D39" s="2018"/>
      <c r="F39" s="2019"/>
      <c r="G39" s="2017"/>
      <c r="H39" s="2018"/>
      <c r="J39" s="2019"/>
      <c r="K39" s="2017"/>
      <c r="L39" s="2018"/>
      <c r="M39" s="474"/>
      <c r="N39" s="2019"/>
      <c r="O39" s="2017"/>
      <c r="P39" s="2018"/>
      <c r="R39" s="2019"/>
      <c r="S39" s="2017"/>
      <c r="T39" s="2018"/>
      <c r="V39" s="2019"/>
      <c r="W39" s="2017"/>
      <c r="X39" s="2020"/>
      <c r="Z39" s="2019"/>
      <c r="AA39" s="2017"/>
      <c r="AB39" s="2018"/>
      <c r="AC39" s="474"/>
      <c r="AD39" s="2019"/>
      <c r="AE39" s="2017"/>
      <c r="AF39" s="2018"/>
      <c r="AH39" s="2019"/>
      <c r="AI39" s="2021"/>
      <c r="AJ39" s="2018"/>
      <c r="AL39" s="2019"/>
      <c r="AM39" s="2021"/>
      <c r="AN39" s="2018"/>
      <c r="AO39" s="477"/>
      <c r="AP39" s="477"/>
      <c r="AQ39" s="477"/>
    </row>
    <row r="40" spans="1:43" ht="15">
      <c r="A40" s="474"/>
      <c r="B40" s="2016"/>
      <c r="C40" s="2017"/>
      <c r="D40" s="2018"/>
      <c r="F40" s="2019"/>
      <c r="G40" s="2017"/>
      <c r="H40" s="2018"/>
      <c r="J40" s="2019"/>
      <c r="K40" s="2017"/>
      <c r="L40" s="2018"/>
      <c r="M40" s="474"/>
      <c r="N40" s="2019"/>
      <c r="O40" s="2017"/>
      <c r="P40" s="2018"/>
      <c r="R40" s="2019"/>
      <c r="S40" s="2017"/>
      <c r="T40" s="2018"/>
      <c r="V40" s="2019"/>
      <c r="W40" s="2017"/>
      <c r="X40" s="2020"/>
      <c r="Z40" s="2019"/>
      <c r="AA40" s="2017"/>
      <c r="AB40" s="2018"/>
      <c r="AC40" s="474"/>
      <c r="AD40" s="2019"/>
      <c r="AE40" s="2017"/>
      <c r="AF40" s="2018"/>
      <c r="AH40" s="2019"/>
      <c r="AI40" s="2021"/>
      <c r="AJ40" s="2018"/>
      <c r="AL40" s="2019"/>
      <c r="AM40" s="2021"/>
      <c r="AN40" s="2018"/>
      <c r="AO40" s="477"/>
      <c r="AP40" s="477"/>
      <c r="AQ40" s="477"/>
    </row>
    <row r="41" spans="1:43" ht="15">
      <c r="A41" s="474"/>
      <c r="B41" s="2016"/>
      <c r="C41" s="2017"/>
      <c r="D41" s="2018"/>
      <c r="F41" s="2019"/>
      <c r="G41" s="2017"/>
      <c r="H41" s="2018"/>
      <c r="J41" s="2019"/>
      <c r="K41" s="2017"/>
      <c r="L41" s="2018"/>
      <c r="M41" s="474"/>
      <c r="N41" s="2019"/>
      <c r="O41" s="2017"/>
      <c r="P41" s="2018"/>
      <c r="R41" s="2019"/>
      <c r="S41" s="2017"/>
      <c r="T41" s="2018"/>
      <c r="V41" s="2019"/>
      <c r="W41" s="2017"/>
      <c r="X41" s="2020"/>
      <c r="Z41" s="2019"/>
      <c r="AA41" s="2017"/>
      <c r="AB41" s="2018"/>
      <c r="AC41" s="474"/>
      <c r="AD41" s="2019"/>
      <c r="AE41" s="2017"/>
      <c r="AF41" s="2018"/>
      <c r="AH41" s="2019"/>
      <c r="AI41" s="2021"/>
      <c r="AJ41" s="2018"/>
      <c r="AL41" s="2019"/>
      <c r="AM41" s="2021"/>
      <c r="AN41" s="2018"/>
      <c r="AO41" s="477"/>
      <c r="AP41" s="477"/>
      <c r="AQ41" s="477"/>
    </row>
    <row r="42" spans="1:43" ht="15">
      <c r="A42" s="474"/>
      <c r="B42" s="2016"/>
      <c r="C42" s="2017"/>
      <c r="D42" s="2018"/>
      <c r="F42" s="2019"/>
      <c r="G42" s="2017"/>
      <c r="H42" s="2018"/>
      <c r="J42" s="2019"/>
      <c r="K42" s="2017"/>
      <c r="L42" s="2018"/>
      <c r="M42" s="474"/>
      <c r="N42" s="2019"/>
      <c r="O42" s="2017"/>
      <c r="P42" s="2018"/>
      <c r="R42" s="2019"/>
      <c r="S42" s="2017"/>
      <c r="T42" s="2018"/>
      <c r="V42" s="2019"/>
      <c r="W42" s="2017"/>
      <c r="X42" s="2020"/>
      <c r="Z42" s="2019"/>
      <c r="AA42" s="2017"/>
      <c r="AB42" s="2018"/>
      <c r="AC42" s="474"/>
      <c r="AD42" s="2019"/>
      <c r="AE42" s="2017"/>
      <c r="AF42" s="2018"/>
      <c r="AH42" s="2019"/>
      <c r="AI42" s="2021"/>
      <c r="AJ42" s="2018"/>
      <c r="AL42" s="2019"/>
      <c r="AM42" s="2021"/>
      <c r="AN42" s="2018"/>
      <c r="AO42" s="477"/>
      <c r="AP42" s="477"/>
      <c r="AQ42" s="477"/>
    </row>
    <row r="43" spans="1:43" ht="15">
      <c r="A43" s="474"/>
      <c r="B43" s="2016"/>
      <c r="C43" s="2017"/>
      <c r="D43" s="2018"/>
      <c r="F43" s="2019"/>
      <c r="G43" s="2017"/>
      <c r="H43" s="2018"/>
      <c r="J43" s="2019"/>
      <c r="K43" s="2017"/>
      <c r="L43" s="2018"/>
      <c r="M43" s="474"/>
      <c r="N43" s="2019"/>
      <c r="O43" s="2017"/>
      <c r="P43" s="2018"/>
      <c r="R43" s="2019"/>
      <c r="S43" s="2017"/>
      <c r="T43" s="2018"/>
      <c r="V43" s="2019"/>
      <c r="W43" s="2017"/>
      <c r="X43" s="2020"/>
      <c r="Z43" s="2019"/>
      <c r="AA43" s="2017"/>
      <c r="AB43" s="2018"/>
      <c r="AC43" s="474"/>
      <c r="AD43" s="2019"/>
      <c r="AE43" s="2017"/>
      <c r="AF43" s="2018"/>
      <c r="AH43" s="2019"/>
      <c r="AI43" s="2021"/>
      <c r="AJ43" s="2018"/>
      <c r="AL43" s="2019"/>
      <c r="AM43" s="2021"/>
      <c r="AN43" s="2018"/>
      <c r="AO43" s="477"/>
      <c r="AP43" s="477"/>
      <c r="AQ43" s="477"/>
    </row>
    <row r="44" spans="1:43" ht="15">
      <c r="A44" s="474"/>
      <c r="B44" s="2016"/>
      <c r="C44" s="2017"/>
      <c r="D44" s="2018"/>
      <c r="F44" s="2019"/>
      <c r="G44" s="2017"/>
      <c r="H44" s="2018"/>
      <c r="J44" s="2019"/>
      <c r="K44" s="2017"/>
      <c r="L44" s="2018"/>
      <c r="M44" s="474"/>
      <c r="N44" s="2019"/>
      <c r="O44" s="2017"/>
      <c r="P44" s="2018"/>
      <c r="R44" s="2019"/>
      <c r="S44" s="2017"/>
      <c r="T44" s="2018"/>
      <c r="V44" s="2019"/>
      <c r="W44" s="2017"/>
      <c r="X44" s="2020"/>
      <c r="Z44" s="2019"/>
      <c r="AA44" s="2017"/>
      <c r="AB44" s="2018"/>
      <c r="AC44" s="474"/>
      <c r="AD44" s="2019"/>
      <c r="AE44" s="2017"/>
      <c r="AF44" s="2018"/>
      <c r="AH44" s="2019"/>
      <c r="AI44" s="2021"/>
      <c r="AJ44" s="2018"/>
      <c r="AL44" s="2019"/>
      <c r="AM44" s="2021"/>
      <c r="AN44" s="2018"/>
      <c r="AO44" s="477"/>
      <c r="AP44" s="477"/>
      <c r="AQ44" s="477"/>
    </row>
    <row r="45" spans="1:43" ht="15">
      <c r="A45" s="474"/>
      <c r="B45" s="2016"/>
      <c r="C45" s="2017"/>
      <c r="D45" s="2018"/>
      <c r="F45" s="2019"/>
      <c r="G45" s="2017"/>
      <c r="H45" s="2018"/>
      <c r="J45" s="2019"/>
      <c r="K45" s="2017"/>
      <c r="L45" s="2018"/>
      <c r="M45" s="474"/>
      <c r="N45" s="2019"/>
      <c r="O45" s="2017"/>
      <c r="P45" s="2018"/>
      <c r="R45" s="2019"/>
      <c r="S45" s="2017"/>
      <c r="T45" s="2018"/>
      <c r="V45" s="2019"/>
      <c r="W45" s="2017"/>
      <c r="X45" s="2020"/>
      <c r="Z45" s="2019"/>
      <c r="AA45" s="2017"/>
      <c r="AB45" s="2018"/>
      <c r="AC45" s="474"/>
      <c r="AD45" s="2019"/>
      <c r="AE45" s="2017"/>
      <c r="AF45" s="2018"/>
      <c r="AH45" s="2019"/>
      <c r="AI45" s="2021"/>
      <c r="AJ45" s="2018"/>
      <c r="AL45" s="2019"/>
      <c r="AM45" s="2021"/>
      <c r="AN45" s="2018"/>
      <c r="AO45" s="477"/>
      <c r="AP45" s="477"/>
      <c r="AQ45" s="477"/>
    </row>
    <row r="46" spans="1:43" ht="15">
      <c r="A46" s="474"/>
      <c r="B46" s="2016"/>
      <c r="C46" s="2017"/>
      <c r="D46" s="2018"/>
      <c r="F46" s="2019"/>
      <c r="G46" s="2017"/>
      <c r="H46" s="2018"/>
      <c r="J46" s="2019"/>
      <c r="K46" s="2017"/>
      <c r="L46" s="2018"/>
      <c r="M46" s="474"/>
      <c r="N46" s="2019"/>
      <c r="O46" s="2017"/>
      <c r="P46" s="2018"/>
      <c r="R46" s="2019"/>
      <c r="S46" s="2017"/>
      <c r="T46" s="2018"/>
      <c r="V46" s="2019"/>
      <c r="W46" s="2017"/>
      <c r="X46" s="2020"/>
      <c r="Z46" s="2019"/>
      <c r="AA46" s="2017"/>
      <c r="AB46" s="2018"/>
      <c r="AC46" s="474"/>
      <c r="AD46" s="2019"/>
      <c r="AE46" s="2017"/>
      <c r="AF46" s="2018"/>
      <c r="AH46" s="2019"/>
      <c r="AI46" s="2021"/>
      <c r="AJ46" s="2018"/>
      <c r="AL46" s="2019"/>
      <c r="AM46" s="2021"/>
      <c r="AN46" s="2018"/>
      <c r="AO46" s="477"/>
      <c r="AP46" s="477"/>
      <c r="AQ46" s="477"/>
    </row>
    <row r="47" spans="1:43" ht="15">
      <c r="A47" s="474"/>
      <c r="B47" s="2016"/>
      <c r="C47" s="2017"/>
      <c r="D47" s="2018"/>
      <c r="F47" s="2019"/>
      <c r="G47" s="2017"/>
      <c r="H47" s="2018"/>
      <c r="J47" s="2019"/>
      <c r="K47" s="2017"/>
      <c r="L47" s="2018"/>
      <c r="M47" s="474"/>
      <c r="N47" s="2019"/>
      <c r="O47" s="2017"/>
      <c r="P47" s="2018"/>
      <c r="R47" s="2019"/>
      <c r="S47" s="2017"/>
      <c r="T47" s="2018"/>
      <c r="V47" s="2019"/>
      <c r="W47" s="2017"/>
      <c r="X47" s="2020"/>
      <c r="Z47" s="2019"/>
      <c r="AA47" s="2017"/>
      <c r="AB47" s="2018"/>
      <c r="AC47" s="474"/>
      <c r="AD47" s="2019"/>
      <c r="AE47" s="2017"/>
      <c r="AF47" s="2018"/>
      <c r="AH47" s="2019"/>
      <c r="AI47" s="2021"/>
      <c r="AJ47" s="2018"/>
      <c r="AL47" s="2019"/>
      <c r="AM47" s="2021"/>
      <c r="AN47" s="2018"/>
      <c r="AO47" s="477"/>
      <c r="AP47" s="477"/>
      <c r="AQ47" s="477"/>
    </row>
    <row r="48" spans="1:43" ht="15">
      <c r="A48" s="474"/>
      <c r="B48" s="2016"/>
      <c r="C48" s="2017"/>
      <c r="D48" s="2018"/>
      <c r="F48" s="2019"/>
      <c r="G48" s="2017"/>
      <c r="H48" s="2018"/>
      <c r="J48" s="2019"/>
      <c r="K48" s="2017"/>
      <c r="L48" s="2018"/>
      <c r="M48" s="474"/>
      <c r="N48" s="2019"/>
      <c r="O48" s="2017"/>
      <c r="P48" s="2018"/>
      <c r="R48" s="2019"/>
      <c r="S48" s="2017"/>
      <c r="T48" s="2018"/>
      <c r="V48" s="2019"/>
      <c r="W48" s="2017"/>
      <c r="X48" s="2020"/>
      <c r="Z48" s="2019"/>
      <c r="AA48" s="2017"/>
      <c r="AB48" s="2018"/>
      <c r="AC48" s="474"/>
      <c r="AD48" s="2019"/>
      <c r="AE48" s="2017"/>
      <c r="AF48" s="2018"/>
      <c r="AH48" s="2019"/>
      <c r="AI48" s="2021"/>
      <c r="AJ48" s="2018"/>
      <c r="AL48" s="2019"/>
      <c r="AM48" s="2021"/>
      <c r="AN48" s="2018"/>
      <c r="AO48" s="477"/>
      <c r="AP48" s="477"/>
      <c r="AQ48" s="477"/>
    </row>
    <row r="49" spans="1:43" ht="15">
      <c r="A49" s="474"/>
      <c r="B49" s="2016"/>
      <c r="C49" s="2017"/>
      <c r="D49" s="2018"/>
      <c r="F49" s="2019"/>
      <c r="G49" s="2017"/>
      <c r="H49" s="2018"/>
      <c r="J49" s="2019"/>
      <c r="K49" s="2017"/>
      <c r="L49" s="2018"/>
      <c r="M49" s="474"/>
      <c r="N49" s="2019"/>
      <c r="O49" s="2017"/>
      <c r="P49" s="2018"/>
      <c r="R49" s="2019"/>
      <c r="S49" s="2017"/>
      <c r="T49" s="2018"/>
      <c r="V49" s="2019"/>
      <c r="W49" s="2017"/>
      <c r="X49" s="2020"/>
      <c r="Z49" s="2019"/>
      <c r="AA49" s="2017"/>
      <c r="AB49" s="2018"/>
      <c r="AC49" s="474"/>
      <c r="AD49" s="2019"/>
      <c r="AE49" s="2017"/>
      <c r="AF49" s="2018"/>
      <c r="AH49" s="2019"/>
      <c r="AI49" s="2021"/>
      <c r="AJ49" s="2018"/>
      <c r="AL49" s="2019"/>
      <c r="AM49" s="2021"/>
      <c r="AN49" s="2018"/>
      <c r="AO49" s="477"/>
      <c r="AP49" s="477"/>
      <c r="AQ49" s="477"/>
    </row>
    <row r="50" spans="1:43" ht="15">
      <c r="A50" s="474"/>
      <c r="B50" s="2016"/>
      <c r="C50" s="2017"/>
      <c r="D50" s="2018"/>
      <c r="F50" s="2019"/>
      <c r="G50" s="2017"/>
      <c r="H50" s="2018"/>
      <c r="J50" s="2019"/>
      <c r="K50" s="2017"/>
      <c r="L50" s="2018"/>
      <c r="M50" s="474"/>
      <c r="N50" s="2019"/>
      <c r="O50" s="2017"/>
      <c r="P50" s="2018"/>
      <c r="R50" s="2019"/>
      <c r="S50" s="2017"/>
      <c r="T50" s="2018"/>
      <c r="V50" s="2019"/>
      <c r="W50" s="2017"/>
      <c r="X50" s="2020"/>
      <c r="Z50" s="2019"/>
      <c r="AA50" s="2017"/>
      <c r="AB50" s="2018"/>
      <c r="AC50" s="474"/>
      <c r="AD50" s="2019"/>
      <c r="AE50" s="2017"/>
      <c r="AF50" s="2018"/>
      <c r="AH50" s="2019"/>
      <c r="AI50" s="2021"/>
      <c r="AJ50" s="2018"/>
      <c r="AL50" s="2019"/>
      <c r="AM50" s="2021"/>
      <c r="AN50" s="2018"/>
      <c r="AO50" s="477"/>
      <c r="AP50" s="477"/>
      <c r="AQ50" s="477"/>
    </row>
    <row r="51" spans="1:43" ht="15">
      <c r="A51" s="474"/>
      <c r="B51" s="2016"/>
      <c r="C51" s="2017"/>
      <c r="D51" s="2018"/>
      <c r="F51" s="2019"/>
      <c r="G51" s="2017"/>
      <c r="H51" s="2018"/>
      <c r="J51" s="2019"/>
      <c r="K51" s="2017"/>
      <c r="L51" s="2018"/>
      <c r="M51" s="474"/>
      <c r="N51" s="2019"/>
      <c r="O51" s="2017"/>
      <c r="P51" s="2018"/>
      <c r="R51" s="2019"/>
      <c r="S51" s="2017"/>
      <c r="T51" s="2018"/>
      <c r="V51" s="2019"/>
      <c r="W51" s="2017"/>
      <c r="X51" s="2020"/>
      <c r="Z51" s="2019"/>
      <c r="AA51" s="2017"/>
      <c r="AB51" s="2018"/>
      <c r="AC51" s="474"/>
      <c r="AD51" s="2019"/>
      <c r="AE51" s="2017"/>
      <c r="AF51" s="2018"/>
      <c r="AH51" s="2019"/>
      <c r="AI51" s="2021"/>
      <c r="AJ51" s="2018"/>
      <c r="AL51" s="2019"/>
      <c r="AM51" s="2021"/>
      <c r="AN51" s="2018"/>
      <c r="AO51" s="477"/>
      <c r="AP51" s="477"/>
      <c r="AQ51" s="477"/>
    </row>
    <row r="52" spans="1:43" ht="15">
      <c r="A52" s="474"/>
      <c r="B52" s="2016"/>
      <c r="C52" s="2017"/>
      <c r="D52" s="2018"/>
      <c r="F52" s="2019"/>
      <c r="G52" s="2017"/>
      <c r="H52" s="2018"/>
      <c r="J52" s="2019"/>
      <c r="K52" s="2017"/>
      <c r="L52" s="2018"/>
      <c r="M52" s="474"/>
      <c r="N52" s="2019"/>
      <c r="O52" s="2017"/>
      <c r="P52" s="2018"/>
      <c r="R52" s="2019"/>
      <c r="S52" s="2017"/>
      <c r="T52" s="2018"/>
      <c r="V52" s="2019"/>
      <c r="W52" s="2017"/>
      <c r="X52" s="2020"/>
      <c r="Z52" s="2019"/>
      <c r="AA52" s="2017"/>
      <c r="AB52" s="2018"/>
      <c r="AC52" s="474"/>
      <c r="AD52" s="2019"/>
      <c r="AE52" s="2017"/>
      <c r="AF52" s="2018"/>
      <c r="AH52" s="2019"/>
      <c r="AI52" s="2021"/>
      <c r="AJ52" s="2018"/>
      <c r="AL52" s="2019"/>
      <c r="AM52" s="2021"/>
      <c r="AN52" s="2018"/>
      <c r="AO52" s="477"/>
      <c r="AP52" s="477"/>
      <c r="AQ52" s="477"/>
    </row>
    <row r="53" spans="1:43" ht="15">
      <c r="A53" s="474"/>
      <c r="B53" s="2016"/>
      <c r="C53" s="2017"/>
      <c r="D53" s="2018"/>
      <c r="F53" s="2019"/>
      <c r="G53" s="2017"/>
      <c r="H53" s="2018"/>
      <c r="J53" s="2019"/>
      <c r="K53" s="2017"/>
      <c r="L53" s="2018"/>
      <c r="M53" s="474"/>
      <c r="N53" s="2019"/>
      <c r="O53" s="2017"/>
      <c r="P53" s="2018"/>
      <c r="R53" s="2019"/>
      <c r="S53" s="2017"/>
      <c r="T53" s="2018"/>
      <c r="V53" s="2019"/>
      <c r="W53" s="2017"/>
      <c r="X53" s="2020"/>
      <c r="Z53" s="2019"/>
      <c r="AA53" s="2017"/>
      <c r="AB53" s="2018"/>
      <c r="AC53" s="474"/>
      <c r="AD53" s="2019"/>
      <c r="AE53" s="2017"/>
      <c r="AF53" s="2018"/>
      <c r="AH53" s="2019"/>
      <c r="AI53" s="2021"/>
      <c r="AJ53" s="2018"/>
      <c r="AL53" s="2019"/>
      <c r="AM53" s="2021"/>
      <c r="AN53" s="2018"/>
      <c r="AO53" s="477"/>
      <c r="AP53" s="477"/>
      <c r="AQ53" s="477"/>
    </row>
    <row r="54" spans="1:43" ht="15">
      <c r="A54" s="474"/>
      <c r="B54" s="2016"/>
      <c r="C54" s="2017"/>
      <c r="D54" s="2018"/>
      <c r="F54" s="2019"/>
      <c r="G54" s="2017"/>
      <c r="H54" s="2018"/>
      <c r="J54" s="2019"/>
      <c r="K54" s="2017"/>
      <c r="L54" s="2018"/>
      <c r="M54" s="474"/>
      <c r="N54" s="2019"/>
      <c r="O54" s="2017"/>
      <c r="P54" s="2018"/>
      <c r="R54" s="2019"/>
      <c r="S54" s="2017"/>
      <c r="T54" s="2018"/>
      <c r="V54" s="2019"/>
      <c r="W54" s="2017"/>
      <c r="X54" s="2020"/>
      <c r="Z54" s="2019"/>
      <c r="AA54" s="2017"/>
      <c r="AB54" s="2018"/>
      <c r="AC54" s="474"/>
      <c r="AD54" s="2019"/>
      <c r="AE54" s="2017"/>
      <c r="AF54" s="2018"/>
      <c r="AH54" s="2019"/>
      <c r="AI54" s="2021"/>
      <c r="AJ54" s="2018"/>
      <c r="AL54" s="2019"/>
      <c r="AM54" s="2021"/>
      <c r="AN54" s="2018"/>
      <c r="AO54" s="477"/>
      <c r="AP54" s="477"/>
      <c r="AQ54" s="477"/>
    </row>
    <row r="55" spans="1:43" ht="15">
      <c r="A55" s="474"/>
      <c r="B55" s="2016"/>
      <c r="C55" s="2017"/>
      <c r="D55" s="2018"/>
      <c r="F55" s="2019"/>
      <c r="G55" s="2017"/>
      <c r="H55" s="2018"/>
      <c r="J55" s="2019"/>
      <c r="K55" s="2017"/>
      <c r="L55" s="2018"/>
      <c r="M55" s="474"/>
      <c r="N55" s="2019"/>
      <c r="O55" s="2017"/>
      <c r="P55" s="2018"/>
      <c r="R55" s="2019"/>
      <c r="S55" s="2017"/>
      <c r="T55" s="2018"/>
      <c r="V55" s="2019"/>
      <c r="W55" s="2017"/>
      <c r="X55" s="2020"/>
      <c r="Z55" s="2019"/>
      <c r="AA55" s="2017"/>
      <c r="AB55" s="2018"/>
      <c r="AC55" s="474"/>
      <c r="AD55" s="2019"/>
      <c r="AE55" s="2017"/>
      <c r="AF55" s="2018"/>
      <c r="AH55" s="2019"/>
      <c r="AI55" s="2021"/>
      <c r="AJ55" s="2018"/>
      <c r="AL55" s="2019"/>
      <c r="AM55" s="2021"/>
      <c r="AN55" s="2018"/>
      <c r="AO55" s="477"/>
      <c r="AP55" s="477"/>
      <c r="AQ55" s="477"/>
    </row>
    <row r="56" spans="1:43" ht="15">
      <c r="A56" s="474"/>
      <c r="B56" s="2016"/>
      <c r="C56" s="2017"/>
      <c r="D56" s="2018"/>
      <c r="F56" s="2019"/>
      <c r="G56" s="2017"/>
      <c r="H56" s="2018"/>
      <c r="J56" s="2019"/>
      <c r="K56" s="2017"/>
      <c r="L56" s="2018"/>
      <c r="M56" s="474"/>
      <c r="N56" s="2019"/>
      <c r="O56" s="2017"/>
      <c r="P56" s="2018"/>
      <c r="R56" s="2019"/>
      <c r="S56" s="2017"/>
      <c r="T56" s="2018"/>
      <c r="V56" s="2019"/>
      <c r="W56" s="2017"/>
      <c r="X56" s="2020"/>
      <c r="Z56" s="2019"/>
      <c r="AA56" s="2017"/>
      <c r="AB56" s="2018"/>
      <c r="AC56" s="474"/>
      <c r="AD56" s="2019"/>
      <c r="AE56" s="2017"/>
      <c r="AF56" s="2018"/>
      <c r="AH56" s="2019"/>
      <c r="AI56" s="2021"/>
      <c r="AJ56" s="2018"/>
      <c r="AL56" s="2019"/>
      <c r="AM56" s="2021"/>
      <c r="AN56" s="2018"/>
      <c r="AO56" s="477"/>
      <c r="AP56" s="477"/>
      <c r="AQ56" s="477"/>
    </row>
    <row r="57" spans="1:43" ht="15">
      <c r="A57" s="474"/>
      <c r="B57" s="2016"/>
      <c r="C57" s="2017"/>
      <c r="D57" s="2018"/>
      <c r="F57" s="2019"/>
      <c r="G57" s="2017"/>
      <c r="H57" s="2018"/>
      <c r="J57" s="2019"/>
      <c r="K57" s="2017"/>
      <c r="L57" s="2018"/>
      <c r="M57" s="474"/>
      <c r="N57" s="2019"/>
      <c r="O57" s="2017"/>
      <c r="P57" s="2018"/>
      <c r="R57" s="2019"/>
      <c r="S57" s="2017"/>
      <c r="T57" s="2018"/>
      <c r="V57" s="2019"/>
      <c r="W57" s="2017"/>
      <c r="X57" s="2020"/>
      <c r="Z57" s="2019"/>
      <c r="AA57" s="2017"/>
      <c r="AB57" s="2018"/>
      <c r="AC57" s="474"/>
      <c r="AD57" s="2019"/>
      <c r="AE57" s="2017"/>
      <c r="AF57" s="2018"/>
      <c r="AH57" s="2019"/>
      <c r="AI57" s="2021"/>
      <c r="AJ57" s="2018"/>
      <c r="AL57" s="2019"/>
      <c r="AM57" s="2021"/>
      <c r="AN57" s="2018"/>
      <c r="AO57" s="477"/>
      <c r="AP57" s="477"/>
      <c r="AQ57" s="477"/>
    </row>
    <row r="58" spans="1:43" ht="15">
      <c r="A58" s="474"/>
      <c r="B58" s="2016"/>
      <c r="C58" s="2017"/>
      <c r="D58" s="2018"/>
      <c r="F58" s="2019"/>
      <c r="G58" s="2017"/>
      <c r="H58" s="2018"/>
      <c r="J58" s="2019"/>
      <c r="K58" s="2017"/>
      <c r="L58" s="2018"/>
      <c r="M58" s="474"/>
      <c r="N58" s="2019"/>
      <c r="O58" s="2017"/>
      <c r="P58" s="2018"/>
      <c r="R58" s="2019"/>
      <c r="S58" s="2017"/>
      <c r="T58" s="2018"/>
      <c r="V58" s="2019"/>
      <c r="W58" s="2017"/>
      <c r="X58" s="2020"/>
      <c r="Z58" s="2019"/>
      <c r="AA58" s="2017"/>
      <c r="AB58" s="2018"/>
      <c r="AC58" s="474"/>
      <c r="AD58" s="2019"/>
      <c r="AE58" s="2017"/>
      <c r="AF58" s="2018"/>
      <c r="AH58" s="2019"/>
      <c r="AI58" s="2021"/>
      <c r="AJ58" s="2018"/>
      <c r="AL58" s="2019"/>
      <c r="AM58" s="2021"/>
      <c r="AN58" s="2018"/>
      <c r="AO58" s="477"/>
      <c r="AP58" s="477"/>
      <c r="AQ58" s="477"/>
    </row>
    <row r="59" spans="1:43" ht="15">
      <c r="A59" s="474"/>
      <c r="B59" s="2016"/>
      <c r="C59" s="2017"/>
      <c r="D59" s="2018"/>
      <c r="F59" s="2019"/>
      <c r="G59" s="2017"/>
      <c r="H59" s="2018"/>
      <c r="J59" s="2019"/>
      <c r="K59" s="2017"/>
      <c r="L59" s="2018"/>
      <c r="M59" s="474"/>
      <c r="N59" s="2019"/>
      <c r="O59" s="2017"/>
      <c r="P59" s="2018"/>
      <c r="R59" s="2019"/>
      <c r="S59" s="2017"/>
      <c r="T59" s="2018"/>
      <c r="V59" s="2019"/>
      <c r="W59" s="2017"/>
      <c r="X59" s="2020"/>
      <c r="Z59" s="2019"/>
      <c r="AA59" s="2017"/>
      <c r="AB59" s="2018"/>
      <c r="AC59" s="474"/>
      <c r="AD59" s="2019"/>
      <c r="AE59" s="2017"/>
      <c r="AF59" s="2018"/>
      <c r="AH59" s="2019"/>
      <c r="AI59" s="2021"/>
      <c r="AJ59" s="2018"/>
      <c r="AL59" s="2019"/>
      <c r="AM59" s="2021"/>
      <c r="AN59" s="2018"/>
      <c r="AO59" s="477"/>
      <c r="AP59" s="477"/>
      <c r="AQ59" s="477"/>
    </row>
    <row r="60" spans="1:43" ht="15">
      <c r="A60" s="474"/>
      <c r="B60" s="2016"/>
      <c r="C60" s="2017"/>
      <c r="D60" s="2018"/>
      <c r="F60" s="2019"/>
      <c r="G60" s="2017"/>
      <c r="H60" s="2018"/>
      <c r="J60" s="2019"/>
      <c r="K60" s="2017"/>
      <c r="L60" s="2018"/>
      <c r="M60" s="474"/>
      <c r="N60" s="2019"/>
      <c r="O60" s="2017"/>
      <c r="P60" s="2018"/>
      <c r="R60" s="2019"/>
      <c r="S60" s="2017"/>
      <c r="T60" s="2018"/>
      <c r="V60" s="2019"/>
      <c r="W60" s="2017"/>
      <c r="X60" s="2020"/>
      <c r="Z60" s="2019"/>
      <c r="AA60" s="2017"/>
      <c r="AB60" s="2018"/>
      <c r="AC60" s="474"/>
      <c r="AD60" s="2019"/>
      <c r="AE60" s="2017"/>
      <c r="AF60" s="2018"/>
      <c r="AH60" s="2019"/>
      <c r="AI60" s="2021"/>
      <c r="AJ60" s="2018"/>
      <c r="AL60" s="2019"/>
      <c r="AM60" s="2021"/>
      <c r="AN60" s="2018"/>
      <c r="AO60" s="477"/>
      <c r="AP60" s="477"/>
      <c r="AQ60" s="477"/>
    </row>
    <row r="61" spans="1:43" ht="15">
      <c r="A61" s="474"/>
      <c r="B61" s="2016"/>
      <c r="C61" s="2017"/>
      <c r="D61" s="2018"/>
      <c r="F61" s="2019"/>
      <c r="G61" s="2017"/>
      <c r="H61" s="2018"/>
      <c r="J61" s="2019"/>
      <c r="K61" s="2017"/>
      <c r="L61" s="2018"/>
      <c r="M61" s="474"/>
      <c r="N61" s="2019"/>
      <c r="O61" s="2017"/>
      <c r="P61" s="2018"/>
      <c r="R61" s="2019"/>
      <c r="S61" s="2017"/>
      <c r="T61" s="2018"/>
      <c r="V61" s="2019"/>
      <c r="W61" s="2017"/>
      <c r="X61" s="2020"/>
      <c r="Z61" s="2019"/>
      <c r="AA61" s="2017"/>
      <c r="AB61" s="2018"/>
      <c r="AC61" s="474"/>
      <c r="AD61" s="2019"/>
      <c r="AE61" s="2017"/>
      <c r="AF61" s="2018"/>
      <c r="AH61" s="2019"/>
      <c r="AI61" s="2021"/>
      <c r="AJ61" s="2018"/>
      <c r="AL61" s="2019"/>
      <c r="AM61" s="2021"/>
      <c r="AN61" s="2018"/>
      <c r="AO61" s="477"/>
      <c r="AP61" s="477"/>
      <c r="AQ61" s="477"/>
    </row>
    <row r="62" spans="1:43" ht="15">
      <c r="A62" s="474"/>
      <c r="B62" s="2016"/>
      <c r="C62" s="2017"/>
      <c r="D62" s="2018"/>
      <c r="F62" s="2019"/>
      <c r="G62" s="2017"/>
      <c r="H62" s="2018"/>
      <c r="J62" s="2019"/>
      <c r="K62" s="2017"/>
      <c r="L62" s="2018"/>
      <c r="M62" s="474"/>
      <c r="N62" s="2019"/>
      <c r="O62" s="2017"/>
      <c r="P62" s="2018"/>
      <c r="R62" s="2019"/>
      <c r="S62" s="2017"/>
      <c r="T62" s="2018"/>
      <c r="V62" s="2019"/>
      <c r="W62" s="2017"/>
      <c r="X62" s="2020"/>
      <c r="Z62" s="2019"/>
      <c r="AA62" s="2017"/>
      <c r="AB62" s="2018"/>
      <c r="AC62" s="474"/>
      <c r="AD62" s="2019"/>
      <c r="AE62" s="2017"/>
      <c r="AF62" s="2018"/>
      <c r="AH62" s="2019"/>
      <c r="AI62" s="2021"/>
      <c r="AJ62" s="2018"/>
      <c r="AL62" s="2019"/>
      <c r="AM62" s="2021"/>
      <c r="AN62" s="2018"/>
      <c r="AO62" s="477"/>
      <c r="AP62" s="477"/>
      <c r="AQ62" s="477"/>
    </row>
    <row r="63" spans="1:43" ht="15">
      <c r="A63" s="474"/>
      <c r="B63" s="2016"/>
      <c r="C63" s="2017"/>
      <c r="D63" s="2018"/>
      <c r="F63" s="2019"/>
      <c r="G63" s="2017"/>
      <c r="H63" s="2018"/>
      <c r="J63" s="2019"/>
      <c r="K63" s="2017"/>
      <c r="L63" s="2018"/>
      <c r="M63" s="474"/>
      <c r="N63" s="2019"/>
      <c r="O63" s="2017"/>
      <c r="P63" s="2018"/>
      <c r="R63" s="2019"/>
      <c r="S63" s="2017"/>
      <c r="T63" s="2018"/>
      <c r="V63" s="2019"/>
      <c r="W63" s="2017"/>
      <c r="X63" s="2020"/>
      <c r="Z63" s="2019"/>
      <c r="AA63" s="2017"/>
      <c r="AB63" s="2018"/>
      <c r="AC63" s="474"/>
      <c r="AD63" s="2019"/>
      <c r="AE63" s="2017"/>
      <c r="AF63" s="2018"/>
      <c r="AH63" s="2019"/>
      <c r="AI63" s="2021"/>
      <c r="AJ63" s="2018"/>
      <c r="AL63" s="2019"/>
      <c r="AM63" s="2021"/>
      <c r="AN63" s="2018"/>
      <c r="AO63" s="477"/>
      <c r="AP63" s="477"/>
      <c r="AQ63" s="477"/>
    </row>
    <row r="64" spans="1:43" ht="15">
      <c r="A64" s="474"/>
      <c r="B64" s="2016"/>
      <c r="C64" s="2017"/>
      <c r="D64" s="2018"/>
      <c r="F64" s="2019"/>
      <c r="G64" s="2017"/>
      <c r="H64" s="2018"/>
      <c r="J64" s="2019"/>
      <c r="K64" s="2017"/>
      <c r="L64" s="2018"/>
      <c r="M64" s="474"/>
      <c r="N64" s="2019"/>
      <c r="O64" s="2017"/>
      <c r="P64" s="2018"/>
      <c r="R64" s="2019"/>
      <c r="S64" s="2017"/>
      <c r="T64" s="2018"/>
      <c r="V64" s="2019"/>
      <c r="W64" s="2017"/>
      <c r="X64" s="2020"/>
      <c r="Z64" s="2019"/>
      <c r="AA64" s="2017"/>
      <c r="AB64" s="2018"/>
      <c r="AC64" s="474"/>
      <c r="AD64" s="2019"/>
      <c r="AE64" s="2017"/>
      <c r="AF64" s="2018"/>
      <c r="AH64" s="2019"/>
      <c r="AI64" s="2021"/>
      <c r="AJ64" s="2018"/>
      <c r="AL64" s="2019"/>
      <c r="AM64" s="2021"/>
      <c r="AN64" s="2018"/>
      <c r="AO64" s="477"/>
      <c r="AP64" s="477"/>
      <c r="AQ64" s="477"/>
    </row>
    <row r="65" spans="1:43" ht="15">
      <c r="A65" s="474"/>
      <c r="B65" s="2016"/>
      <c r="C65" s="2017"/>
      <c r="D65" s="2018"/>
      <c r="F65" s="2019"/>
      <c r="G65" s="2017"/>
      <c r="H65" s="2018"/>
      <c r="J65" s="2019"/>
      <c r="K65" s="2017"/>
      <c r="L65" s="2018"/>
      <c r="M65" s="474"/>
      <c r="N65" s="2019"/>
      <c r="O65" s="2017"/>
      <c r="P65" s="2018"/>
      <c r="R65" s="2019"/>
      <c r="S65" s="2017"/>
      <c r="T65" s="2018"/>
      <c r="V65" s="2019"/>
      <c r="W65" s="2017"/>
      <c r="X65" s="2020"/>
      <c r="Z65" s="2019"/>
      <c r="AA65" s="2017"/>
      <c r="AB65" s="2018"/>
      <c r="AC65" s="474"/>
      <c r="AD65" s="2019"/>
      <c r="AE65" s="2017"/>
      <c r="AF65" s="2018"/>
      <c r="AH65" s="2019"/>
      <c r="AI65" s="2021"/>
      <c r="AJ65" s="2018"/>
      <c r="AL65" s="2019"/>
      <c r="AM65" s="2021"/>
      <c r="AN65" s="2018"/>
      <c r="AO65" s="477"/>
      <c r="AP65" s="477"/>
      <c r="AQ65" s="477"/>
    </row>
    <row r="66" spans="1:43" ht="15">
      <c r="A66" s="474"/>
      <c r="B66" s="2016"/>
      <c r="C66" s="2017"/>
      <c r="D66" s="2018"/>
      <c r="F66" s="2019"/>
      <c r="G66" s="2017"/>
      <c r="H66" s="2018"/>
      <c r="J66" s="2019"/>
      <c r="K66" s="2017"/>
      <c r="L66" s="2018"/>
      <c r="M66" s="474"/>
      <c r="N66" s="2019"/>
      <c r="O66" s="2017"/>
      <c r="P66" s="2018"/>
      <c r="R66" s="2019"/>
      <c r="S66" s="2017"/>
      <c r="T66" s="2018"/>
      <c r="V66" s="2019"/>
      <c r="W66" s="2017"/>
      <c r="X66" s="2020"/>
      <c r="Z66" s="2019"/>
      <c r="AA66" s="2017"/>
      <c r="AB66" s="2018"/>
      <c r="AC66" s="474"/>
      <c r="AD66" s="2019"/>
      <c r="AE66" s="2017"/>
      <c r="AF66" s="2018"/>
      <c r="AH66" s="2019"/>
      <c r="AI66" s="2021"/>
      <c r="AJ66" s="2018"/>
      <c r="AL66" s="2019"/>
      <c r="AM66" s="2021"/>
      <c r="AN66" s="2018"/>
      <c r="AO66" s="477"/>
      <c r="AP66" s="477"/>
      <c r="AQ66" s="477"/>
    </row>
    <row r="67" spans="1:43" ht="15">
      <c r="A67" s="474"/>
      <c r="B67" s="2016"/>
      <c r="C67" s="2017"/>
      <c r="D67" s="2018"/>
      <c r="F67" s="2019"/>
      <c r="G67" s="2017"/>
      <c r="H67" s="2018"/>
      <c r="J67" s="2019"/>
      <c r="K67" s="2017"/>
      <c r="L67" s="2018"/>
      <c r="M67" s="474"/>
      <c r="N67" s="2019"/>
      <c r="O67" s="2017"/>
      <c r="P67" s="2018"/>
      <c r="R67" s="2019"/>
      <c r="S67" s="2017"/>
      <c r="T67" s="2018"/>
      <c r="V67" s="2019"/>
      <c r="W67" s="2017"/>
      <c r="X67" s="2020"/>
      <c r="Z67" s="2019"/>
      <c r="AA67" s="2017"/>
      <c r="AB67" s="2018"/>
      <c r="AC67" s="474"/>
      <c r="AD67" s="2019"/>
      <c r="AE67" s="2017"/>
      <c r="AF67" s="2018"/>
      <c r="AH67" s="2019"/>
      <c r="AI67" s="2021"/>
      <c r="AJ67" s="2018"/>
      <c r="AL67" s="2019"/>
      <c r="AM67" s="2021"/>
      <c r="AN67" s="2018"/>
      <c r="AO67" s="477"/>
      <c r="AP67" s="477"/>
      <c r="AQ67" s="477"/>
    </row>
    <row r="68" spans="1:43" ht="15">
      <c r="A68" s="474"/>
      <c r="B68" s="2016"/>
      <c r="C68" s="2017"/>
      <c r="D68" s="2018"/>
      <c r="F68" s="2019"/>
      <c r="G68" s="2017"/>
      <c r="H68" s="2018"/>
      <c r="J68" s="2019"/>
      <c r="K68" s="2017"/>
      <c r="L68" s="2018"/>
      <c r="M68" s="474"/>
      <c r="N68" s="2019"/>
      <c r="O68" s="2017"/>
      <c r="P68" s="2018"/>
      <c r="R68" s="2019"/>
      <c r="S68" s="2017"/>
      <c r="T68" s="2018"/>
      <c r="V68" s="2019"/>
      <c r="W68" s="2017"/>
      <c r="X68" s="2020"/>
      <c r="Z68" s="2019"/>
      <c r="AA68" s="2017"/>
      <c r="AB68" s="2018"/>
      <c r="AC68" s="474"/>
      <c r="AD68" s="2019"/>
      <c r="AE68" s="2017"/>
      <c r="AF68" s="2018"/>
      <c r="AH68" s="2019"/>
      <c r="AI68" s="2021"/>
      <c r="AJ68" s="2018"/>
      <c r="AL68" s="2019"/>
      <c r="AM68" s="2021"/>
      <c r="AN68" s="2018"/>
      <c r="AO68" s="477"/>
      <c r="AP68" s="477"/>
      <c r="AQ68" s="477"/>
    </row>
    <row r="69" spans="1:43" ht="15">
      <c r="A69" s="474"/>
      <c r="B69" s="2016"/>
      <c r="C69" s="2017"/>
      <c r="D69" s="2018"/>
      <c r="F69" s="2019"/>
      <c r="G69" s="2017"/>
      <c r="H69" s="2018"/>
      <c r="J69" s="2019"/>
      <c r="K69" s="2017"/>
      <c r="L69" s="2018"/>
      <c r="M69" s="474"/>
      <c r="N69" s="2019"/>
      <c r="O69" s="2017"/>
      <c r="P69" s="2018"/>
      <c r="R69" s="2019"/>
      <c r="S69" s="2017"/>
      <c r="T69" s="2018"/>
      <c r="V69" s="2019"/>
      <c r="W69" s="2017"/>
      <c r="X69" s="2020"/>
      <c r="Z69" s="2019"/>
      <c r="AA69" s="2017"/>
      <c r="AB69" s="2018"/>
      <c r="AC69" s="474"/>
      <c r="AD69" s="2019"/>
      <c r="AE69" s="2017"/>
      <c r="AF69" s="2018"/>
      <c r="AH69" s="2019"/>
      <c r="AI69" s="2021"/>
      <c r="AJ69" s="2018"/>
      <c r="AL69" s="2019"/>
      <c r="AM69" s="2021"/>
      <c r="AN69" s="2018"/>
      <c r="AO69" s="477"/>
      <c r="AP69" s="477"/>
      <c r="AQ69" s="477"/>
    </row>
    <row r="70" spans="1:43" ht="15">
      <c r="A70" s="474"/>
      <c r="B70" s="2016"/>
      <c r="C70" s="2017"/>
      <c r="D70" s="2018"/>
      <c r="F70" s="2019"/>
      <c r="G70" s="2017"/>
      <c r="H70" s="2018"/>
      <c r="J70" s="2019"/>
      <c r="K70" s="2017"/>
      <c r="L70" s="2018"/>
      <c r="M70" s="474"/>
      <c r="N70" s="2019"/>
      <c r="O70" s="2017"/>
      <c r="P70" s="2018"/>
      <c r="R70" s="2019"/>
      <c r="S70" s="2017"/>
      <c r="T70" s="2018"/>
      <c r="V70" s="2019"/>
      <c r="W70" s="2017"/>
      <c r="X70" s="2020"/>
      <c r="Z70" s="2019"/>
      <c r="AA70" s="2017"/>
      <c r="AB70" s="2018"/>
      <c r="AC70" s="474"/>
      <c r="AD70" s="2019"/>
      <c r="AE70" s="2017"/>
      <c r="AF70" s="2018"/>
      <c r="AH70" s="2019"/>
      <c r="AI70" s="2021"/>
      <c r="AJ70" s="2018"/>
      <c r="AL70" s="2019"/>
      <c r="AM70" s="2021"/>
      <c r="AN70" s="2018"/>
      <c r="AO70" s="477"/>
      <c r="AP70" s="477"/>
      <c r="AQ70" s="477"/>
    </row>
    <row r="71" spans="1:43" ht="15">
      <c r="A71" s="474"/>
      <c r="B71" s="2016"/>
      <c r="C71" s="2017"/>
      <c r="D71" s="2018"/>
      <c r="F71" s="2019"/>
      <c r="G71" s="2017"/>
      <c r="H71" s="2018"/>
      <c r="J71" s="2019"/>
      <c r="K71" s="2017"/>
      <c r="L71" s="2018"/>
      <c r="M71" s="474"/>
      <c r="N71" s="2019"/>
      <c r="O71" s="2017"/>
      <c r="P71" s="2018"/>
      <c r="R71" s="2019"/>
      <c r="S71" s="2017"/>
      <c r="T71" s="2018"/>
      <c r="V71" s="2019"/>
      <c r="W71" s="2017"/>
      <c r="X71" s="2020"/>
      <c r="Z71" s="2019"/>
      <c r="AA71" s="2017"/>
      <c r="AB71" s="2018"/>
      <c r="AC71" s="474"/>
      <c r="AD71" s="2019"/>
      <c r="AE71" s="2017"/>
      <c r="AF71" s="2018"/>
      <c r="AH71" s="2019"/>
      <c r="AI71" s="2021"/>
      <c r="AJ71" s="2018"/>
      <c r="AL71" s="2019"/>
      <c r="AM71" s="2021"/>
      <c r="AN71" s="2018"/>
      <c r="AO71" s="477"/>
      <c r="AP71" s="477"/>
      <c r="AQ71" s="477"/>
    </row>
    <row r="72" spans="1:43" ht="15">
      <c r="A72" s="474"/>
      <c r="B72" s="2016"/>
      <c r="C72" s="2017"/>
      <c r="D72" s="2018"/>
      <c r="F72" s="2019"/>
      <c r="G72" s="2017"/>
      <c r="H72" s="2018"/>
      <c r="J72" s="2019"/>
      <c r="K72" s="2017"/>
      <c r="L72" s="2018"/>
      <c r="M72" s="474"/>
      <c r="N72" s="2019"/>
      <c r="O72" s="2017"/>
      <c r="P72" s="2018"/>
      <c r="R72" s="2019"/>
      <c r="S72" s="2017"/>
      <c r="T72" s="2018"/>
      <c r="V72" s="2019"/>
      <c r="W72" s="2017"/>
      <c r="X72" s="2020"/>
      <c r="Z72" s="2019"/>
      <c r="AA72" s="2017"/>
      <c r="AB72" s="2018"/>
      <c r="AC72" s="474"/>
      <c r="AD72" s="2019"/>
      <c r="AE72" s="2017"/>
      <c r="AF72" s="2018"/>
      <c r="AH72" s="2019"/>
      <c r="AI72" s="2021"/>
      <c r="AJ72" s="2018"/>
      <c r="AL72" s="2019"/>
      <c r="AM72" s="2021"/>
      <c r="AN72" s="2018"/>
      <c r="AO72" s="477"/>
      <c r="AP72" s="477"/>
      <c r="AQ72" s="477"/>
    </row>
    <row r="73" spans="1:43" ht="15">
      <c r="A73" s="474"/>
      <c r="B73" s="2016"/>
      <c r="C73" s="2017"/>
      <c r="D73" s="2018"/>
      <c r="F73" s="2019"/>
      <c r="G73" s="2017"/>
      <c r="H73" s="2018"/>
      <c r="J73" s="2019"/>
      <c r="K73" s="2017"/>
      <c r="L73" s="2018"/>
      <c r="M73" s="474"/>
      <c r="N73" s="2019"/>
      <c r="O73" s="2017"/>
      <c r="P73" s="2018"/>
      <c r="R73" s="2019"/>
      <c r="S73" s="2017"/>
      <c r="T73" s="2018"/>
      <c r="V73" s="2019"/>
      <c r="W73" s="2017"/>
      <c r="X73" s="2020"/>
      <c r="Z73" s="2019"/>
      <c r="AA73" s="2017"/>
      <c r="AB73" s="2018"/>
      <c r="AC73" s="474"/>
      <c r="AD73" s="2019"/>
      <c r="AE73" s="2017"/>
      <c r="AF73" s="2018"/>
      <c r="AH73" s="2019"/>
      <c r="AI73" s="2021"/>
      <c r="AJ73" s="2018"/>
      <c r="AL73" s="2019"/>
      <c r="AM73" s="2021"/>
      <c r="AN73" s="2018"/>
      <c r="AO73" s="477"/>
      <c r="AP73" s="477"/>
      <c r="AQ73" s="477"/>
    </row>
    <row r="74" spans="1:43" ht="15">
      <c r="A74" s="474"/>
      <c r="B74" s="2016"/>
      <c r="C74" s="2017"/>
      <c r="D74" s="2018"/>
      <c r="F74" s="2019"/>
      <c r="G74" s="2017"/>
      <c r="H74" s="2018"/>
      <c r="J74" s="2019"/>
      <c r="K74" s="2017"/>
      <c r="L74" s="2018"/>
      <c r="M74" s="474"/>
      <c r="N74" s="2019"/>
      <c r="O74" s="2017"/>
      <c r="P74" s="2018"/>
      <c r="R74" s="2019"/>
      <c r="S74" s="2017"/>
      <c r="T74" s="2018"/>
      <c r="V74" s="2019"/>
      <c r="W74" s="2017"/>
      <c r="X74" s="2020"/>
      <c r="Z74" s="2019"/>
      <c r="AA74" s="2017"/>
      <c r="AB74" s="2018"/>
      <c r="AC74" s="474"/>
      <c r="AD74" s="2019"/>
      <c r="AE74" s="2017"/>
      <c r="AF74" s="2018"/>
      <c r="AH74" s="2019"/>
      <c r="AI74" s="2021"/>
      <c r="AJ74" s="2018"/>
      <c r="AL74" s="2019"/>
      <c r="AM74" s="2021"/>
      <c r="AN74" s="2018"/>
      <c r="AO74" s="477"/>
      <c r="AP74" s="477"/>
      <c r="AQ74" s="477"/>
    </row>
    <row r="75" spans="1:43" ht="15">
      <c r="A75" s="474"/>
      <c r="B75" s="2016"/>
      <c r="C75" s="2017"/>
      <c r="D75" s="2018"/>
      <c r="F75" s="2019"/>
      <c r="G75" s="2017"/>
      <c r="H75" s="2018"/>
      <c r="J75" s="2019"/>
      <c r="K75" s="2017"/>
      <c r="L75" s="2018"/>
      <c r="M75" s="474"/>
      <c r="N75" s="2019"/>
      <c r="O75" s="2017"/>
      <c r="P75" s="2018"/>
      <c r="R75" s="2019"/>
      <c r="S75" s="2017"/>
      <c r="T75" s="2018"/>
      <c r="V75" s="2019"/>
      <c r="W75" s="2017"/>
      <c r="X75" s="2020"/>
      <c r="Z75" s="2019"/>
      <c r="AA75" s="2017"/>
      <c r="AB75" s="2018"/>
      <c r="AC75" s="474"/>
      <c r="AD75" s="2019"/>
      <c r="AE75" s="2017"/>
      <c r="AF75" s="2018"/>
      <c r="AH75" s="2019"/>
      <c r="AI75" s="2021"/>
      <c r="AJ75" s="2018"/>
      <c r="AL75" s="2019"/>
      <c r="AM75" s="2021"/>
      <c r="AN75" s="2018"/>
      <c r="AO75" s="477"/>
      <c r="AP75" s="477"/>
      <c r="AQ75" s="477"/>
    </row>
    <row r="76" spans="1:43" ht="15">
      <c r="A76" s="474"/>
      <c r="B76" s="2016"/>
      <c r="C76" s="2017"/>
      <c r="D76" s="2018"/>
      <c r="F76" s="2019"/>
      <c r="G76" s="2017"/>
      <c r="H76" s="2018"/>
      <c r="J76" s="2019"/>
      <c r="K76" s="2017"/>
      <c r="L76" s="2018"/>
      <c r="M76" s="474"/>
      <c r="N76" s="2019"/>
      <c r="O76" s="2017"/>
      <c r="P76" s="2018"/>
      <c r="R76" s="2019"/>
      <c r="S76" s="2017"/>
      <c r="T76" s="2018"/>
      <c r="V76" s="2019"/>
      <c r="W76" s="2017"/>
      <c r="X76" s="2020"/>
      <c r="Z76" s="2019"/>
      <c r="AA76" s="2017"/>
      <c r="AB76" s="2018"/>
      <c r="AC76" s="474"/>
      <c r="AD76" s="2019"/>
      <c r="AE76" s="2017"/>
      <c r="AF76" s="2018"/>
      <c r="AH76" s="2019"/>
      <c r="AI76" s="2021"/>
      <c r="AJ76" s="2018"/>
      <c r="AL76" s="2019"/>
      <c r="AM76" s="2021"/>
      <c r="AN76" s="2018"/>
      <c r="AO76" s="477"/>
      <c r="AP76" s="477"/>
      <c r="AQ76" s="477"/>
    </row>
    <row r="77" spans="1:43" ht="15">
      <c r="A77" s="474"/>
      <c r="B77" s="2016"/>
      <c r="C77" s="2017"/>
      <c r="D77" s="2018"/>
      <c r="F77" s="2019"/>
      <c r="G77" s="2017"/>
      <c r="H77" s="2018"/>
      <c r="J77" s="2019"/>
      <c r="K77" s="2017"/>
      <c r="L77" s="2018"/>
      <c r="M77" s="474"/>
      <c r="N77" s="2019"/>
      <c r="O77" s="2017"/>
      <c r="P77" s="2018"/>
      <c r="R77" s="2019"/>
      <c r="S77" s="2017"/>
      <c r="T77" s="2018"/>
      <c r="V77" s="2019"/>
      <c r="W77" s="2017"/>
      <c r="X77" s="2020"/>
      <c r="Z77" s="2019"/>
      <c r="AA77" s="2017"/>
      <c r="AB77" s="2018"/>
      <c r="AC77" s="474"/>
      <c r="AD77" s="2019"/>
      <c r="AE77" s="2017"/>
      <c r="AF77" s="2018"/>
      <c r="AH77" s="2019"/>
      <c r="AI77" s="2021"/>
      <c r="AJ77" s="2018"/>
      <c r="AL77" s="2019"/>
      <c r="AM77" s="2021"/>
      <c r="AN77" s="2018"/>
      <c r="AO77" s="477"/>
      <c r="AP77" s="477"/>
      <c r="AQ77" s="477"/>
    </row>
    <row r="78" spans="1:43" ht="15">
      <c r="A78" s="474"/>
      <c r="B78" s="2016"/>
      <c r="C78" s="2017"/>
      <c r="D78" s="2018"/>
      <c r="F78" s="2019"/>
      <c r="G78" s="2017"/>
      <c r="H78" s="2018"/>
      <c r="J78" s="2019"/>
      <c r="K78" s="2017"/>
      <c r="L78" s="2018"/>
      <c r="M78" s="474"/>
      <c r="N78" s="2019"/>
      <c r="O78" s="2017"/>
      <c r="P78" s="2018"/>
      <c r="R78" s="2019"/>
      <c r="S78" s="2017"/>
      <c r="T78" s="2018"/>
      <c r="V78" s="2019"/>
      <c r="W78" s="2017"/>
      <c r="X78" s="2020"/>
      <c r="Z78" s="2019"/>
      <c r="AA78" s="2017"/>
      <c r="AB78" s="2018"/>
      <c r="AC78" s="474"/>
      <c r="AD78" s="2019"/>
      <c r="AE78" s="2017"/>
      <c r="AF78" s="2018"/>
      <c r="AH78" s="2019"/>
      <c r="AI78" s="2021"/>
      <c r="AJ78" s="2018"/>
      <c r="AL78" s="2019"/>
      <c r="AM78" s="2021"/>
      <c r="AN78" s="2018"/>
      <c r="AO78" s="477"/>
      <c r="AP78" s="477"/>
      <c r="AQ78" s="477"/>
    </row>
    <row r="79" spans="1:43" ht="15">
      <c r="A79" s="474"/>
      <c r="B79" s="2016"/>
      <c r="C79" s="2017"/>
      <c r="D79" s="2018"/>
      <c r="F79" s="2019"/>
      <c r="G79" s="2017"/>
      <c r="H79" s="2018"/>
      <c r="J79" s="2019"/>
      <c r="K79" s="2017"/>
      <c r="L79" s="2018"/>
      <c r="M79" s="474"/>
      <c r="N79" s="2019"/>
      <c r="O79" s="2017"/>
      <c r="P79" s="2018"/>
      <c r="R79" s="2019"/>
      <c r="S79" s="2017"/>
      <c r="T79" s="2018"/>
      <c r="V79" s="2019"/>
      <c r="W79" s="2017"/>
      <c r="X79" s="2020"/>
      <c r="Z79" s="2019"/>
      <c r="AA79" s="2017"/>
      <c r="AB79" s="2018"/>
      <c r="AC79" s="474"/>
      <c r="AD79" s="2019"/>
      <c r="AE79" s="2017"/>
      <c r="AF79" s="2018"/>
      <c r="AH79" s="2019"/>
      <c r="AI79" s="2021"/>
      <c r="AJ79" s="2018"/>
      <c r="AL79" s="2019"/>
      <c r="AM79" s="2021"/>
      <c r="AN79" s="2018"/>
      <c r="AO79" s="477"/>
      <c r="AP79" s="477"/>
      <c r="AQ79" s="477"/>
    </row>
    <row r="80" spans="1:43" ht="15">
      <c r="A80" s="474"/>
      <c r="B80" s="2016"/>
      <c r="C80" s="2017"/>
      <c r="D80" s="2018"/>
      <c r="F80" s="2019"/>
      <c r="G80" s="2017"/>
      <c r="H80" s="2018"/>
      <c r="J80" s="2019"/>
      <c r="K80" s="2017"/>
      <c r="L80" s="2018"/>
      <c r="M80" s="474"/>
      <c r="N80" s="2019"/>
      <c r="O80" s="2017"/>
      <c r="P80" s="2018"/>
      <c r="R80" s="2019"/>
      <c r="S80" s="2017"/>
      <c r="T80" s="2018"/>
      <c r="V80" s="2019"/>
      <c r="W80" s="2017"/>
      <c r="X80" s="2020"/>
      <c r="Z80" s="2019"/>
      <c r="AA80" s="2017"/>
      <c r="AB80" s="2018"/>
      <c r="AC80" s="474"/>
      <c r="AD80" s="2019"/>
      <c r="AE80" s="2017"/>
      <c r="AF80" s="2018"/>
      <c r="AH80" s="2019"/>
      <c r="AI80" s="2021"/>
      <c r="AJ80" s="2018"/>
      <c r="AL80" s="2019"/>
      <c r="AM80" s="2021"/>
      <c r="AN80" s="2018"/>
      <c r="AO80" s="477"/>
      <c r="AP80" s="477"/>
      <c r="AQ80" s="477"/>
    </row>
    <row r="81" spans="1:43" ht="15">
      <c r="A81" s="474"/>
      <c r="B81" s="2016"/>
      <c r="C81" s="2017"/>
      <c r="D81" s="2018"/>
      <c r="F81" s="2019"/>
      <c r="G81" s="2017"/>
      <c r="H81" s="2018"/>
      <c r="J81" s="2019"/>
      <c r="K81" s="2017"/>
      <c r="L81" s="2018"/>
      <c r="M81" s="474"/>
      <c r="N81" s="2019"/>
      <c r="O81" s="2017"/>
      <c r="P81" s="2018"/>
      <c r="R81" s="2019"/>
      <c r="S81" s="2017"/>
      <c r="T81" s="2018"/>
      <c r="V81" s="2019"/>
      <c r="W81" s="2017"/>
      <c r="X81" s="2020"/>
      <c r="Z81" s="2019"/>
      <c r="AA81" s="2017"/>
      <c r="AB81" s="2018"/>
      <c r="AC81" s="474"/>
      <c r="AD81" s="2019"/>
      <c r="AE81" s="2017"/>
      <c r="AF81" s="2018"/>
      <c r="AH81" s="2019"/>
      <c r="AI81" s="2021"/>
      <c r="AJ81" s="2018"/>
      <c r="AL81" s="2019"/>
      <c r="AM81" s="2021"/>
      <c r="AN81" s="2018"/>
      <c r="AO81" s="477"/>
      <c r="AP81" s="477"/>
      <c r="AQ81" s="477"/>
    </row>
    <row r="82" spans="1:43" ht="15">
      <c r="A82" s="474"/>
      <c r="B82" s="2016"/>
      <c r="C82" s="2017"/>
      <c r="D82" s="2018"/>
      <c r="F82" s="2019"/>
      <c r="G82" s="2017"/>
      <c r="H82" s="2018"/>
      <c r="J82" s="2019"/>
      <c r="K82" s="2017"/>
      <c r="L82" s="2018"/>
      <c r="M82" s="474"/>
      <c r="N82" s="2019"/>
      <c r="O82" s="2017"/>
      <c r="P82" s="2018"/>
      <c r="R82" s="2019"/>
      <c r="S82" s="2017"/>
      <c r="T82" s="2018"/>
      <c r="V82" s="2019"/>
      <c r="W82" s="2017"/>
      <c r="X82" s="2020"/>
      <c r="Z82" s="2019"/>
      <c r="AA82" s="2017"/>
      <c r="AB82" s="2018"/>
      <c r="AC82" s="474"/>
      <c r="AD82" s="2019"/>
      <c r="AE82" s="2017"/>
      <c r="AF82" s="2018"/>
      <c r="AH82" s="2019"/>
      <c r="AI82" s="2021"/>
      <c r="AJ82" s="2018"/>
      <c r="AL82" s="2019"/>
      <c r="AM82" s="2021"/>
      <c r="AN82" s="2018"/>
      <c r="AO82" s="477"/>
      <c r="AP82" s="477"/>
      <c r="AQ82" s="477"/>
    </row>
    <row r="83" spans="1:43" ht="15">
      <c r="A83" s="474"/>
      <c r="B83" s="2016"/>
      <c r="C83" s="2017"/>
      <c r="D83" s="2018"/>
      <c r="F83" s="2019"/>
      <c r="G83" s="2017"/>
      <c r="H83" s="2018"/>
      <c r="J83" s="2019"/>
      <c r="K83" s="2017"/>
      <c r="L83" s="2018"/>
      <c r="M83" s="474"/>
      <c r="N83" s="2019"/>
      <c r="O83" s="2017"/>
      <c r="P83" s="2018"/>
      <c r="R83" s="2019"/>
      <c r="S83" s="2017"/>
      <c r="T83" s="2018"/>
      <c r="V83" s="2019"/>
      <c r="W83" s="2017"/>
      <c r="X83" s="2020"/>
      <c r="Z83" s="2019"/>
      <c r="AA83" s="2017"/>
      <c r="AB83" s="2018"/>
      <c r="AC83" s="474"/>
      <c r="AD83" s="2019"/>
      <c r="AE83" s="2017"/>
      <c r="AF83" s="2018"/>
      <c r="AH83" s="2019"/>
      <c r="AI83" s="2021"/>
      <c r="AJ83" s="2018"/>
      <c r="AL83" s="2019"/>
      <c r="AM83" s="2021"/>
      <c r="AN83" s="2018"/>
      <c r="AO83" s="477"/>
      <c r="AP83" s="477"/>
      <c r="AQ83" s="477"/>
    </row>
    <row r="84" spans="1:43" ht="15">
      <c r="A84" s="474"/>
      <c r="B84" s="2016"/>
      <c r="C84" s="2017"/>
      <c r="D84" s="2018"/>
      <c r="F84" s="2019"/>
      <c r="G84" s="2017"/>
      <c r="H84" s="2018"/>
      <c r="J84" s="2019"/>
      <c r="K84" s="2017"/>
      <c r="L84" s="2018"/>
      <c r="M84" s="474"/>
      <c r="N84" s="2019"/>
      <c r="O84" s="2017"/>
      <c r="P84" s="2018"/>
      <c r="R84" s="2019"/>
      <c r="S84" s="2017"/>
      <c r="T84" s="2018"/>
      <c r="V84" s="2019"/>
      <c r="W84" s="2017"/>
      <c r="X84" s="2020"/>
      <c r="Z84" s="2019"/>
      <c r="AA84" s="2017"/>
      <c r="AB84" s="2018"/>
      <c r="AC84" s="474"/>
      <c r="AD84" s="2019"/>
      <c r="AE84" s="2017"/>
      <c r="AF84" s="2018"/>
      <c r="AH84" s="2019"/>
      <c r="AI84" s="2021"/>
      <c r="AJ84" s="2018"/>
      <c r="AL84" s="2019"/>
      <c r="AM84" s="2021"/>
      <c r="AN84" s="2018"/>
      <c r="AO84" s="477"/>
      <c r="AP84" s="477"/>
      <c r="AQ84" s="477"/>
    </row>
    <row r="85" spans="1:43" ht="15">
      <c r="A85" s="474"/>
      <c r="B85" s="2016"/>
      <c r="C85" s="2017"/>
      <c r="D85" s="2018"/>
      <c r="F85" s="2019"/>
      <c r="G85" s="2017"/>
      <c r="H85" s="2018"/>
      <c r="J85" s="2019"/>
      <c r="K85" s="2017"/>
      <c r="L85" s="2018"/>
      <c r="M85" s="474"/>
      <c r="N85" s="2019"/>
      <c r="O85" s="2017"/>
      <c r="P85" s="2018"/>
      <c r="R85" s="2019"/>
      <c r="S85" s="2017"/>
      <c r="T85" s="2018"/>
      <c r="V85" s="2019"/>
      <c r="W85" s="2017"/>
      <c r="X85" s="2020"/>
      <c r="Z85" s="2019"/>
      <c r="AA85" s="2017"/>
      <c r="AB85" s="2018"/>
      <c r="AC85" s="474"/>
      <c r="AD85" s="2019"/>
      <c r="AE85" s="2017"/>
      <c r="AF85" s="2018"/>
      <c r="AH85" s="2019"/>
      <c r="AI85" s="2021"/>
      <c r="AJ85" s="2018"/>
      <c r="AL85" s="2019"/>
      <c r="AM85" s="2021"/>
      <c r="AN85" s="2018"/>
      <c r="AO85" s="477"/>
      <c r="AP85" s="477"/>
      <c r="AQ85" s="477"/>
    </row>
    <row r="86" spans="1:43" ht="15">
      <c r="A86" s="474"/>
      <c r="B86" s="2016"/>
      <c r="C86" s="2017"/>
      <c r="D86" s="2018"/>
      <c r="F86" s="2019"/>
      <c r="G86" s="2017"/>
      <c r="H86" s="2018"/>
      <c r="J86" s="2019"/>
      <c r="K86" s="2017"/>
      <c r="L86" s="2018"/>
      <c r="M86" s="474"/>
      <c r="N86" s="2019"/>
      <c r="O86" s="2017"/>
      <c r="P86" s="2018"/>
      <c r="R86" s="2019"/>
      <c r="S86" s="2017"/>
      <c r="T86" s="2018"/>
      <c r="V86" s="2019"/>
      <c r="W86" s="2017"/>
      <c r="X86" s="2020"/>
      <c r="Z86" s="2019"/>
      <c r="AA86" s="2017"/>
      <c r="AB86" s="2018"/>
      <c r="AC86" s="474"/>
      <c r="AD86" s="2019"/>
      <c r="AE86" s="2017"/>
      <c r="AF86" s="2018"/>
      <c r="AH86" s="2019"/>
      <c r="AI86" s="2021"/>
      <c r="AJ86" s="2018"/>
      <c r="AL86" s="2019"/>
      <c r="AM86" s="2021"/>
      <c r="AN86" s="2018"/>
      <c r="AO86" s="477"/>
      <c r="AP86" s="477"/>
      <c r="AQ86" s="477"/>
    </row>
    <row r="87" spans="1:43" ht="15">
      <c r="A87" s="474"/>
      <c r="B87" s="2016"/>
      <c r="C87" s="2017"/>
      <c r="D87" s="2018"/>
      <c r="F87" s="2019"/>
      <c r="G87" s="2017"/>
      <c r="H87" s="2018"/>
      <c r="J87" s="2019"/>
      <c r="K87" s="2017"/>
      <c r="L87" s="2018"/>
      <c r="M87" s="474"/>
      <c r="N87" s="2019"/>
      <c r="O87" s="2017"/>
      <c r="P87" s="2018"/>
      <c r="R87" s="2019"/>
      <c r="S87" s="2017"/>
      <c r="T87" s="2018"/>
      <c r="V87" s="2019"/>
      <c r="W87" s="2017"/>
      <c r="X87" s="2020"/>
      <c r="Z87" s="2019"/>
      <c r="AA87" s="2017"/>
      <c r="AB87" s="2018"/>
      <c r="AC87" s="474"/>
      <c r="AD87" s="2019"/>
      <c r="AE87" s="2017"/>
      <c r="AF87" s="2018"/>
      <c r="AH87" s="2019"/>
      <c r="AI87" s="2021"/>
      <c r="AJ87" s="2018"/>
      <c r="AL87" s="2019"/>
      <c r="AM87" s="2021"/>
      <c r="AN87" s="2018"/>
      <c r="AO87" s="477"/>
      <c r="AP87" s="477"/>
      <c r="AQ87" s="477"/>
    </row>
    <row r="88" spans="1:43" ht="15">
      <c r="A88" s="474"/>
      <c r="B88" s="2016"/>
      <c r="C88" s="2017"/>
      <c r="D88" s="2018"/>
      <c r="F88" s="2019"/>
      <c r="G88" s="2017"/>
      <c r="H88" s="2018"/>
      <c r="J88" s="2019"/>
      <c r="K88" s="2017"/>
      <c r="L88" s="2018"/>
      <c r="M88" s="474"/>
      <c r="N88" s="2019"/>
      <c r="O88" s="2017"/>
      <c r="P88" s="2018"/>
      <c r="R88" s="2019"/>
      <c r="S88" s="2017"/>
      <c r="T88" s="2018"/>
      <c r="V88" s="2019"/>
      <c r="W88" s="2017"/>
      <c r="X88" s="2020"/>
      <c r="Z88" s="2019"/>
      <c r="AA88" s="2017"/>
      <c r="AB88" s="2018"/>
      <c r="AC88" s="474"/>
      <c r="AD88" s="2019"/>
      <c r="AE88" s="2017"/>
      <c r="AF88" s="2018"/>
      <c r="AH88" s="2019"/>
      <c r="AI88" s="2021"/>
      <c r="AJ88" s="2018"/>
      <c r="AL88" s="2019"/>
      <c r="AM88" s="2021"/>
      <c r="AN88" s="2018"/>
      <c r="AO88" s="477"/>
      <c r="AP88" s="477"/>
      <c r="AQ88" s="477"/>
    </row>
    <row r="89" spans="1:43" ht="15">
      <c r="A89" s="474"/>
      <c r="B89" s="2016"/>
      <c r="C89" s="2017"/>
      <c r="D89" s="2018"/>
      <c r="F89" s="2019"/>
      <c r="G89" s="2017"/>
      <c r="H89" s="2018"/>
      <c r="J89" s="2019"/>
      <c r="K89" s="2017"/>
      <c r="L89" s="2018"/>
      <c r="M89" s="474"/>
      <c r="N89" s="2019"/>
      <c r="O89" s="2017"/>
      <c r="P89" s="2018"/>
      <c r="R89" s="2019"/>
      <c r="S89" s="2017"/>
      <c r="T89" s="2018"/>
      <c r="V89" s="2019"/>
      <c r="W89" s="2017"/>
      <c r="X89" s="2020"/>
      <c r="Z89" s="2019"/>
      <c r="AA89" s="2017"/>
      <c r="AB89" s="2018"/>
      <c r="AC89" s="474"/>
      <c r="AD89" s="2019"/>
      <c r="AE89" s="2017"/>
      <c r="AF89" s="2018"/>
      <c r="AH89" s="2019"/>
      <c r="AI89" s="2021"/>
      <c r="AJ89" s="2018"/>
      <c r="AL89" s="2019"/>
      <c r="AM89" s="2021"/>
      <c r="AN89" s="2018"/>
      <c r="AO89" s="477"/>
      <c r="AP89" s="477"/>
      <c r="AQ89" s="477"/>
    </row>
    <row r="90" spans="1:43" ht="15">
      <c r="A90" s="474"/>
      <c r="B90" s="2016"/>
      <c r="C90" s="2017"/>
      <c r="D90" s="2018"/>
      <c r="F90" s="2019"/>
      <c r="G90" s="2017"/>
      <c r="H90" s="2018"/>
      <c r="J90" s="2019"/>
      <c r="K90" s="2017"/>
      <c r="L90" s="2018"/>
      <c r="M90" s="474"/>
      <c r="N90" s="2019"/>
      <c r="O90" s="2017"/>
      <c r="P90" s="2018"/>
      <c r="R90" s="2019"/>
      <c r="S90" s="2017"/>
      <c r="T90" s="2018"/>
      <c r="V90" s="2019"/>
      <c r="W90" s="2017"/>
      <c r="X90" s="2020"/>
      <c r="Z90" s="2019"/>
      <c r="AA90" s="2017"/>
      <c r="AB90" s="2018"/>
      <c r="AC90" s="474"/>
      <c r="AD90" s="2019"/>
      <c r="AE90" s="2017"/>
      <c r="AF90" s="2018"/>
      <c r="AH90" s="2019"/>
      <c r="AI90" s="2021"/>
      <c r="AJ90" s="2018"/>
      <c r="AL90" s="2019"/>
      <c r="AM90" s="2021"/>
      <c r="AN90" s="2018"/>
      <c r="AO90" s="477"/>
      <c r="AP90" s="477"/>
      <c r="AQ90" s="477"/>
    </row>
    <row r="91" spans="1:43" ht="15">
      <c r="A91" s="474"/>
      <c r="B91" s="2016"/>
      <c r="C91" s="2017"/>
      <c r="D91" s="2018"/>
      <c r="F91" s="2019"/>
      <c r="G91" s="2017"/>
      <c r="H91" s="2018"/>
      <c r="J91" s="2019"/>
      <c r="K91" s="2017"/>
      <c r="L91" s="2018"/>
      <c r="M91" s="474"/>
      <c r="N91" s="2019"/>
      <c r="O91" s="2017"/>
      <c r="P91" s="2018"/>
      <c r="R91" s="2019"/>
      <c r="S91" s="2017"/>
      <c r="T91" s="2018"/>
      <c r="V91" s="2019"/>
      <c r="W91" s="2017"/>
      <c r="X91" s="2020"/>
      <c r="Z91" s="2019"/>
      <c r="AA91" s="2017"/>
      <c r="AB91" s="2018"/>
      <c r="AC91" s="474"/>
      <c r="AD91" s="2019"/>
      <c r="AE91" s="2017"/>
      <c r="AF91" s="2018"/>
      <c r="AH91" s="2019"/>
      <c r="AI91" s="2021"/>
      <c r="AJ91" s="2018"/>
      <c r="AL91" s="2019"/>
      <c r="AM91" s="2021"/>
      <c r="AN91" s="2018"/>
      <c r="AO91" s="477"/>
      <c r="AP91" s="477"/>
      <c r="AQ91" s="477"/>
    </row>
    <row r="92" spans="1:43" ht="15">
      <c r="A92" s="474"/>
      <c r="B92" s="2016"/>
      <c r="C92" s="2017"/>
      <c r="D92" s="2018"/>
      <c r="F92" s="2019"/>
      <c r="G92" s="2017"/>
      <c r="H92" s="2018"/>
      <c r="J92" s="2019"/>
      <c r="K92" s="2017"/>
      <c r="L92" s="2018"/>
      <c r="M92" s="474"/>
      <c r="N92" s="2019"/>
      <c r="O92" s="2017"/>
      <c r="P92" s="2018"/>
      <c r="R92" s="2019"/>
      <c r="S92" s="2017"/>
      <c r="T92" s="2018"/>
      <c r="V92" s="2019"/>
      <c r="W92" s="2017"/>
      <c r="X92" s="2020"/>
      <c r="Z92" s="2019"/>
      <c r="AA92" s="2017"/>
      <c r="AB92" s="2018"/>
      <c r="AC92" s="474"/>
      <c r="AD92" s="2019"/>
      <c r="AE92" s="2017"/>
      <c r="AF92" s="2018"/>
      <c r="AH92" s="2019"/>
      <c r="AI92" s="2021"/>
      <c r="AJ92" s="2018"/>
      <c r="AL92" s="2019"/>
      <c r="AM92" s="2021"/>
      <c r="AN92" s="2018"/>
      <c r="AO92" s="477"/>
      <c r="AP92" s="477"/>
      <c r="AQ92" s="477"/>
    </row>
    <row r="93" spans="1:43" ht="15">
      <c r="A93" s="474"/>
      <c r="B93" s="2016"/>
      <c r="C93" s="2017"/>
      <c r="D93" s="2018"/>
      <c r="F93" s="2019"/>
      <c r="G93" s="2017"/>
      <c r="H93" s="2018"/>
      <c r="J93" s="2019"/>
      <c r="K93" s="2017"/>
      <c r="L93" s="2018"/>
      <c r="M93" s="474"/>
      <c r="N93" s="2019"/>
      <c r="O93" s="2017"/>
      <c r="P93" s="2018"/>
      <c r="R93" s="2019"/>
      <c r="S93" s="2017"/>
      <c r="T93" s="2018"/>
      <c r="V93" s="2019"/>
      <c r="W93" s="2017"/>
      <c r="X93" s="2020"/>
      <c r="Z93" s="2019"/>
      <c r="AA93" s="2017"/>
      <c r="AB93" s="2018"/>
      <c r="AC93" s="474"/>
      <c r="AD93" s="2019"/>
      <c r="AE93" s="2017"/>
      <c r="AF93" s="2018"/>
      <c r="AH93" s="2019"/>
      <c r="AI93" s="2021"/>
      <c r="AJ93" s="2018"/>
      <c r="AL93" s="2019"/>
      <c r="AM93" s="2021"/>
      <c r="AN93" s="2018"/>
      <c r="AO93" s="477"/>
      <c r="AP93" s="477"/>
      <c r="AQ93" s="477"/>
    </row>
    <row r="94" spans="1:43" ht="15">
      <c r="A94" s="474"/>
      <c r="B94" s="2016"/>
      <c r="C94" s="2017"/>
      <c r="D94" s="2018"/>
      <c r="F94" s="2019"/>
      <c r="G94" s="2017"/>
      <c r="H94" s="2018"/>
      <c r="J94" s="2019"/>
      <c r="K94" s="2017"/>
      <c r="L94" s="2018"/>
      <c r="M94" s="474"/>
      <c r="N94" s="2019"/>
      <c r="O94" s="2017"/>
      <c r="P94" s="2018"/>
      <c r="R94" s="2019"/>
      <c r="S94" s="2017"/>
      <c r="T94" s="2018"/>
      <c r="V94" s="2019"/>
      <c r="W94" s="2017"/>
      <c r="X94" s="2020"/>
      <c r="Z94" s="2019"/>
      <c r="AA94" s="2017"/>
      <c r="AB94" s="2018"/>
      <c r="AC94" s="474"/>
      <c r="AD94" s="2019"/>
      <c r="AE94" s="2017"/>
      <c r="AF94" s="2018"/>
      <c r="AH94" s="2019"/>
      <c r="AI94" s="2021"/>
      <c r="AJ94" s="2018"/>
      <c r="AL94" s="2019"/>
      <c r="AM94" s="2021"/>
      <c r="AN94" s="2018"/>
      <c r="AO94" s="477"/>
      <c r="AP94" s="477"/>
      <c r="AQ94" s="477"/>
    </row>
    <row r="95" spans="1:43" ht="15">
      <c r="A95" s="474"/>
      <c r="B95" s="2016"/>
      <c r="C95" s="2017"/>
      <c r="D95" s="2018"/>
      <c r="F95" s="2019"/>
      <c r="G95" s="2017"/>
      <c r="H95" s="2018"/>
      <c r="J95" s="2019"/>
      <c r="K95" s="2017"/>
      <c r="L95" s="2018"/>
      <c r="M95" s="474"/>
      <c r="N95" s="2019"/>
      <c r="O95" s="2017"/>
      <c r="P95" s="2018"/>
      <c r="R95" s="2019"/>
      <c r="S95" s="2017"/>
      <c r="T95" s="2018"/>
      <c r="V95" s="2019"/>
      <c r="W95" s="2017"/>
      <c r="X95" s="2020"/>
      <c r="Z95" s="2019"/>
      <c r="AA95" s="2017"/>
      <c r="AB95" s="2018"/>
      <c r="AC95" s="474"/>
      <c r="AD95" s="2019"/>
      <c r="AE95" s="2017"/>
      <c r="AF95" s="2018"/>
      <c r="AH95" s="2019"/>
      <c r="AI95" s="2021"/>
      <c r="AJ95" s="2018"/>
      <c r="AL95" s="2019"/>
      <c r="AM95" s="2021"/>
      <c r="AN95" s="2018"/>
      <c r="AO95" s="477"/>
      <c r="AP95" s="477"/>
      <c r="AQ95" s="477"/>
    </row>
    <row r="96" spans="1:43" ht="15">
      <c r="A96" s="474"/>
      <c r="B96" s="2016"/>
      <c r="C96" s="2017"/>
      <c r="D96" s="2018"/>
      <c r="F96" s="2019"/>
      <c r="G96" s="2017"/>
      <c r="H96" s="2018"/>
      <c r="J96" s="2019"/>
      <c r="K96" s="2017"/>
      <c r="L96" s="2018"/>
      <c r="M96" s="474"/>
      <c r="N96" s="2019"/>
      <c r="O96" s="2017"/>
      <c r="P96" s="2018"/>
      <c r="R96" s="2019"/>
      <c r="S96" s="2017"/>
      <c r="T96" s="2018"/>
      <c r="V96" s="2019"/>
      <c r="W96" s="2017"/>
      <c r="X96" s="2020"/>
      <c r="Z96" s="2019"/>
      <c r="AA96" s="2017"/>
      <c r="AB96" s="2018"/>
      <c r="AC96" s="474"/>
      <c r="AD96" s="2019"/>
      <c r="AE96" s="2017"/>
      <c r="AF96" s="2018"/>
      <c r="AH96" s="2019"/>
      <c r="AI96" s="2021"/>
      <c r="AJ96" s="2018"/>
      <c r="AL96" s="2019"/>
      <c r="AM96" s="2021"/>
      <c r="AN96" s="2018"/>
      <c r="AO96" s="477"/>
      <c r="AP96" s="477"/>
      <c r="AQ96" s="477"/>
    </row>
    <row r="97" spans="1:43" ht="15">
      <c r="A97" s="474"/>
      <c r="B97" s="2016"/>
      <c r="C97" s="2017"/>
      <c r="D97" s="2018"/>
      <c r="F97" s="2019"/>
      <c r="G97" s="2017"/>
      <c r="H97" s="2018"/>
      <c r="J97" s="2019"/>
      <c r="K97" s="2017"/>
      <c r="L97" s="2018"/>
      <c r="M97" s="474"/>
      <c r="N97" s="2019"/>
      <c r="O97" s="2017"/>
      <c r="P97" s="2018"/>
      <c r="R97" s="2019"/>
      <c r="S97" s="2017"/>
      <c r="T97" s="2018"/>
      <c r="V97" s="2019"/>
      <c r="W97" s="2017"/>
      <c r="X97" s="2020"/>
      <c r="Z97" s="2019"/>
      <c r="AA97" s="2017"/>
      <c r="AB97" s="2018"/>
      <c r="AC97" s="474"/>
      <c r="AD97" s="2019"/>
      <c r="AE97" s="2017"/>
      <c r="AF97" s="2018"/>
      <c r="AH97" s="2019"/>
      <c r="AI97" s="2021"/>
      <c r="AJ97" s="2018"/>
      <c r="AL97" s="2019"/>
      <c r="AM97" s="2021"/>
      <c r="AN97" s="2018"/>
      <c r="AO97" s="477"/>
      <c r="AP97" s="477"/>
      <c r="AQ97" s="477"/>
    </row>
    <row r="98" spans="1:43" ht="15">
      <c r="A98" s="474"/>
      <c r="B98" s="2016"/>
      <c r="C98" s="2017"/>
      <c r="D98" s="2018"/>
      <c r="F98" s="2019"/>
      <c r="G98" s="2017"/>
      <c r="H98" s="2018"/>
      <c r="J98" s="2019"/>
      <c r="K98" s="2017"/>
      <c r="L98" s="2018"/>
      <c r="M98" s="474"/>
      <c r="N98" s="2019"/>
      <c r="O98" s="2017"/>
      <c r="P98" s="2018"/>
      <c r="R98" s="2019"/>
      <c r="S98" s="2017"/>
      <c r="T98" s="2018"/>
      <c r="V98" s="2019"/>
      <c r="W98" s="2017"/>
      <c r="X98" s="2020"/>
      <c r="Z98" s="2019"/>
      <c r="AA98" s="2017"/>
      <c r="AB98" s="2018"/>
      <c r="AC98" s="474"/>
      <c r="AD98" s="2019"/>
      <c r="AE98" s="2017"/>
      <c r="AF98" s="2018"/>
      <c r="AH98" s="2019"/>
      <c r="AI98" s="2021"/>
      <c r="AJ98" s="2018"/>
      <c r="AL98" s="2019"/>
      <c r="AM98" s="2021"/>
      <c r="AN98" s="2018"/>
      <c r="AO98" s="477"/>
      <c r="AP98" s="477"/>
      <c r="AQ98" s="477"/>
    </row>
    <row r="99" spans="1:43" ht="15">
      <c r="A99" s="474"/>
      <c r="B99" s="2016"/>
      <c r="C99" s="2017"/>
      <c r="D99" s="2018"/>
      <c r="F99" s="2019"/>
      <c r="G99" s="2017"/>
      <c r="H99" s="2018"/>
      <c r="J99" s="2019"/>
      <c r="K99" s="2017"/>
      <c r="L99" s="2018"/>
      <c r="M99" s="474"/>
      <c r="N99" s="2019"/>
      <c r="O99" s="2017"/>
      <c r="P99" s="2018"/>
      <c r="R99" s="2019"/>
      <c r="S99" s="2017"/>
      <c r="T99" s="2018"/>
      <c r="V99" s="2019"/>
      <c r="W99" s="2017"/>
      <c r="X99" s="2020"/>
      <c r="Z99" s="2019"/>
      <c r="AA99" s="2017"/>
      <c r="AB99" s="2018"/>
      <c r="AC99" s="474"/>
      <c r="AD99" s="2019"/>
      <c r="AE99" s="2017"/>
      <c r="AF99" s="2018"/>
      <c r="AH99" s="2019"/>
      <c r="AI99" s="2021"/>
      <c r="AJ99" s="2018"/>
      <c r="AL99" s="2019"/>
      <c r="AM99" s="2021"/>
      <c r="AN99" s="2018"/>
      <c r="AO99" s="477"/>
      <c r="AP99" s="477"/>
      <c r="AQ99" s="477"/>
    </row>
    <row r="100" spans="1:43" ht="15">
      <c r="A100" s="474"/>
      <c r="B100" s="2016"/>
      <c r="C100" s="2017"/>
      <c r="D100" s="2018"/>
      <c r="F100" s="2019"/>
      <c r="G100" s="2017"/>
      <c r="H100" s="2018"/>
      <c r="J100" s="2019"/>
      <c r="K100" s="2017"/>
      <c r="L100" s="2018"/>
      <c r="M100" s="474"/>
      <c r="N100" s="2019"/>
      <c r="O100" s="2017"/>
      <c r="P100" s="2018"/>
      <c r="R100" s="2019"/>
      <c r="S100" s="2017"/>
      <c r="T100" s="2018"/>
      <c r="V100" s="2019"/>
      <c r="W100" s="2017"/>
      <c r="X100" s="2020"/>
      <c r="Z100" s="2019"/>
      <c r="AA100" s="2017"/>
      <c r="AB100" s="2018"/>
      <c r="AC100" s="474"/>
      <c r="AD100" s="2019"/>
      <c r="AE100" s="2017"/>
      <c r="AF100" s="2018"/>
      <c r="AH100" s="2019"/>
      <c r="AI100" s="2021"/>
      <c r="AJ100" s="2018"/>
      <c r="AL100" s="2019"/>
      <c r="AM100" s="2021"/>
      <c r="AN100" s="2018"/>
      <c r="AO100" s="477"/>
      <c r="AP100" s="477"/>
      <c r="AQ100" s="477"/>
    </row>
    <row r="101" spans="1:43" ht="15">
      <c r="A101" s="474"/>
      <c r="B101" s="2016"/>
      <c r="C101" s="2017"/>
      <c r="D101" s="2018"/>
      <c r="F101" s="2019"/>
      <c r="G101" s="2017"/>
      <c r="H101" s="2018"/>
      <c r="J101" s="2019"/>
      <c r="K101" s="2017"/>
      <c r="L101" s="2018"/>
      <c r="M101" s="474"/>
      <c r="N101" s="2019"/>
      <c r="O101" s="2017"/>
      <c r="P101" s="2018"/>
      <c r="R101" s="2019"/>
      <c r="S101" s="2017"/>
      <c r="T101" s="2018"/>
      <c r="V101" s="2019"/>
      <c r="W101" s="2017"/>
      <c r="X101" s="2020"/>
      <c r="Z101" s="2019"/>
      <c r="AA101" s="2017"/>
      <c r="AB101" s="2018"/>
      <c r="AC101" s="474"/>
      <c r="AD101" s="2019"/>
      <c r="AE101" s="2017"/>
      <c r="AF101" s="2018"/>
      <c r="AH101" s="2019"/>
      <c r="AI101" s="2021"/>
      <c r="AJ101" s="2018"/>
      <c r="AL101" s="2019"/>
      <c r="AM101" s="2021"/>
      <c r="AN101" s="2018"/>
      <c r="AO101" s="477"/>
      <c r="AP101" s="477"/>
      <c r="AQ101" s="477"/>
    </row>
    <row r="102" spans="1:43" ht="15">
      <c r="A102" s="474"/>
      <c r="B102" s="2016"/>
      <c r="C102" s="2017"/>
      <c r="D102" s="2018"/>
      <c r="F102" s="2019"/>
      <c r="G102" s="2017"/>
      <c r="H102" s="2018"/>
      <c r="J102" s="2019"/>
      <c r="K102" s="2017"/>
      <c r="L102" s="2018"/>
      <c r="M102" s="474"/>
      <c r="N102" s="2019"/>
      <c r="O102" s="2017"/>
      <c r="P102" s="2018"/>
      <c r="R102" s="2019"/>
      <c r="S102" s="2017"/>
      <c r="T102" s="2018"/>
      <c r="V102" s="2019"/>
      <c r="W102" s="2017"/>
      <c r="X102" s="2020"/>
      <c r="Z102" s="2019"/>
      <c r="AA102" s="2017"/>
      <c r="AB102" s="2018"/>
      <c r="AC102" s="474"/>
      <c r="AD102" s="2019"/>
      <c r="AE102" s="2017"/>
      <c r="AF102" s="2018"/>
      <c r="AH102" s="2019"/>
      <c r="AI102" s="2021"/>
      <c r="AJ102" s="2018"/>
      <c r="AL102" s="2019"/>
      <c r="AM102" s="2021"/>
      <c r="AN102" s="2018"/>
      <c r="AO102" s="477"/>
      <c r="AP102" s="477"/>
      <c r="AQ102" s="477"/>
    </row>
    <row r="103" spans="1:43" ht="15">
      <c r="A103" s="474"/>
      <c r="B103" s="2016"/>
      <c r="C103" s="2017"/>
      <c r="D103" s="2018"/>
      <c r="F103" s="2019"/>
      <c r="G103" s="2017"/>
      <c r="H103" s="2018"/>
      <c r="J103" s="2019"/>
      <c r="K103" s="2017"/>
      <c r="L103" s="2018"/>
      <c r="M103" s="474"/>
      <c r="N103" s="2019"/>
      <c r="O103" s="2017"/>
      <c r="P103" s="2018"/>
      <c r="R103" s="2019"/>
      <c r="S103" s="2017"/>
      <c r="T103" s="2018"/>
      <c r="V103" s="2019"/>
      <c r="W103" s="2017"/>
      <c r="X103" s="2020"/>
      <c r="Z103" s="2019"/>
      <c r="AA103" s="2017"/>
      <c r="AB103" s="2018"/>
      <c r="AC103" s="474"/>
      <c r="AD103" s="2019"/>
      <c r="AE103" s="2017"/>
      <c r="AF103" s="2018"/>
      <c r="AH103" s="2019"/>
      <c r="AI103" s="2021"/>
      <c r="AJ103" s="2018"/>
      <c r="AL103" s="2019"/>
      <c r="AM103" s="2021"/>
      <c r="AN103" s="2018"/>
      <c r="AO103" s="477"/>
      <c r="AP103" s="477"/>
      <c r="AQ103" s="477"/>
    </row>
    <row r="104" spans="1:43" ht="15">
      <c r="A104" s="474"/>
      <c r="B104" s="2016"/>
      <c r="C104" s="2017"/>
      <c r="D104" s="2018"/>
      <c r="F104" s="2019"/>
      <c r="G104" s="2017"/>
      <c r="H104" s="2018"/>
      <c r="J104" s="2019"/>
      <c r="K104" s="2017"/>
      <c r="L104" s="2018"/>
      <c r="M104" s="474"/>
      <c r="N104" s="2019"/>
      <c r="O104" s="2017"/>
      <c r="P104" s="2018"/>
      <c r="R104" s="2019"/>
      <c r="S104" s="2017"/>
      <c r="T104" s="2018"/>
      <c r="V104" s="2019"/>
      <c r="W104" s="2017"/>
      <c r="X104" s="2020"/>
      <c r="Z104" s="2019"/>
      <c r="AA104" s="2017"/>
      <c r="AB104" s="2018"/>
      <c r="AC104" s="474"/>
      <c r="AD104" s="2019"/>
      <c r="AE104" s="2017"/>
      <c r="AF104" s="2018"/>
      <c r="AH104" s="2019"/>
      <c r="AI104" s="2021"/>
      <c r="AJ104" s="2018"/>
      <c r="AL104" s="2019"/>
      <c r="AM104" s="2021"/>
      <c r="AN104" s="2018"/>
      <c r="AO104" s="477"/>
      <c r="AP104" s="477"/>
      <c r="AQ104" s="477"/>
    </row>
    <row r="105" spans="1:43" ht="15">
      <c r="A105" s="474"/>
      <c r="B105" s="2016"/>
      <c r="C105" s="2017"/>
      <c r="D105" s="2018"/>
      <c r="F105" s="2019"/>
      <c r="G105" s="2017"/>
      <c r="H105" s="2018"/>
      <c r="J105" s="2019"/>
      <c r="K105" s="2017"/>
      <c r="L105" s="2018"/>
      <c r="M105" s="474"/>
      <c r="N105" s="2019"/>
      <c r="O105" s="2017"/>
      <c r="P105" s="2018"/>
      <c r="R105" s="2019"/>
      <c r="S105" s="2017"/>
      <c r="T105" s="2018"/>
      <c r="V105" s="2019"/>
      <c r="W105" s="2017"/>
      <c r="X105" s="2020"/>
      <c r="Z105" s="2019"/>
      <c r="AA105" s="2017"/>
      <c r="AB105" s="2018"/>
      <c r="AC105" s="474"/>
      <c r="AD105" s="2019"/>
      <c r="AE105" s="2017"/>
      <c r="AF105" s="2018"/>
      <c r="AH105" s="2019"/>
      <c r="AI105" s="2021"/>
      <c r="AJ105" s="2018"/>
      <c r="AL105" s="2019"/>
      <c r="AM105" s="2021"/>
      <c r="AN105" s="2018"/>
      <c r="AO105" s="477"/>
      <c r="AP105" s="477"/>
      <c r="AQ105" s="477"/>
    </row>
    <row r="106" spans="1:43" ht="15">
      <c r="A106" s="474"/>
      <c r="B106" s="2016"/>
      <c r="C106" s="2017"/>
      <c r="D106" s="2018"/>
      <c r="F106" s="2019"/>
      <c r="G106" s="2017"/>
      <c r="H106" s="2018"/>
      <c r="J106" s="2019"/>
      <c r="K106" s="2017"/>
      <c r="L106" s="2018"/>
      <c r="M106" s="474"/>
      <c r="N106" s="2019"/>
      <c r="O106" s="2017"/>
      <c r="P106" s="2018"/>
      <c r="R106" s="2019"/>
      <c r="S106" s="2017"/>
      <c r="T106" s="2018"/>
      <c r="V106" s="2019"/>
      <c r="W106" s="2017"/>
      <c r="X106" s="2020"/>
      <c r="Z106" s="2019"/>
      <c r="AA106" s="2017"/>
      <c r="AB106" s="2018"/>
      <c r="AC106" s="474"/>
      <c r="AD106" s="2019"/>
      <c r="AE106" s="2017"/>
      <c r="AF106" s="2018"/>
      <c r="AH106" s="2019"/>
      <c r="AI106" s="2021"/>
      <c r="AJ106" s="2018"/>
      <c r="AL106" s="2019"/>
      <c r="AM106" s="2021"/>
      <c r="AN106" s="2018"/>
      <c r="AO106" s="477"/>
      <c r="AP106" s="477"/>
      <c r="AQ106" s="477"/>
    </row>
    <row r="107" spans="1:43" ht="15">
      <c r="A107" s="474"/>
      <c r="B107" s="2016"/>
      <c r="C107" s="2017"/>
      <c r="D107" s="2018"/>
      <c r="F107" s="2019"/>
      <c r="G107" s="2017"/>
      <c r="H107" s="2018"/>
      <c r="J107" s="2019"/>
      <c r="K107" s="2017"/>
      <c r="L107" s="2018"/>
      <c r="M107" s="474"/>
      <c r="N107" s="2019"/>
      <c r="O107" s="2017"/>
      <c r="P107" s="2018"/>
      <c r="R107" s="2019"/>
      <c r="S107" s="2017"/>
      <c r="T107" s="2018"/>
      <c r="V107" s="2019"/>
      <c r="W107" s="2017"/>
      <c r="X107" s="2020"/>
      <c r="Z107" s="2019"/>
      <c r="AA107" s="2017"/>
      <c r="AB107" s="2018"/>
      <c r="AC107" s="474"/>
      <c r="AD107" s="2019"/>
      <c r="AE107" s="2017"/>
      <c r="AF107" s="2018"/>
      <c r="AH107" s="2019"/>
      <c r="AI107" s="2021"/>
      <c r="AJ107" s="2018"/>
      <c r="AL107" s="2019"/>
      <c r="AM107" s="2021"/>
      <c r="AN107" s="2018"/>
      <c r="AO107" s="477"/>
      <c r="AP107" s="477"/>
      <c r="AQ107" s="477"/>
    </row>
    <row r="108" spans="1:43" ht="15">
      <c r="A108" s="474"/>
      <c r="B108" s="2016"/>
      <c r="C108" s="2017"/>
      <c r="D108" s="2018"/>
      <c r="F108" s="2019"/>
      <c r="G108" s="2017"/>
      <c r="H108" s="2018"/>
      <c r="J108" s="2019"/>
      <c r="K108" s="2017"/>
      <c r="L108" s="2018"/>
      <c r="M108" s="474"/>
      <c r="N108" s="2019"/>
      <c r="O108" s="2017"/>
      <c r="P108" s="2018"/>
      <c r="R108" s="2019"/>
      <c r="S108" s="2017"/>
      <c r="T108" s="2018"/>
      <c r="V108" s="2019"/>
      <c r="W108" s="2017"/>
      <c r="X108" s="2020"/>
      <c r="Z108" s="2019"/>
      <c r="AA108" s="2017"/>
      <c r="AB108" s="2018"/>
      <c r="AC108" s="474"/>
      <c r="AD108" s="2019"/>
      <c r="AE108" s="2017"/>
      <c r="AF108" s="2018"/>
      <c r="AH108" s="2019"/>
      <c r="AI108" s="2021"/>
      <c r="AJ108" s="2018"/>
      <c r="AL108" s="2019"/>
      <c r="AM108" s="2021"/>
      <c r="AN108" s="2018"/>
      <c r="AO108" s="477"/>
      <c r="AP108" s="477"/>
      <c r="AQ108" s="477"/>
    </row>
    <row r="109" spans="1:43" ht="15">
      <c r="A109" s="474"/>
      <c r="B109" s="2016"/>
      <c r="C109" s="2017"/>
      <c r="D109" s="2018"/>
      <c r="F109" s="2019"/>
      <c r="G109" s="2017"/>
      <c r="H109" s="2018"/>
      <c r="J109" s="2019"/>
      <c r="K109" s="2017"/>
      <c r="L109" s="2018"/>
      <c r="M109" s="474"/>
      <c r="N109" s="2019"/>
      <c r="O109" s="2017"/>
      <c r="P109" s="2018"/>
      <c r="R109" s="2019"/>
      <c r="S109" s="2017"/>
      <c r="T109" s="2018"/>
      <c r="V109" s="2019"/>
      <c r="W109" s="2017"/>
      <c r="X109" s="2020"/>
      <c r="Z109" s="2019"/>
      <c r="AA109" s="2017"/>
      <c r="AB109" s="2018"/>
      <c r="AC109" s="474"/>
      <c r="AD109" s="2019"/>
      <c r="AE109" s="2017"/>
      <c r="AF109" s="2018"/>
      <c r="AH109" s="2019"/>
      <c r="AI109" s="2021"/>
      <c r="AJ109" s="2018"/>
      <c r="AL109" s="2019"/>
      <c r="AM109" s="2021"/>
      <c r="AN109" s="2018"/>
      <c r="AO109" s="477"/>
      <c r="AP109" s="477"/>
      <c r="AQ109" s="477"/>
    </row>
    <row r="110" spans="1:43" ht="15">
      <c r="A110" s="474"/>
      <c r="B110" s="2016"/>
      <c r="C110" s="2017"/>
      <c r="D110" s="2018"/>
      <c r="F110" s="2019"/>
      <c r="G110" s="2017"/>
      <c r="H110" s="2018"/>
      <c r="J110" s="2019"/>
      <c r="K110" s="2017"/>
      <c r="L110" s="2018"/>
      <c r="M110" s="474"/>
      <c r="N110" s="2019"/>
      <c r="O110" s="2017"/>
      <c r="P110" s="2018"/>
      <c r="R110" s="2019"/>
      <c r="S110" s="2017"/>
      <c r="T110" s="2018"/>
      <c r="V110" s="2019"/>
      <c r="W110" s="2017"/>
      <c r="X110" s="2020"/>
      <c r="Z110" s="2019"/>
      <c r="AA110" s="2017"/>
      <c r="AB110" s="2018"/>
      <c r="AC110" s="474"/>
      <c r="AD110" s="2019"/>
      <c r="AE110" s="2017"/>
      <c r="AF110" s="2018"/>
      <c r="AH110" s="2019"/>
      <c r="AI110" s="2021"/>
      <c r="AJ110" s="2018"/>
      <c r="AL110" s="2019"/>
      <c r="AM110" s="2021"/>
      <c r="AN110" s="2018"/>
      <c r="AO110" s="477"/>
      <c r="AP110" s="477"/>
      <c r="AQ110" s="477"/>
    </row>
    <row r="111" spans="1:43" ht="15">
      <c r="A111" s="474"/>
      <c r="B111" s="2016"/>
      <c r="C111" s="2017"/>
      <c r="D111" s="2018"/>
      <c r="F111" s="2019"/>
      <c r="G111" s="2017"/>
      <c r="H111" s="2018"/>
      <c r="J111" s="2019"/>
      <c r="K111" s="2017"/>
      <c r="L111" s="2018"/>
      <c r="M111" s="474"/>
      <c r="N111" s="2019"/>
      <c r="O111" s="2017"/>
      <c r="P111" s="2018"/>
      <c r="R111" s="2019"/>
      <c r="S111" s="2017"/>
      <c r="T111" s="2018"/>
      <c r="V111" s="2019"/>
      <c r="W111" s="2017"/>
      <c r="X111" s="2020"/>
      <c r="Z111" s="2019"/>
      <c r="AA111" s="2017"/>
      <c r="AB111" s="2018"/>
      <c r="AC111" s="474"/>
      <c r="AD111" s="2019"/>
      <c r="AE111" s="2017"/>
      <c r="AF111" s="2018"/>
      <c r="AH111" s="2019"/>
      <c r="AI111" s="2021"/>
      <c r="AJ111" s="2018"/>
      <c r="AL111" s="2019"/>
      <c r="AM111" s="2021"/>
      <c r="AN111" s="2018"/>
      <c r="AO111" s="477"/>
      <c r="AP111" s="477"/>
      <c r="AQ111" s="477"/>
    </row>
    <row r="112" spans="1:43" ht="15">
      <c r="A112" s="474"/>
      <c r="B112" s="2016"/>
      <c r="C112" s="2017"/>
      <c r="D112" s="2018"/>
      <c r="F112" s="2019"/>
      <c r="G112" s="2017"/>
      <c r="H112" s="2018"/>
      <c r="J112" s="2019"/>
      <c r="K112" s="2017"/>
      <c r="L112" s="2018"/>
      <c r="M112" s="474"/>
      <c r="N112" s="2019"/>
      <c r="O112" s="2017"/>
      <c r="P112" s="2018"/>
      <c r="R112" s="2019"/>
      <c r="S112" s="2017"/>
      <c r="T112" s="2018"/>
      <c r="V112" s="2019"/>
      <c r="W112" s="2017"/>
      <c r="X112" s="2020"/>
      <c r="Z112" s="2019"/>
      <c r="AA112" s="2017"/>
      <c r="AB112" s="2018"/>
      <c r="AC112" s="474"/>
      <c r="AD112" s="2019"/>
      <c r="AE112" s="2017"/>
      <c r="AF112" s="2018"/>
      <c r="AH112" s="2019"/>
      <c r="AI112" s="2021"/>
      <c r="AJ112" s="2018"/>
      <c r="AL112" s="2019"/>
      <c r="AM112" s="2021"/>
      <c r="AN112" s="2018"/>
      <c r="AO112" s="477"/>
      <c r="AP112" s="477"/>
      <c r="AQ112" s="477"/>
    </row>
    <row r="113" spans="1:43" ht="15">
      <c r="A113" s="474"/>
      <c r="B113" s="2016"/>
      <c r="C113" s="2017"/>
      <c r="D113" s="2018"/>
      <c r="F113" s="2019"/>
      <c r="G113" s="2017"/>
      <c r="H113" s="2018"/>
      <c r="J113" s="2019"/>
      <c r="K113" s="2017"/>
      <c r="L113" s="2018"/>
      <c r="M113" s="474"/>
      <c r="N113" s="2019"/>
      <c r="O113" s="2017"/>
      <c r="P113" s="2018"/>
      <c r="R113" s="2019"/>
      <c r="S113" s="2017"/>
      <c r="T113" s="2018"/>
      <c r="V113" s="2019"/>
      <c r="W113" s="2017"/>
      <c r="X113" s="2020"/>
      <c r="Z113" s="2019"/>
      <c r="AA113" s="2017"/>
      <c r="AB113" s="2018"/>
      <c r="AC113" s="474"/>
      <c r="AD113" s="2019"/>
      <c r="AE113" s="2017"/>
      <c r="AF113" s="2018"/>
      <c r="AH113" s="2019"/>
      <c r="AI113" s="2021"/>
      <c r="AJ113" s="2018"/>
      <c r="AL113" s="2019"/>
      <c r="AM113" s="2021"/>
      <c r="AN113" s="2018"/>
      <c r="AO113" s="477"/>
      <c r="AP113" s="477"/>
      <c r="AQ113" s="477"/>
    </row>
    <row r="114" spans="1:43" ht="15">
      <c r="A114" s="474"/>
      <c r="B114" s="2016"/>
      <c r="C114" s="2017"/>
      <c r="D114" s="2018"/>
      <c r="F114" s="2019"/>
      <c r="G114" s="2017"/>
      <c r="H114" s="2018"/>
      <c r="J114" s="2019"/>
      <c r="K114" s="2017"/>
      <c r="L114" s="2018"/>
      <c r="M114" s="474"/>
      <c r="N114" s="2019"/>
      <c r="O114" s="2017"/>
      <c r="P114" s="2018"/>
      <c r="R114" s="2019"/>
      <c r="S114" s="2017"/>
      <c r="T114" s="2018"/>
      <c r="V114" s="2019"/>
      <c r="W114" s="2017"/>
      <c r="X114" s="2020"/>
      <c r="Z114" s="2019"/>
      <c r="AA114" s="2017"/>
      <c r="AB114" s="2018"/>
      <c r="AC114" s="474"/>
      <c r="AD114" s="2019"/>
      <c r="AE114" s="2017"/>
      <c r="AF114" s="2018"/>
      <c r="AH114" s="2019"/>
      <c r="AI114" s="2021"/>
      <c r="AJ114" s="2018"/>
      <c r="AL114" s="2019"/>
      <c r="AM114" s="2021"/>
      <c r="AN114" s="2018"/>
      <c r="AO114" s="477"/>
      <c r="AP114" s="477"/>
      <c r="AQ114" s="477"/>
    </row>
    <row r="115" spans="1:43" ht="15">
      <c r="A115" s="474"/>
      <c r="B115" s="2016"/>
      <c r="C115" s="2017"/>
      <c r="D115" s="2018"/>
      <c r="F115" s="2019"/>
      <c r="G115" s="2017"/>
      <c r="H115" s="2018"/>
      <c r="J115" s="2019"/>
      <c r="K115" s="2017"/>
      <c r="L115" s="2018"/>
      <c r="M115" s="474"/>
      <c r="N115" s="2019"/>
      <c r="O115" s="2017"/>
      <c r="P115" s="2018"/>
      <c r="R115" s="2019"/>
      <c r="S115" s="2017"/>
      <c r="T115" s="2018"/>
      <c r="V115" s="2019"/>
      <c r="W115" s="2017"/>
      <c r="X115" s="2020"/>
      <c r="Z115" s="2019"/>
      <c r="AA115" s="2017"/>
      <c r="AB115" s="2018"/>
      <c r="AC115" s="474"/>
      <c r="AD115" s="2019"/>
      <c r="AE115" s="2017"/>
      <c r="AF115" s="2018"/>
      <c r="AH115" s="2019"/>
      <c r="AI115" s="2021"/>
      <c r="AJ115" s="2018"/>
      <c r="AL115" s="2019"/>
      <c r="AM115" s="2021"/>
      <c r="AN115" s="2018"/>
      <c r="AO115" s="477"/>
      <c r="AP115" s="477"/>
      <c r="AQ115" s="477"/>
    </row>
    <row r="116" spans="1:43" ht="15">
      <c r="A116" s="474"/>
      <c r="B116" s="2016"/>
      <c r="C116" s="2017"/>
      <c r="D116" s="2018"/>
      <c r="F116" s="2019"/>
      <c r="G116" s="2017"/>
      <c r="H116" s="2018"/>
      <c r="J116" s="2019"/>
      <c r="K116" s="2017"/>
      <c r="L116" s="2018"/>
      <c r="M116" s="474"/>
      <c r="N116" s="2019"/>
      <c r="O116" s="2017"/>
      <c r="P116" s="2018"/>
      <c r="R116" s="2019"/>
      <c r="S116" s="2017"/>
      <c r="T116" s="2018"/>
      <c r="V116" s="2019"/>
      <c r="W116" s="2017"/>
      <c r="X116" s="2020"/>
      <c r="Z116" s="2019"/>
      <c r="AA116" s="2017"/>
      <c r="AB116" s="2018"/>
      <c r="AC116" s="474"/>
      <c r="AD116" s="2019"/>
      <c r="AE116" s="2017"/>
      <c r="AF116" s="2018"/>
      <c r="AH116" s="2019"/>
      <c r="AI116" s="2021"/>
      <c r="AJ116" s="2018"/>
      <c r="AL116" s="2019"/>
      <c r="AM116" s="2021"/>
      <c r="AN116" s="2018"/>
      <c r="AO116" s="477"/>
      <c r="AP116" s="477"/>
      <c r="AQ116" s="477"/>
    </row>
    <row r="117" spans="1:43" ht="15">
      <c r="A117" s="474"/>
      <c r="B117" s="2016"/>
      <c r="C117" s="2017"/>
      <c r="D117" s="2018"/>
      <c r="F117" s="2019"/>
      <c r="G117" s="2017"/>
      <c r="H117" s="2018"/>
      <c r="J117" s="2019"/>
      <c r="K117" s="2017"/>
      <c r="L117" s="2018"/>
      <c r="M117" s="474"/>
      <c r="N117" s="2019"/>
      <c r="O117" s="2017"/>
      <c r="P117" s="2018"/>
      <c r="R117" s="2019"/>
      <c r="S117" s="2017"/>
      <c r="T117" s="2018"/>
      <c r="V117" s="2019"/>
      <c r="W117" s="2017"/>
      <c r="X117" s="2020"/>
      <c r="Z117" s="2019"/>
      <c r="AA117" s="2017"/>
      <c r="AB117" s="2018"/>
      <c r="AC117" s="474"/>
      <c r="AD117" s="2019"/>
      <c r="AE117" s="2017"/>
      <c r="AF117" s="2018"/>
      <c r="AH117" s="2019"/>
      <c r="AI117" s="2021"/>
      <c r="AJ117" s="2018"/>
      <c r="AL117" s="2019"/>
      <c r="AM117" s="2021"/>
      <c r="AN117" s="2018"/>
      <c r="AO117" s="477"/>
      <c r="AP117" s="477"/>
      <c r="AQ117" s="477"/>
    </row>
    <row r="118" spans="1:43" ht="15">
      <c r="A118" s="474"/>
      <c r="B118" s="2016"/>
      <c r="C118" s="2017"/>
      <c r="D118" s="2018"/>
      <c r="F118" s="2019"/>
      <c r="G118" s="2017"/>
      <c r="H118" s="2018"/>
      <c r="J118" s="2019"/>
      <c r="K118" s="2017"/>
      <c r="L118" s="2018"/>
      <c r="M118" s="474"/>
      <c r="N118" s="2019"/>
      <c r="O118" s="2017"/>
      <c r="P118" s="2018"/>
      <c r="R118" s="2019"/>
      <c r="S118" s="2017"/>
      <c r="T118" s="2018"/>
      <c r="V118" s="2019"/>
      <c r="W118" s="2017"/>
      <c r="X118" s="2020"/>
      <c r="Z118" s="2019"/>
      <c r="AA118" s="2017"/>
      <c r="AB118" s="2018"/>
      <c r="AC118" s="474"/>
      <c r="AD118" s="2019"/>
      <c r="AE118" s="2017"/>
      <c r="AF118" s="2018"/>
      <c r="AH118" s="2019"/>
      <c r="AI118" s="2021"/>
      <c r="AJ118" s="2018"/>
      <c r="AL118" s="2019"/>
      <c r="AM118" s="2021"/>
      <c r="AN118" s="2018"/>
      <c r="AO118" s="477"/>
      <c r="AP118" s="477"/>
      <c r="AQ118" s="477"/>
    </row>
    <row r="119" spans="1:43" ht="15">
      <c r="A119" s="474"/>
      <c r="B119" s="2016"/>
      <c r="C119" s="2017"/>
      <c r="D119" s="2018"/>
      <c r="F119" s="2019"/>
      <c r="G119" s="2017"/>
      <c r="H119" s="2018"/>
      <c r="J119" s="2019"/>
      <c r="K119" s="2017"/>
      <c r="L119" s="2018"/>
      <c r="M119" s="474"/>
      <c r="N119" s="2019"/>
      <c r="O119" s="2017"/>
      <c r="P119" s="2018"/>
      <c r="R119" s="2019"/>
      <c r="S119" s="2017"/>
      <c r="T119" s="2018"/>
      <c r="V119" s="2019"/>
      <c r="W119" s="2017"/>
      <c r="X119" s="2020"/>
      <c r="Z119" s="2019"/>
      <c r="AA119" s="2017"/>
      <c r="AB119" s="2018"/>
      <c r="AC119" s="474"/>
      <c r="AD119" s="2019"/>
      <c r="AE119" s="2017"/>
      <c r="AF119" s="2018"/>
      <c r="AH119" s="2019"/>
      <c r="AI119" s="2021"/>
      <c r="AJ119" s="2018"/>
      <c r="AL119" s="2019"/>
      <c r="AM119" s="2021"/>
      <c r="AN119" s="2018"/>
      <c r="AO119" s="477"/>
      <c r="AP119" s="477"/>
      <c r="AQ119" s="477"/>
    </row>
    <row r="120" spans="1:43" ht="15">
      <c r="A120" s="474"/>
      <c r="B120" s="2016"/>
      <c r="C120" s="2017"/>
      <c r="D120" s="2018"/>
      <c r="F120" s="2019"/>
      <c r="G120" s="2017"/>
      <c r="H120" s="2018"/>
      <c r="J120" s="2019"/>
      <c r="K120" s="2017"/>
      <c r="L120" s="2018"/>
      <c r="M120" s="474"/>
      <c r="N120" s="2019"/>
      <c r="O120" s="2017"/>
      <c r="P120" s="2018"/>
      <c r="R120" s="2019"/>
      <c r="S120" s="2017"/>
      <c r="T120" s="2018"/>
      <c r="V120" s="2019"/>
      <c r="W120" s="2017"/>
      <c r="X120" s="2020"/>
      <c r="Z120" s="2019"/>
      <c r="AA120" s="2017"/>
      <c r="AB120" s="2018"/>
      <c r="AC120" s="474"/>
      <c r="AD120" s="2019"/>
      <c r="AE120" s="2017"/>
      <c r="AF120" s="2018"/>
      <c r="AH120" s="2019"/>
      <c r="AI120" s="2021"/>
      <c r="AJ120" s="2018"/>
      <c r="AL120" s="2019"/>
      <c r="AM120" s="2021"/>
      <c r="AN120" s="2018"/>
      <c r="AO120" s="477"/>
      <c r="AP120" s="477"/>
      <c r="AQ120" s="477"/>
    </row>
    <row r="121" spans="1:43" ht="15">
      <c r="A121" s="474"/>
      <c r="B121" s="2016"/>
      <c r="C121" s="2017"/>
      <c r="D121" s="2018"/>
      <c r="F121" s="2019"/>
      <c r="G121" s="2017"/>
      <c r="H121" s="2018"/>
      <c r="J121" s="2019"/>
      <c r="K121" s="2017"/>
      <c r="L121" s="2018"/>
      <c r="M121" s="474"/>
      <c r="N121" s="2019"/>
      <c r="O121" s="2017"/>
      <c r="P121" s="2018"/>
      <c r="R121" s="2019"/>
      <c r="S121" s="2017"/>
      <c r="T121" s="2018"/>
      <c r="V121" s="2019"/>
      <c r="W121" s="2017"/>
      <c r="X121" s="2020"/>
      <c r="Z121" s="2019"/>
      <c r="AA121" s="2017"/>
      <c r="AB121" s="2018"/>
      <c r="AC121" s="474"/>
      <c r="AD121" s="2019"/>
      <c r="AE121" s="2017"/>
      <c r="AF121" s="2018"/>
      <c r="AH121" s="2019"/>
      <c r="AI121" s="2021"/>
      <c r="AJ121" s="2018"/>
      <c r="AL121" s="2019"/>
      <c r="AM121" s="2021"/>
      <c r="AN121" s="2018"/>
      <c r="AO121" s="477"/>
      <c r="AP121" s="477"/>
      <c r="AQ121" s="477"/>
    </row>
    <row r="122" spans="1:43" ht="15">
      <c r="A122" s="474"/>
      <c r="B122" s="2016"/>
      <c r="C122" s="2017"/>
      <c r="D122" s="2018"/>
      <c r="F122" s="2019"/>
      <c r="G122" s="2017"/>
      <c r="H122" s="2018"/>
      <c r="J122" s="2019"/>
      <c r="K122" s="2017"/>
      <c r="L122" s="2018"/>
      <c r="M122" s="474"/>
      <c r="N122" s="2019"/>
      <c r="O122" s="2017"/>
      <c r="P122" s="2018"/>
      <c r="R122" s="2019"/>
      <c r="S122" s="2017"/>
      <c r="T122" s="2018"/>
      <c r="V122" s="2019"/>
      <c r="W122" s="2017"/>
      <c r="X122" s="2020"/>
      <c r="Z122" s="2019"/>
      <c r="AA122" s="2017"/>
      <c r="AB122" s="2018"/>
      <c r="AC122" s="474"/>
      <c r="AD122" s="2019"/>
      <c r="AE122" s="2017"/>
      <c r="AF122" s="2018"/>
      <c r="AH122" s="2019"/>
      <c r="AI122" s="2021"/>
      <c r="AJ122" s="2018"/>
      <c r="AL122" s="2019"/>
      <c r="AM122" s="2021"/>
      <c r="AN122" s="2018"/>
      <c r="AO122" s="477"/>
      <c r="AP122" s="477"/>
      <c r="AQ122" s="477"/>
    </row>
    <row r="123" spans="1:43" ht="15">
      <c r="A123" s="474"/>
      <c r="B123" s="2016"/>
      <c r="C123" s="2017"/>
      <c r="D123" s="2018"/>
      <c r="F123" s="2019"/>
      <c r="G123" s="2017"/>
      <c r="H123" s="2018"/>
      <c r="J123" s="2019"/>
      <c r="K123" s="2017"/>
      <c r="L123" s="2018"/>
      <c r="M123" s="474"/>
      <c r="N123" s="2019"/>
      <c r="O123" s="2017"/>
      <c r="P123" s="2018"/>
      <c r="R123" s="2019"/>
      <c r="S123" s="2017"/>
      <c r="T123" s="2018"/>
      <c r="V123" s="2019"/>
      <c r="W123" s="2017"/>
      <c r="X123" s="2020"/>
      <c r="Z123" s="2019"/>
      <c r="AA123" s="2017"/>
      <c r="AB123" s="2018"/>
      <c r="AC123" s="474"/>
      <c r="AD123" s="2019"/>
      <c r="AE123" s="2017"/>
      <c r="AF123" s="2018"/>
      <c r="AH123" s="2019"/>
      <c r="AI123" s="2021"/>
      <c r="AJ123" s="2018"/>
      <c r="AL123" s="2019"/>
      <c r="AM123" s="2021"/>
      <c r="AN123" s="2018"/>
      <c r="AO123" s="477"/>
      <c r="AP123" s="477"/>
      <c r="AQ123" s="477"/>
    </row>
    <row r="124" spans="1:43" ht="15">
      <c r="A124" s="474"/>
      <c r="B124" s="2016"/>
      <c r="C124" s="2017"/>
      <c r="D124" s="2018"/>
      <c r="F124" s="2019"/>
      <c r="G124" s="2017"/>
      <c r="H124" s="2018"/>
      <c r="J124" s="2019"/>
      <c r="K124" s="2017"/>
      <c r="L124" s="2018"/>
      <c r="M124" s="474"/>
      <c r="N124" s="2019"/>
      <c r="O124" s="2017"/>
      <c r="P124" s="2018"/>
      <c r="R124" s="2019"/>
      <c r="S124" s="2017"/>
      <c r="T124" s="2018"/>
      <c r="V124" s="2019"/>
      <c r="W124" s="2017"/>
      <c r="X124" s="2020"/>
      <c r="Z124" s="2019"/>
      <c r="AA124" s="2017"/>
      <c r="AB124" s="2018"/>
      <c r="AC124" s="474"/>
      <c r="AD124" s="2019"/>
      <c r="AE124" s="2017"/>
      <c r="AF124" s="2018"/>
      <c r="AH124" s="2019"/>
      <c r="AI124" s="2021"/>
      <c r="AJ124" s="2018"/>
      <c r="AL124" s="2019"/>
      <c r="AM124" s="2021"/>
      <c r="AN124" s="2018"/>
      <c r="AO124" s="477"/>
      <c r="AP124" s="477"/>
      <c r="AQ124" s="477"/>
    </row>
    <row r="125" spans="1:43" ht="15">
      <c r="A125" s="474"/>
      <c r="B125" s="2016"/>
      <c r="C125" s="2017"/>
      <c r="D125" s="2018"/>
      <c r="F125" s="2019"/>
      <c r="G125" s="2017"/>
      <c r="H125" s="2018"/>
      <c r="J125" s="2019"/>
      <c r="K125" s="2017"/>
      <c r="L125" s="2018"/>
      <c r="M125" s="474"/>
      <c r="N125" s="2019"/>
      <c r="O125" s="2017"/>
      <c r="P125" s="2018"/>
      <c r="R125" s="2019"/>
      <c r="S125" s="2017"/>
      <c r="T125" s="2018"/>
      <c r="V125" s="2019"/>
      <c r="W125" s="2017"/>
      <c r="X125" s="2020"/>
      <c r="Z125" s="2019"/>
      <c r="AA125" s="2017"/>
      <c r="AB125" s="2018"/>
      <c r="AC125" s="474"/>
      <c r="AD125" s="2019"/>
      <c r="AE125" s="2017"/>
      <c r="AF125" s="2018"/>
      <c r="AH125" s="2019"/>
      <c r="AI125" s="2021"/>
      <c r="AJ125" s="2018"/>
      <c r="AL125" s="2019"/>
      <c r="AM125" s="2021"/>
      <c r="AN125" s="2018"/>
      <c r="AO125" s="477"/>
      <c r="AP125" s="477"/>
      <c r="AQ125" s="477"/>
    </row>
    <row r="126" spans="1:43" ht="15">
      <c r="A126" s="474"/>
      <c r="B126" s="2016"/>
      <c r="C126" s="2017"/>
      <c r="D126" s="2018"/>
      <c r="F126" s="2019"/>
      <c r="G126" s="2017"/>
      <c r="H126" s="2018"/>
      <c r="J126" s="2019"/>
      <c r="K126" s="2017"/>
      <c r="L126" s="2018"/>
      <c r="M126" s="474"/>
      <c r="N126" s="2019"/>
      <c r="O126" s="2017"/>
      <c r="P126" s="2018"/>
      <c r="R126" s="2019"/>
      <c r="S126" s="2017"/>
      <c r="T126" s="2018"/>
      <c r="V126" s="2019"/>
      <c r="W126" s="2017"/>
      <c r="X126" s="2020"/>
      <c r="Z126" s="2019"/>
      <c r="AA126" s="2017"/>
      <c r="AB126" s="2018"/>
      <c r="AC126" s="474"/>
      <c r="AD126" s="2019"/>
      <c r="AE126" s="2017"/>
      <c r="AF126" s="2018"/>
      <c r="AH126" s="2019"/>
      <c r="AI126" s="2021"/>
      <c r="AJ126" s="2018"/>
      <c r="AL126" s="2019"/>
      <c r="AM126" s="2021"/>
      <c r="AN126" s="2018"/>
      <c r="AO126" s="477"/>
      <c r="AP126" s="477"/>
      <c r="AQ126" s="477"/>
    </row>
    <row r="127" spans="1:43" ht="15">
      <c r="A127" s="474"/>
      <c r="B127" s="2016"/>
      <c r="C127" s="2017"/>
      <c r="D127" s="2018"/>
      <c r="F127" s="2019"/>
      <c r="G127" s="2017"/>
      <c r="H127" s="2018"/>
      <c r="J127" s="2019"/>
      <c r="K127" s="2017"/>
      <c r="L127" s="2018"/>
      <c r="M127" s="474"/>
      <c r="N127" s="2019"/>
      <c r="O127" s="2017"/>
      <c r="P127" s="2018"/>
      <c r="R127" s="2019"/>
      <c r="S127" s="2017"/>
      <c r="T127" s="2018"/>
      <c r="V127" s="2019"/>
      <c r="W127" s="2017"/>
      <c r="X127" s="2020"/>
      <c r="Z127" s="2019"/>
      <c r="AA127" s="2017"/>
      <c r="AB127" s="2018"/>
      <c r="AC127" s="474"/>
      <c r="AD127" s="2019"/>
      <c r="AE127" s="2017"/>
      <c r="AF127" s="2018"/>
      <c r="AH127" s="2019"/>
      <c r="AI127" s="2021"/>
      <c r="AJ127" s="2018"/>
      <c r="AL127" s="2019"/>
      <c r="AM127" s="2021"/>
      <c r="AN127" s="2018"/>
      <c r="AO127" s="477"/>
      <c r="AP127" s="477"/>
      <c r="AQ127" s="477"/>
    </row>
    <row r="128" spans="1:43" ht="15">
      <c r="A128" s="474"/>
      <c r="B128" s="2016"/>
      <c r="C128" s="2017"/>
      <c r="D128" s="2018"/>
      <c r="F128" s="2019"/>
      <c r="G128" s="2017"/>
      <c r="H128" s="2018"/>
      <c r="J128" s="2019"/>
      <c r="K128" s="2017"/>
      <c r="L128" s="2018"/>
      <c r="M128" s="474"/>
      <c r="N128" s="2019"/>
      <c r="O128" s="2017"/>
      <c r="P128" s="2018"/>
      <c r="R128" s="2019"/>
      <c r="S128" s="2017"/>
      <c r="T128" s="2018"/>
      <c r="V128" s="2019"/>
      <c r="W128" s="2017"/>
      <c r="X128" s="2020"/>
      <c r="Z128" s="2019"/>
      <c r="AA128" s="2017"/>
      <c r="AB128" s="2018"/>
      <c r="AC128" s="474"/>
      <c r="AD128" s="2019"/>
      <c r="AE128" s="2017"/>
      <c r="AF128" s="2018"/>
      <c r="AH128" s="2019"/>
      <c r="AI128" s="2021"/>
      <c r="AJ128" s="2018"/>
      <c r="AL128" s="2019"/>
      <c r="AM128" s="2021"/>
      <c r="AN128" s="2018"/>
      <c r="AO128" s="477"/>
      <c r="AP128" s="477"/>
      <c r="AQ128" s="477"/>
    </row>
    <row r="129" spans="1:43" ht="15">
      <c r="A129" s="474"/>
      <c r="B129" s="2016"/>
      <c r="C129" s="2017"/>
      <c r="D129" s="2018"/>
      <c r="F129" s="2019"/>
      <c r="G129" s="2017"/>
      <c r="H129" s="2018"/>
      <c r="J129" s="2019"/>
      <c r="K129" s="2017"/>
      <c r="L129" s="2018"/>
      <c r="M129" s="474"/>
      <c r="N129" s="2019"/>
      <c r="O129" s="2017"/>
      <c r="P129" s="2018"/>
      <c r="R129" s="2019"/>
      <c r="S129" s="2017"/>
      <c r="T129" s="2018"/>
      <c r="V129" s="2019"/>
      <c r="W129" s="2017"/>
      <c r="X129" s="2020"/>
      <c r="Z129" s="2019"/>
      <c r="AA129" s="2017"/>
      <c r="AB129" s="2018"/>
      <c r="AC129" s="474"/>
      <c r="AD129" s="2019"/>
      <c r="AE129" s="2017"/>
      <c r="AF129" s="2018"/>
      <c r="AH129" s="2019"/>
      <c r="AI129" s="2021"/>
      <c r="AJ129" s="2018"/>
      <c r="AL129" s="2019"/>
      <c r="AM129" s="2021"/>
      <c r="AN129" s="2018"/>
      <c r="AO129" s="477"/>
      <c r="AP129" s="477"/>
      <c r="AQ129" s="477"/>
    </row>
    <row r="130" spans="1:43" ht="15">
      <c r="A130" s="474"/>
      <c r="B130" s="2016"/>
      <c r="C130" s="2017"/>
      <c r="D130" s="2018"/>
      <c r="F130" s="2019"/>
      <c r="G130" s="2017"/>
      <c r="H130" s="2018"/>
      <c r="J130" s="2019"/>
      <c r="K130" s="2017"/>
      <c r="L130" s="2018"/>
      <c r="M130" s="474"/>
      <c r="N130" s="2019"/>
      <c r="O130" s="2017"/>
      <c r="P130" s="2018"/>
      <c r="R130" s="2019"/>
      <c r="S130" s="2017"/>
      <c r="T130" s="2018"/>
      <c r="V130" s="2019"/>
      <c r="W130" s="2017"/>
      <c r="X130" s="2020"/>
      <c r="Z130" s="2019"/>
      <c r="AA130" s="2017"/>
      <c r="AB130" s="2018"/>
      <c r="AC130" s="474"/>
      <c r="AD130" s="2019"/>
      <c r="AE130" s="2017"/>
      <c r="AF130" s="2018"/>
      <c r="AH130" s="2019"/>
      <c r="AI130" s="2021"/>
      <c r="AJ130" s="2018"/>
      <c r="AL130" s="2019"/>
      <c r="AM130" s="2021"/>
      <c r="AN130" s="2018"/>
      <c r="AO130" s="477"/>
      <c r="AP130" s="477"/>
      <c r="AQ130" s="477"/>
    </row>
    <row r="131" spans="1:43" ht="15">
      <c r="A131" s="474"/>
      <c r="B131" s="2016"/>
      <c r="C131" s="2017"/>
      <c r="D131" s="2018"/>
      <c r="F131" s="2019"/>
      <c r="G131" s="2017"/>
      <c r="H131" s="2018"/>
      <c r="J131" s="2019"/>
      <c r="K131" s="2017"/>
      <c r="L131" s="2018"/>
      <c r="M131" s="474"/>
      <c r="N131" s="2019"/>
      <c r="O131" s="2017"/>
      <c r="P131" s="2018"/>
      <c r="R131" s="2019"/>
      <c r="S131" s="2017"/>
      <c r="T131" s="2018"/>
      <c r="V131" s="2019"/>
      <c r="W131" s="2017"/>
      <c r="X131" s="2020"/>
      <c r="Z131" s="2019"/>
      <c r="AA131" s="2017"/>
      <c r="AB131" s="2018"/>
      <c r="AC131" s="474"/>
      <c r="AD131" s="2019"/>
      <c r="AE131" s="2017"/>
      <c r="AF131" s="2018"/>
      <c r="AH131" s="2019"/>
      <c r="AI131" s="2021"/>
      <c r="AJ131" s="2018"/>
      <c r="AL131" s="2019"/>
      <c r="AM131" s="2021"/>
      <c r="AN131" s="2018"/>
      <c r="AO131" s="477"/>
      <c r="AP131" s="477"/>
      <c r="AQ131" s="477"/>
    </row>
    <row r="132" spans="1:43" ht="15">
      <c r="A132" s="474"/>
      <c r="B132" s="2016"/>
      <c r="C132" s="2017"/>
      <c r="D132" s="2018"/>
      <c r="F132" s="2019"/>
      <c r="G132" s="2017"/>
      <c r="H132" s="2018"/>
      <c r="J132" s="2019"/>
      <c r="K132" s="2017"/>
      <c r="L132" s="2018"/>
      <c r="M132" s="474"/>
      <c r="N132" s="2019"/>
      <c r="O132" s="2017"/>
      <c r="P132" s="2018"/>
      <c r="R132" s="2019"/>
      <c r="S132" s="2017"/>
      <c r="T132" s="2018"/>
      <c r="V132" s="2019"/>
      <c r="W132" s="2017"/>
      <c r="X132" s="2020"/>
      <c r="Z132" s="2019"/>
      <c r="AA132" s="2017"/>
      <c r="AB132" s="2018"/>
      <c r="AC132" s="474"/>
      <c r="AD132" s="2019"/>
      <c r="AE132" s="2017"/>
      <c r="AF132" s="2018"/>
      <c r="AH132" s="2019"/>
      <c r="AI132" s="2021"/>
      <c r="AJ132" s="2018"/>
      <c r="AL132" s="2019"/>
      <c r="AM132" s="2021"/>
      <c r="AN132" s="2018"/>
      <c r="AO132" s="477"/>
      <c r="AP132" s="477"/>
      <c r="AQ132" s="477"/>
    </row>
    <row r="133" spans="1:43" ht="15">
      <c r="A133" s="474"/>
      <c r="B133" s="2016"/>
      <c r="C133" s="2017"/>
      <c r="D133" s="2018"/>
      <c r="F133" s="2019"/>
      <c r="G133" s="2017"/>
      <c r="H133" s="2018"/>
      <c r="J133" s="2019"/>
      <c r="K133" s="2017"/>
      <c r="L133" s="2018"/>
      <c r="M133" s="474"/>
      <c r="N133" s="2019"/>
      <c r="O133" s="2017"/>
      <c r="P133" s="2018"/>
      <c r="R133" s="2019"/>
      <c r="S133" s="2017"/>
      <c r="T133" s="2018"/>
      <c r="V133" s="2019"/>
      <c r="W133" s="2017"/>
      <c r="X133" s="2020"/>
      <c r="Z133" s="2019"/>
      <c r="AA133" s="2017"/>
      <c r="AB133" s="2018"/>
      <c r="AC133" s="474"/>
      <c r="AD133" s="2019"/>
      <c r="AE133" s="2017"/>
      <c r="AF133" s="2018"/>
      <c r="AH133" s="2019"/>
      <c r="AI133" s="2021"/>
      <c r="AJ133" s="2018"/>
      <c r="AL133" s="2019"/>
      <c r="AM133" s="2021"/>
      <c r="AN133" s="2018"/>
      <c r="AO133" s="477"/>
      <c r="AP133" s="477"/>
      <c r="AQ133" s="477"/>
    </row>
    <row r="134" spans="1:43" ht="15">
      <c r="A134" s="474"/>
      <c r="B134" s="2016"/>
      <c r="C134" s="2017"/>
      <c r="D134" s="2018"/>
      <c r="F134" s="2019"/>
      <c r="G134" s="2017"/>
      <c r="H134" s="2018"/>
      <c r="J134" s="2019"/>
      <c r="K134" s="2017"/>
      <c r="L134" s="2018"/>
      <c r="M134" s="474"/>
      <c r="N134" s="2019"/>
      <c r="O134" s="2017"/>
      <c r="P134" s="2018"/>
      <c r="R134" s="2019"/>
      <c r="S134" s="2017"/>
      <c r="T134" s="2018"/>
      <c r="V134" s="2019"/>
      <c r="W134" s="2017"/>
      <c r="X134" s="2020"/>
      <c r="Z134" s="2019"/>
      <c r="AA134" s="2017"/>
      <c r="AB134" s="2018"/>
      <c r="AC134" s="474"/>
      <c r="AD134" s="2019"/>
      <c r="AE134" s="2017"/>
      <c r="AF134" s="2018"/>
      <c r="AH134" s="2019"/>
      <c r="AI134" s="2021"/>
      <c r="AJ134" s="2018"/>
      <c r="AL134" s="2019"/>
      <c r="AM134" s="2021"/>
      <c r="AN134" s="2018"/>
      <c r="AO134" s="477"/>
      <c r="AP134" s="477"/>
      <c r="AQ134" s="477"/>
    </row>
    <row r="135" spans="1:43" ht="15">
      <c r="A135" s="474"/>
      <c r="B135" s="2016"/>
      <c r="C135" s="2017"/>
      <c r="D135" s="2018"/>
      <c r="F135" s="2019"/>
      <c r="G135" s="2017"/>
      <c r="H135" s="2018"/>
      <c r="J135" s="2019"/>
      <c r="K135" s="2017"/>
      <c r="L135" s="2018"/>
      <c r="M135" s="474"/>
      <c r="N135" s="2019"/>
      <c r="O135" s="2017"/>
      <c r="P135" s="2018"/>
      <c r="R135" s="2019"/>
      <c r="S135" s="2017"/>
      <c r="T135" s="2018"/>
      <c r="V135" s="2019"/>
      <c r="W135" s="2017"/>
      <c r="X135" s="2020"/>
      <c r="Z135" s="2019"/>
      <c r="AA135" s="2017"/>
      <c r="AB135" s="2018"/>
      <c r="AC135" s="474"/>
      <c r="AD135" s="2019"/>
      <c r="AE135" s="2017"/>
      <c r="AF135" s="2018"/>
      <c r="AH135" s="2019"/>
      <c r="AI135" s="2021"/>
      <c r="AJ135" s="2018"/>
      <c r="AL135" s="2019"/>
      <c r="AM135" s="2021"/>
      <c r="AN135" s="2018"/>
      <c r="AO135" s="477"/>
      <c r="AP135" s="477"/>
      <c r="AQ135" s="477"/>
    </row>
    <row r="136" spans="1:43" ht="15">
      <c r="A136" s="474"/>
      <c r="B136" s="2016"/>
      <c r="C136" s="2017"/>
      <c r="D136" s="2018"/>
      <c r="F136" s="2019"/>
      <c r="G136" s="2017"/>
      <c r="H136" s="2018"/>
      <c r="J136" s="2019"/>
      <c r="K136" s="2017"/>
      <c r="L136" s="2018"/>
      <c r="M136" s="474"/>
      <c r="N136" s="2019"/>
      <c r="O136" s="2017"/>
      <c r="P136" s="2018"/>
      <c r="R136" s="2019"/>
      <c r="S136" s="2017"/>
      <c r="T136" s="2018"/>
      <c r="V136" s="2019"/>
      <c r="W136" s="2017"/>
      <c r="X136" s="2020"/>
      <c r="Z136" s="2019"/>
      <c r="AA136" s="2017"/>
      <c r="AB136" s="2018"/>
      <c r="AC136" s="474"/>
      <c r="AD136" s="2019"/>
      <c r="AE136" s="2017"/>
      <c r="AF136" s="2018"/>
      <c r="AH136" s="2019"/>
      <c r="AI136" s="2021"/>
      <c r="AJ136" s="2018"/>
      <c r="AL136" s="2019"/>
      <c r="AM136" s="2021"/>
      <c r="AN136" s="2018"/>
      <c r="AO136" s="477"/>
      <c r="AP136" s="477"/>
      <c r="AQ136" s="477"/>
    </row>
    <row r="137" spans="1:43" ht="15">
      <c r="A137" s="474"/>
      <c r="B137" s="2016"/>
      <c r="C137" s="2017"/>
      <c r="D137" s="2018"/>
      <c r="F137" s="2019"/>
      <c r="G137" s="2017"/>
      <c r="H137" s="2018"/>
      <c r="J137" s="2019"/>
      <c r="K137" s="2017"/>
      <c r="L137" s="2018"/>
      <c r="M137" s="474"/>
      <c r="N137" s="2019"/>
      <c r="O137" s="2017"/>
      <c r="P137" s="2018"/>
      <c r="R137" s="2019"/>
      <c r="S137" s="2017"/>
      <c r="T137" s="2018"/>
      <c r="V137" s="2019"/>
      <c r="W137" s="2017"/>
      <c r="X137" s="2020"/>
      <c r="Z137" s="2019"/>
      <c r="AA137" s="2017"/>
      <c r="AB137" s="2018"/>
      <c r="AC137" s="474"/>
      <c r="AD137" s="2019"/>
      <c r="AE137" s="2017"/>
      <c r="AF137" s="2018"/>
      <c r="AH137" s="2019"/>
      <c r="AI137" s="2021"/>
      <c r="AJ137" s="2018"/>
      <c r="AL137" s="2019"/>
      <c r="AM137" s="2021"/>
      <c r="AN137" s="2018"/>
      <c r="AO137" s="477"/>
      <c r="AP137" s="477"/>
      <c r="AQ137" s="477"/>
    </row>
    <row r="138" spans="1:43" ht="15">
      <c r="A138" s="474"/>
      <c r="B138" s="2016"/>
      <c r="C138" s="2017"/>
      <c r="D138" s="2018"/>
      <c r="F138" s="2019"/>
      <c r="G138" s="2017"/>
      <c r="H138" s="2018"/>
      <c r="J138" s="2019"/>
      <c r="K138" s="2017"/>
      <c r="L138" s="2018"/>
      <c r="M138" s="474"/>
      <c r="N138" s="2019"/>
      <c r="O138" s="2017"/>
      <c r="P138" s="2018"/>
      <c r="R138" s="2019"/>
      <c r="S138" s="2017"/>
      <c r="T138" s="2018"/>
      <c r="V138" s="2019"/>
      <c r="W138" s="2017"/>
      <c r="X138" s="2020"/>
      <c r="Z138" s="2019"/>
      <c r="AA138" s="2017"/>
      <c r="AB138" s="2018"/>
      <c r="AC138" s="474"/>
      <c r="AD138" s="2019"/>
      <c r="AE138" s="2017"/>
      <c r="AF138" s="2018"/>
      <c r="AH138" s="2019"/>
      <c r="AI138" s="2021"/>
      <c r="AJ138" s="2018"/>
      <c r="AL138" s="2019"/>
      <c r="AM138" s="2021"/>
      <c r="AN138" s="2018"/>
      <c r="AO138" s="477"/>
      <c r="AP138" s="477"/>
      <c r="AQ138" s="477"/>
    </row>
    <row r="139" spans="1:43" ht="15">
      <c r="A139" s="474"/>
      <c r="B139" s="2016"/>
      <c r="C139" s="2017"/>
      <c r="D139" s="2018"/>
      <c r="F139" s="2019"/>
      <c r="G139" s="2017"/>
      <c r="H139" s="2018"/>
      <c r="J139" s="2019"/>
      <c r="K139" s="2017"/>
      <c r="L139" s="2018"/>
      <c r="M139" s="474"/>
      <c r="N139" s="2019"/>
      <c r="O139" s="2017"/>
      <c r="P139" s="2018"/>
      <c r="R139" s="2019"/>
      <c r="S139" s="2017"/>
      <c r="T139" s="2018"/>
      <c r="V139" s="2019"/>
      <c r="W139" s="2017"/>
      <c r="X139" s="2020"/>
      <c r="Z139" s="2019"/>
      <c r="AA139" s="2017"/>
      <c r="AB139" s="2018"/>
      <c r="AC139" s="474"/>
      <c r="AD139" s="2019"/>
      <c r="AE139" s="2017"/>
      <c r="AF139" s="2018"/>
      <c r="AH139" s="2019"/>
      <c r="AI139" s="2021"/>
      <c r="AJ139" s="2018"/>
      <c r="AL139" s="2019"/>
      <c r="AM139" s="2021"/>
      <c r="AN139" s="2018"/>
      <c r="AO139" s="477"/>
      <c r="AP139" s="477"/>
      <c r="AQ139" s="477"/>
    </row>
    <row r="140" spans="1:43" ht="15">
      <c r="A140" s="474"/>
      <c r="B140" s="2016"/>
      <c r="C140" s="2017"/>
      <c r="D140" s="2018"/>
      <c r="F140" s="2019"/>
      <c r="G140" s="2017"/>
      <c r="H140" s="2018"/>
      <c r="J140" s="2019"/>
      <c r="K140" s="2017"/>
      <c r="L140" s="2018"/>
      <c r="M140" s="474"/>
      <c r="N140" s="2019"/>
      <c r="O140" s="2017"/>
      <c r="P140" s="2018"/>
      <c r="R140" s="2019"/>
      <c r="S140" s="2017"/>
      <c r="T140" s="2018"/>
      <c r="V140" s="2019"/>
      <c r="W140" s="2017"/>
      <c r="X140" s="2020"/>
      <c r="Z140" s="2019"/>
      <c r="AA140" s="2017"/>
      <c r="AB140" s="2018"/>
      <c r="AC140" s="474"/>
      <c r="AD140" s="2019"/>
      <c r="AE140" s="2017"/>
      <c r="AF140" s="2018"/>
      <c r="AH140" s="2019"/>
      <c r="AI140" s="2021"/>
      <c r="AJ140" s="2018"/>
      <c r="AL140" s="2019"/>
      <c r="AM140" s="2021"/>
      <c r="AN140" s="2018"/>
      <c r="AO140" s="477"/>
      <c r="AP140" s="477"/>
      <c r="AQ140" s="477"/>
    </row>
    <row r="141" spans="1:43" ht="15">
      <c r="A141" s="474"/>
      <c r="B141" s="2016"/>
      <c r="C141" s="2017"/>
      <c r="D141" s="2018"/>
      <c r="F141" s="2019"/>
      <c r="G141" s="2017"/>
      <c r="H141" s="2018"/>
      <c r="J141" s="2019"/>
      <c r="K141" s="2017"/>
      <c r="L141" s="2018"/>
      <c r="M141" s="474"/>
      <c r="N141" s="2019"/>
      <c r="O141" s="2017"/>
      <c r="P141" s="2018"/>
      <c r="R141" s="2019"/>
      <c r="S141" s="2017"/>
      <c r="T141" s="2018"/>
      <c r="V141" s="2019"/>
      <c r="W141" s="2017"/>
      <c r="X141" s="2020"/>
      <c r="Z141" s="2019"/>
      <c r="AA141" s="2017"/>
      <c r="AB141" s="2018"/>
      <c r="AC141" s="474"/>
      <c r="AD141" s="2019"/>
      <c r="AE141" s="2017"/>
      <c r="AF141" s="2018"/>
      <c r="AH141" s="2019"/>
      <c r="AI141" s="2021"/>
      <c r="AJ141" s="2018"/>
      <c r="AL141" s="2019"/>
      <c r="AM141" s="2021"/>
      <c r="AN141" s="2018"/>
      <c r="AO141" s="477"/>
      <c r="AP141" s="477"/>
      <c r="AQ141" s="477"/>
    </row>
    <row r="142" spans="1:43" ht="15">
      <c r="A142" s="474"/>
      <c r="B142" s="2016"/>
      <c r="C142" s="2017"/>
      <c r="D142" s="2018"/>
      <c r="F142" s="2019"/>
      <c r="G142" s="2017"/>
      <c r="H142" s="2018"/>
      <c r="J142" s="2019"/>
      <c r="K142" s="2017"/>
      <c r="L142" s="2018"/>
      <c r="M142" s="474"/>
      <c r="N142" s="2019"/>
      <c r="O142" s="2017"/>
      <c r="P142" s="2018"/>
      <c r="R142" s="2019"/>
      <c r="S142" s="2017"/>
      <c r="T142" s="2018"/>
      <c r="V142" s="2019"/>
      <c r="W142" s="2017"/>
      <c r="X142" s="2020"/>
      <c r="Z142" s="2019"/>
      <c r="AA142" s="2017"/>
      <c r="AB142" s="2018"/>
      <c r="AC142" s="474"/>
      <c r="AD142" s="2019"/>
      <c r="AE142" s="2017"/>
      <c r="AF142" s="2018"/>
      <c r="AH142" s="2019"/>
      <c r="AI142" s="2021"/>
      <c r="AJ142" s="2018"/>
      <c r="AL142" s="2019"/>
      <c r="AM142" s="2021"/>
      <c r="AN142" s="2018"/>
      <c r="AO142" s="477"/>
      <c r="AP142" s="477"/>
      <c r="AQ142" s="477"/>
    </row>
    <row r="143" spans="1:43" ht="15">
      <c r="A143" s="474"/>
      <c r="B143" s="2016"/>
      <c r="C143" s="2017"/>
      <c r="D143" s="2018"/>
      <c r="F143" s="2019"/>
      <c r="G143" s="2017"/>
      <c r="H143" s="2018"/>
      <c r="J143" s="2019"/>
      <c r="K143" s="2017"/>
      <c r="L143" s="2018"/>
      <c r="M143" s="474"/>
      <c r="N143" s="2019"/>
      <c r="O143" s="2017"/>
      <c r="P143" s="2018"/>
      <c r="R143" s="2019"/>
      <c r="S143" s="2017"/>
      <c r="T143" s="2018"/>
      <c r="V143" s="2019"/>
      <c r="W143" s="2017"/>
      <c r="X143" s="2020"/>
      <c r="Z143" s="2019"/>
      <c r="AA143" s="2017"/>
      <c r="AB143" s="2018"/>
      <c r="AC143" s="474"/>
      <c r="AD143" s="2019"/>
      <c r="AE143" s="2017"/>
      <c r="AF143" s="2018"/>
      <c r="AH143" s="2019"/>
      <c r="AI143" s="2021"/>
      <c r="AJ143" s="2018"/>
      <c r="AL143" s="2019"/>
      <c r="AM143" s="2021"/>
      <c r="AN143" s="2018"/>
      <c r="AO143" s="477"/>
      <c r="AP143" s="477"/>
      <c r="AQ143" s="477"/>
    </row>
    <row r="144" spans="1:43" ht="15">
      <c r="A144" s="474"/>
      <c r="B144" s="2016"/>
      <c r="C144" s="2017"/>
      <c r="D144" s="2018"/>
      <c r="F144" s="2019"/>
      <c r="G144" s="2017"/>
      <c r="H144" s="2018"/>
      <c r="J144" s="2019"/>
      <c r="K144" s="2017"/>
      <c r="L144" s="2018"/>
      <c r="M144" s="474"/>
      <c r="N144" s="2019"/>
      <c r="O144" s="2017"/>
      <c r="P144" s="2018"/>
      <c r="R144" s="2019"/>
      <c r="S144" s="2017"/>
      <c r="T144" s="2018"/>
      <c r="V144" s="2019"/>
      <c r="W144" s="2017"/>
      <c r="X144" s="2020"/>
      <c r="Z144" s="2019"/>
      <c r="AA144" s="2017"/>
      <c r="AB144" s="2018"/>
      <c r="AC144" s="474"/>
      <c r="AD144" s="2019"/>
      <c r="AE144" s="2017"/>
      <c r="AF144" s="2018"/>
      <c r="AH144" s="2019"/>
      <c r="AI144" s="2021"/>
      <c r="AJ144" s="2018"/>
      <c r="AL144" s="2019"/>
      <c r="AM144" s="2021"/>
      <c r="AN144" s="2018"/>
      <c r="AO144" s="477"/>
      <c r="AP144" s="477"/>
      <c r="AQ144" s="477"/>
    </row>
    <row r="145" spans="1:43" ht="15">
      <c r="A145" s="474"/>
      <c r="B145" s="2016"/>
      <c r="C145" s="2017"/>
      <c r="D145" s="2018"/>
      <c r="F145" s="2019"/>
      <c r="G145" s="2017"/>
      <c r="H145" s="2018"/>
      <c r="J145" s="2019"/>
      <c r="K145" s="2017"/>
      <c r="L145" s="2018"/>
      <c r="M145" s="474"/>
      <c r="N145" s="2019"/>
      <c r="O145" s="2017"/>
      <c r="P145" s="2018"/>
      <c r="R145" s="2019"/>
      <c r="S145" s="2017"/>
      <c r="T145" s="2018"/>
      <c r="V145" s="2019"/>
      <c r="W145" s="2017"/>
      <c r="X145" s="2020"/>
      <c r="Z145" s="2019"/>
      <c r="AA145" s="2017"/>
      <c r="AB145" s="2018"/>
      <c r="AC145" s="474"/>
      <c r="AD145" s="2019"/>
      <c r="AE145" s="2017"/>
      <c r="AF145" s="2018"/>
      <c r="AH145" s="2019"/>
      <c r="AI145" s="2021"/>
      <c r="AJ145" s="2018"/>
      <c r="AL145" s="2019"/>
      <c r="AM145" s="2021"/>
      <c r="AN145" s="2018"/>
      <c r="AO145" s="477"/>
      <c r="AP145" s="477"/>
      <c r="AQ145" s="477"/>
    </row>
    <row r="146" spans="1:43" ht="15">
      <c r="A146" s="474"/>
      <c r="B146" s="2016"/>
      <c r="C146" s="2017"/>
      <c r="D146" s="2018"/>
      <c r="F146" s="2019"/>
      <c r="G146" s="2017"/>
      <c r="H146" s="2018"/>
      <c r="J146" s="2019"/>
      <c r="K146" s="2017"/>
      <c r="L146" s="2018"/>
      <c r="M146" s="474"/>
      <c r="N146" s="2019"/>
      <c r="O146" s="2017"/>
      <c r="P146" s="2018"/>
      <c r="R146" s="2019"/>
      <c r="S146" s="2017"/>
      <c r="T146" s="2018"/>
      <c r="V146" s="2019"/>
      <c r="W146" s="2017"/>
      <c r="X146" s="2020"/>
      <c r="Z146" s="2019"/>
      <c r="AA146" s="2017"/>
      <c r="AB146" s="2018"/>
      <c r="AC146" s="474"/>
      <c r="AD146" s="2019"/>
      <c r="AE146" s="2017"/>
      <c r="AF146" s="2018"/>
      <c r="AH146" s="2019"/>
      <c r="AI146" s="2021"/>
      <c r="AJ146" s="2018"/>
      <c r="AL146" s="2019"/>
      <c r="AM146" s="2021"/>
      <c r="AN146" s="2018"/>
      <c r="AO146" s="477"/>
      <c r="AP146" s="477"/>
      <c r="AQ146" s="477"/>
    </row>
    <row r="147" spans="1:43" ht="15">
      <c r="A147" s="474"/>
      <c r="B147" s="2016"/>
      <c r="C147" s="2017"/>
      <c r="D147" s="2018"/>
      <c r="F147" s="2019"/>
      <c r="G147" s="2017"/>
      <c r="H147" s="2018"/>
      <c r="J147" s="2019"/>
      <c r="K147" s="2017"/>
      <c r="L147" s="2018"/>
      <c r="M147" s="474"/>
      <c r="N147" s="2019"/>
      <c r="O147" s="2017"/>
      <c r="P147" s="2018"/>
      <c r="R147" s="2019"/>
      <c r="S147" s="2017"/>
      <c r="T147" s="2018"/>
      <c r="V147" s="2019"/>
      <c r="W147" s="2017"/>
      <c r="X147" s="2020"/>
      <c r="Z147" s="2019"/>
      <c r="AA147" s="2017"/>
      <c r="AB147" s="2018"/>
      <c r="AC147" s="474"/>
      <c r="AD147" s="2019"/>
      <c r="AE147" s="2017"/>
      <c r="AF147" s="2018"/>
      <c r="AH147" s="2019"/>
      <c r="AI147" s="2021"/>
      <c r="AJ147" s="2018"/>
      <c r="AL147" s="2019"/>
      <c r="AM147" s="2021"/>
      <c r="AN147" s="2018"/>
      <c r="AO147" s="477"/>
      <c r="AP147" s="477"/>
      <c r="AQ147" s="477"/>
    </row>
    <row r="148" spans="1:43" ht="15">
      <c r="A148" s="474"/>
      <c r="B148" s="2016"/>
      <c r="C148" s="2017"/>
      <c r="D148" s="2018"/>
      <c r="F148" s="2019"/>
      <c r="G148" s="2017"/>
      <c r="H148" s="2018"/>
      <c r="J148" s="2019"/>
      <c r="K148" s="2017"/>
      <c r="L148" s="2018"/>
      <c r="M148" s="474"/>
      <c r="N148" s="2019"/>
      <c r="O148" s="2017"/>
      <c r="P148" s="2018"/>
      <c r="R148" s="2019"/>
      <c r="S148" s="2017"/>
      <c r="T148" s="2018"/>
      <c r="V148" s="2019"/>
      <c r="W148" s="2017"/>
      <c r="X148" s="2020"/>
      <c r="Z148" s="2019"/>
      <c r="AA148" s="2017"/>
      <c r="AB148" s="2018"/>
      <c r="AC148" s="474"/>
      <c r="AD148" s="2019"/>
      <c r="AE148" s="2017"/>
      <c r="AF148" s="2018"/>
      <c r="AH148" s="2019"/>
      <c r="AI148" s="2021"/>
      <c r="AJ148" s="2018"/>
      <c r="AL148" s="2019"/>
      <c r="AM148" s="2021"/>
      <c r="AN148" s="2018"/>
      <c r="AO148" s="477"/>
      <c r="AP148" s="477"/>
      <c r="AQ148" s="477"/>
    </row>
    <row r="149" spans="1:43" ht="15">
      <c r="A149" s="474"/>
      <c r="B149" s="2022"/>
      <c r="C149" s="2023"/>
      <c r="D149" s="2024"/>
      <c r="F149" s="2022"/>
      <c r="G149" s="2023"/>
      <c r="H149" s="2024"/>
      <c r="J149" s="2022"/>
      <c r="K149" s="2023"/>
      <c r="L149" s="2024"/>
      <c r="M149" s="474"/>
      <c r="N149" s="2022"/>
      <c r="O149" s="2023"/>
      <c r="P149" s="2024"/>
      <c r="R149" s="2022"/>
      <c r="S149" s="2023"/>
      <c r="T149" s="2024"/>
      <c r="V149" s="2022"/>
      <c r="W149" s="2023"/>
      <c r="X149" s="2025"/>
      <c r="Z149" s="2022"/>
      <c r="AA149" s="2023"/>
      <c r="AB149" s="2024"/>
      <c r="AC149" s="474"/>
      <c r="AD149" s="2022"/>
      <c r="AE149" s="2023"/>
      <c r="AF149" s="2024"/>
      <c r="AH149" s="2022"/>
      <c r="AI149" s="2026"/>
      <c r="AJ149" s="2024"/>
      <c r="AL149" s="2022"/>
      <c r="AM149" s="2026"/>
      <c r="AN149" s="2024"/>
      <c r="AO149" s="477"/>
      <c r="AP149" s="477"/>
      <c r="AQ149" s="477"/>
    </row>
    <row r="150" spans="1:43" ht="15">
      <c r="A150" s="474"/>
      <c r="B150" s="2022"/>
      <c r="C150" s="2023"/>
      <c r="D150" s="2024"/>
      <c r="F150" s="2022"/>
      <c r="G150" s="2023"/>
      <c r="H150" s="2024"/>
      <c r="J150" s="2022"/>
      <c r="K150" s="2023"/>
      <c r="L150" s="2024"/>
      <c r="M150" s="474"/>
      <c r="N150" s="2022"/>
      <c r="O150" s="2023"/>
      <c r="P150" s="2024"/>
      <c r="R150" s="2022"/>
      <c r="S150" s="2023"/>
      <c r="T150" s="2024"/>
      <c r="V150" s="2022"/>
      <c r="W150" s="2023"/>
      <c r="X150" s="2025"/>
      <c r="Z150" s="2022"/>
      <c r="AA150" s="2023"/>
      <c r="AB150" s="2024"/>
      <c r="AC150" s="474"/>
      <c r="AD150" s="2022"/>
      <c r="AE150" s="2023"/>
      <c r="AF150" s="2024"/>
      <c r="AH150" s="2022"/>
      <c r="AI150" s="2026"/>
      <c r="AJ150" s="2024"/>
      <c r="AL150" s="2022"/>
      <c r="AM150" s="2026"/>
      <c r="AN150" s="2024"/>
      <c r="AO150" s="477"/>
      <c r="AP150" s="477"/>
      <c r="AQ150" s="477"/>
    </row>
    <row r="151" spans="1:43" ht="15">
      <c r="A151" s="474"/>
      <c r="B151" s="2022"/>
      <c r="C151" s="2023"/>
      <c r="D151" s="2024"/>
      <c r="F151" s="2022"/>
      <c r="G151" s="2023"/>
      <c r="H151" s="2024"/>
      <c r="J151" s="2022"/>
      <c r="K151" s="2023"/>
      <c r="L151" s="2024"/>
      <c r="M151" s="474"/>
      <c r="N151" s="2022"/>
      <c r="O151" s="2023"/>
      <c r="P151" s="2024"/>
      <c r="R151" s="2022"/>
      <c r="S151" s="2023"/>
      <c r="T151" s="2024"/>
      <c r="V151" s="2022"/>
      <c r="W151" s="2023"/>
      <c r="X151" s="2025"/>
      <c r="Z151" s="2022"/>
      <c r="AA151" s="2023"/>
      <c r="AB151" s="2024"/>
      <c r="AC151" s="474"/>
      <c r="AD151" s="2022"/>
      <c r="AE151" s="2023"/>
      <c r="AF151" s="2024"/>
      <c r="AH151" s="2022"/>
      <c r="AI151" s="2026"/>
      <c r="AJ151" s="2024"/>
      <c r="AL151" s="2022"/>
      <c r="AM151" s="2026"/>
      <c r="AN151" s="2024"/>
      <c r="AO151" s="477"/>
      <c r="AP151" s="477"/>
      <c r="AQ151" s="477"/>
    </row>
    <row r="152" spans="1:43" ht="15">
      <c r="A152" s="474"/>
      <c r="B152" s="2022"/>
      <c r="C152" s="2023"/>
      <c r="D152" s="2024"/>
      <c r="F152" s="2022"/>
      <c r="G152" s="2023"/>
      <c r="H152" s="2024"/>
      <c r="J152" s="2022"/>
      <c r="K152" s="2023"/>
      <c r="L152" s="2024"/>
      <c r="M152" s="474"/>
      <c r="N152" s="2022"/>
      <c r="O152" s="2023"/>
      <c r="P152" s="2024"/>
      <c r="R152" s="2022"/>
      <c r="S152" s="2023"/>
      <c r="T152" s="2024"/>
      <c r="V152" s="2022"/>
      <c r="W152" s="2023"/>
      <c r="X152" s="2025"/>
      <c r="Z152" s="2022"/>
      <c r="AA152" s="2023"/>
      <c r="AB152" s="2024"/>
      <c r="AC152" s="474"/>
      <c r="AD152" s="2022"/>
      <c r="AE152" s="2023"/>
      <c r="AF152" s="2024"/>
      <c r="AH152" s="2022"/>
      <c r="AI152" s="2026"/>
      <c r="AJ152" s="2024"/>
      <c r="AL152" s="2022"/>
      <c r="AM152" s="2026"/>
      <c r="AN152" s="2024"/>
      <c r="AO152" s="477"/>
      <c r="AP152" s="477"/>
      <c r="AQ152" s="477"/>
    </row>
    <row r="153" spans="1:43" ht="15">
      <c r="A153" s="474"/>
      <c r="B153" s="2022"/>
      <c r="C153" s="2023"/>
      <c r="D153" s="2024"/>
      <c r="F153" s="2022"/>
      <c r="G153" s="2023"/>
      <c r="H153" s="2024"/>
      <c r="J153" s="2022"/>
      <c r="K153" s="2023"/>
      <c r="L153" s="2024"/>
      <c r="M153" s="474"/>
      <c r="N153" s="2022"/>
      <c r="O153" s="2023"/>
      <c r="P153" s="2024"/>
      <c r="R153" s="2022"/>
      <c r="S153" s="2023"/>
      <c r="T153" s="2024"/>
      <c r="V153" s="2022"/>
      <c r="W153" s="2023"/>
      <c r="X153" s="2025"/>
      <c r="Z153" s="2022"/>
      <c r="AA153" s="2023"/>
      <c r="AB153" s="2024"/>
      <c r="AC153" s="474"/>
      <c r="AD153" s="2022"/>
      <c r="AE153" s="2023"/>
      <c r="AF153" s="2024"/>
      <c r="AH153" s="2022"/>
      <c r="AI153" s="2026"/>
      <c r="AJ153" s="2024"/>
      <c r="AL153" s="2022"/>
      <c r="AM153" s="2026"/>
      <c r="AN153" s="2024"/>
      <c r="AO153" s="477"/>
      <c r="AP153" s="477"/>
      <c r="AQ153" s="477"/>
    </row>
    <row r="154" spans="1:43" ht="15">
      <c r="A154" s="474"/>
      <c r="B154" s="2022"/>
      <c r="C154" s="2023"/>
      <c r="D154" s="2024"/>
      <c r="F154" s="2022"/>
      <c r="G154" s="2023"/>
      <c r="H154" s="2024"/>
      <c r="J154" s="2022"/>
      <c r="K154" s="2023"/>
      <c r="L154" s="2024"/>
      <c r="M154" s="474"/>
      <c r="N154" s="2022"/>
      <c r="O154" s="2023"/>
      <c r="P154" s="2024"/>
      <c r="R154" s="2022"/>
      <c r="S154" s="2023"/>
      <c r="T154" s="2024"/>
      <c r="V154" s="2022"/>
      <c r="W154" s="2023"/>
      <c r="X154" s="2025"/>
      <c r="Z154" s="2022"/>
      <c r="AA154" s="2023"/>
      <c r="AB154" s="2024"/>
      <c r="AC154" s="474"/>
      <c r="AD154" s="2022"/>
      <c r="AE154" s="2023"/>
      <c r="AF154" s="2024"/>
      <c r="AH154" s="2022"/>
      <c r="AI154" s="2026"/>
      <c r="AJ154" s="2024"/>
      <c r="AL154" s="2022"/>
      <c r="AM154" s="2026"/>
      <c r="AN154" s="2024"/>
      <c r="AO154" s="477"/>
      <c r="AP154" s="477"/>
      <c r="AQ154" s="477"/>
    </row>
    <row r="155" spans="1:43" ht="15">
      <c r="A155" s="474"/>
      <c r="B155" s="2022"/>
      <c r="C155" s="2023"/>
      <c r="D155" s="2024"/>
      <c r="F155" s="2022"/>
      <c r="G155" s="2023"/>
      <c r="H155" s="2024"/>
      <c r="J155" s="2022"/>
      <c r="K155" s="2023"/>
      <c r="L155" s="2024"/>
      <c r="M155" s="474"/>
      <c r="N155" s="2022"/>
      <c r="O155" s="2023"/>
      <c r="P155" s="2024"/>
      <c r="R155" s="2022"/>
      <c r="S155" s="2023"/>
      <c r="T155" s="2024"/>
      <c r="V155" s="2022"/>
      <c r="W155" s="2023"/>
      <c r="X155" s="2025"/>
      <c r="Z155" s="2022"/>
      <c r="AA155" s="2023"/>
      <c r="AB155" s="2024"/>
      <c r="AC155" s="474"/>
      <c r="AD155" s="2022"/>
      <c r="AE155" s="2023"/>
      <c r="AF155" s="2024"/>
      <c r="AH155" s="2022"/>
      <c r="AI155" s="2026"/>
      <c r="AJ155" s="2024"/>
      <c r="AL155" s="2022"/>
      <c r="AM155" s="2026"/>
      <c r="AN155" s="2024"/>
      <c r="AO155" s="477"/>
      <c r="AP155" s="477"/>
      <c r="AQ155" s="477"/>
    </row>
    <row r="156" spans="1:43" ht="15">
      <c r="A156" s="474"/>
      <c r="B156" s="2022"/>
      <c r="C156" s="2023"/>
      <c r="D156" s="2024"/>
      <c r="F156" s="2022"/>
      <c r="G156" s="2023"/>
      <c r="H156" s="2024"/>
      <c r="J156" s="2022"/>
      <c r="K156" s="2023"/>
      <c r="L156" s="2024"/>
      <c r="M156" s="474"/>
      <c r="N156" s="2022"/>
      <c r="O156" s="2023"/>
      <c r="P156" s="2024"/>
      <c r="R156" s="2022"/>
      <c r="S156" s="2023"/>
      <c r="T156" s="2024"/>
      <c r="V156" s="2022"/>
      <c r="W156" s="2023"/>
      <c r="X156" s="2025"/>
      <c r="Z156" s="2022"/>
      <c r="AA156" s="2023"/>
      <c r="AB156" s="2024"/>
      <c r="AC156" s="474"/>
      <c r="AD156" s="2022"/>
      <c r="AE156" s="2023"/>
      <c r="AF156" s="2024"/>
      <c r="AH156" s="2022"/>
      <c r="AI156" s="2026"/>
      <c r="AJ156" s="2024"/>
      <c r="AL156" s="2022"/>
      <c r="AM156" s="2026"/>
      <c r="AN156" s="2024"/>
      <c r="AO156" s="477"/>
      <c r="AP156" s="477"/>
      <c r="AQ156" s="477"/>
    </row>
    <row r="157" spans="1:43" ht="15">
      <c r="A157" s="474"/>
      <c r="B157" s="2022"/>
      <c r="C157" s="2023"/>
      <c r="D157" s="2024"/>
      <c r="F157" s="2022"/>
      <c r="G157" s="2023"/>
      <c r="H157" s="2024"/>
      <c r="J157" s="2022"/>
      <c r="K157" s="2023"/>
      <c r="L157" s="2024"/>
      <c r="M157" s="474"/>
      <c r="N157" s="2022"/>
      <c r="O157" s="2023"/>
      <c r="P157" s="2024"/>
      <c r="R157" s="2022"/>
      <c r="S157" s="2023"/>
      <c r="T157" s="2024"/>
      <c r="V157" s="2022"/>
      <c r="W157" s="2023"/>
      <c r="X157" s="2025"/>
      <c r="Z157" s="2022"/>
      <c r="AA157" s="2023"/>
      <c r="AB157" s="2024"/>
      <c r="AC157" s="474"/>
      <c r="AD157" s="2022"/>
      <c r="AE157" s="2023"/>
      <c r="AF157" s="2024"/>
      <c r="AH157" s="2022"/>
      <c r="AI157" s="2026"/>
      <c r="AJ157" s="2024"/>
      <c r="AL157" s="2022"/>
      <c r="AM157" s="2026"/>
      <c r="AN157" s="2024"/>
      <c r="AO157" s="477"/>
      <c r="AP157" s="477"/>
      <c r="AQ157" s="477"/>
    </row>
    <row r="158" spans="1:43" ht="15">
      <c r="A158" s="474"/>
      <c r="B158" s="2022"/>
      <c r="C158" s="2023"/>
      <c r="D158" s="2024"/>
      <c r="F158" s="2022"/>
      <c r="G158" s="2023"/>
      <c r="H158" s="2024"/>
      <c r="J158" s="2022"/>
      <c r="K158" s="2023"/>
      <c r="L158" s="2024"/>
      <c r="M158" s="474"/>
      <c r="N158" s="2022"/>
      <c r="O158" s="2023"/>
      <c r="P158" s="2024"/>
      <c r="R158" s="2022"/>
      <c r="S158" s="2023"/>
      <c r="T158" s="2024"/>
      <c r="V158" s="2022"/>
      <c r="W158" s="2023"/>
      <c r="X158" s="2025"/>
      <c r="Z158" s="2022"/>
      <c r="AA158" s="2023"/>
      <c r="AB158" s="2024"/>
      <c r="AC158" s="474"/>
      <c r="AD158" s="2022"/>
      <c r="AE158" s="2023"/>
      <c r="AF158" s="2024"/>
      <c r="AH158" s="2022"/>
      <c r="AI158" s="2026"/>
      <c r="AJ158" s="2024"/>
      <c r="AL158" s="2022"/>
      <c r="AM158" s="2026"/>
      <c r="AN158" s="2024"/>
      <c r="AO158" s="477"/>
      <c r="AP158" s="477"/>
      <c r="AQ158" s="477"/>
    </row>
    <row r="159" spans="1:43" ht="15">
      <c r="A159" s="474"/>
      <c r="B159" s="2022"/>
      <c r="C159" s="2023"/>
      <c r="D159" s="2024"/>
      <c r="F159" s="2022"/>
      <c r="G159" s="2023"/>
      <c r="H159" s="2024"/>
      <c r="J159" s="2022"/>
      <c r="K159" s="2023"/>
      <c r="L159" s="2024"/>
      <c r="M159" s="474"/>
      <c r="N159" s="2022"/>
      <c r="O159" s="2023"/>
      <c r="P159" s="2024"/>
      <c r="R159" s="2022"/>
      <c r="S159" s="2023"/>
      <c r="T159" s="2024"/>
      <c r="V159" s="2022"/>
      <c r="W159" s="2023"/>
      <c r="X159" s="2025"/>
      <c r="Z159" s="2022"/>
      <c r="AA159" s="2023"/>
      <c r="AB159" s="2024"/>
      <c r="AC159" s="474"/>
      <c r="AD159" s="2022"/>
      <c r="AE159" s="2023"/>
      <c r="AF159" s="2024"/>
      <c r="AH159" s="2022"/>
      <c r="AI159" s="2026"/>
      <c r="AJ159" s="2024"/>
      <c r="AL159" s="2022"/>
      <c r="AM159" s="2026"/>
      <c r="AN159" s="2024"/>
      <c r="AO159" s="477"/>
      <c r="AP159" s="477"/>
      <c r="AQ159" s="477"/>
    </row>
    <row r="160" spans="1:43" ht="15">
      <c r="A160" s="474"/>
      <c r="B160" s="2022"/>
      <c r="C160" s="2023"/>
      <c r="D160" s="2024"/>
      <c r="F160" s="2022"/>
      <c r="G160" s="2023"/>
      <c r="H160" s="2024"/>
      <c r="J160" s="2022"/>
      <c r="K160" s="2023"/>
      <c r="L160" s="2024"/>
      <c r="M160" s="474"/>
      <c r="N160" s="2022"/>
      <c r="O160" s="2023"/>
      <c r="P160" s="2024"/>
      <c r="R160" s="2022"/>
      <c r="S160" s="2023"/>
      <c r="T160" s="2024"/>
      <c r="V160" s="2022"/>
      <c r="W160" s="2023"/>
      <c r="X160" s="2025"/>
      <c r="Z160" s="2022"/>
      <c r="AA160" s="2023"/>
      <c r="AB160" s="2024"/>
      <c r="AC160" s="474"/>
      <c r="AD160" s="2022"/>
      <c r="AE160" s="2023"/>
      <c r="AF160" s="2024"/>
      <c r="AH160" s="2022"/>
      <c r="AI160" s="2026"/>
      <c r="AJ160" s="2024"/>
      <c r="AL160" s="2022"/>
      <c r="AM160" s="2026"/>
      <c r="AN160" s="2024"/>
      <c r="AO160" s="477"/>
      <c r="AP160" s="477"/>
      <c r="AQ160" s="477"/>
    </row>
    <row r="161" spans="1:43" ht="15">
      <c r="A161" s="474"/>
      <c r="B161" s="2022"/>
      <c r="C161" s="2023"/>
      <c r="D161" s="2024"/>
      <c r="F161" s="2022"/>
      <c r="G161" s="2023"/>
      <c r="H161" s="2024"/>
      <c r="J161" s="2022"/>
      <c r="K161" s="2023"/>
      <c r="L161" s="2024"/>
      <c r="M161" s="474"/>
      <c r="N161" s="2022"/>
      <c r="O161" s="2023"/>
      <c r="P161" s="2024"/>
      <c r="R161" s="2022"/>
      <c r="S161" s="2023"/>
      <c r="T161" s="2024"/>
      <c r="V161" s="2022"/>
      <c r="W161" s="2023"/>
      <c r="X161" s="2025"/>
      <c r="Z161" s="2022"/>
      <c r="AA161" s="2023"/>
      <c r="AB161" s="2024"/>
      <c r="AC161" s="474"/>
      <c r="AD161" s="2022"/>
      <c r="AE161" s="2023"/>
      <c r="AF161" s="2024"/>
      <c r="AH161" s="2022"/>
      <c r="AI161" s="2026"/>
      <c r="AJ161" s="2024"/>
      <c r="AL161" s="2022"/>
      <c r="AM161" s="2026"/>
      <c r="AN161" s="2024"/>
      <c r="AO161" s="477"/>
      <c r="AP161" s="477"/>
      <c r="AQ161" s="477"/>
    </row>
    <row r="162" spans="1:43" ht="15">
      <c r="A162" s="474"/>
      <c r="B162" s="2022"/>
      <c r="C162" s="2023"/>
      <c r="D162" s="2024"/>
      <c r="F162" s="2022"/>
      <c r="G162" s="2023"/>
      <c r="H162" s="2024"/>
      <c r="J162" s="2022"/>
      <c r="K162" s="2023"/>
      <c r="L162" s="2024"/>
      <c r="M162" s="474"/>
      <c r="N162" s="2022"/>
      <c r="O162" s="2023"/>
      <c r="P162" s="2024"/>
      <c r="R162" s="2022"/>
      <c r="S162" s="2023"/>
      <c r="T162" s="2024"/>
      <c r="V162" s="2022"/>
      <c r="W162" s="2023"/>
      <c r="X162" s="2025"/>
      <c r="Z162" s="2022"/>
      <c r="AA162" s="2023"/>
      <c r="AB162" s="2024"/>
      <c r="AC162" s="474"/>
      <c r="AD162" s="2022"/>
      <c r="AE162" s="2023"/>
      <c r="AF162" s="2024"/>
      <c r="AH162" s="2022"/>
      <c r="AI162" s="2026"/>
      <c r="AJ162" s="2024"/>
      <c r="AL162" s="2022"/>
      <c r="AM162" s="2026"/>
      <c r="AN162" s="2024"/>
      <c r="AO162" s="477"/>
      <c r="AP162" s="477"/>
      <c r="AQ162" s="477"/>
    </row>
    <row r="163" spans="1:43" ht="15">
      <c r="A163" s="474"/>
      <c r="B163" s="2022"/>
      <c r="C163" s="2023"/>
      <c r="D163" s="2024"/>
      <c r="F163" s="2022"/>
      <c r="G163" s="2023"/>
      <c r="H163" s="2024"/>
      <c r="J163" s="2022"/>
      <c r="K163" s="2023"/>
      <c r="L163" s="2024"/>
      <c r="M163" s="474"/>
      <c r="N163" s="2022"/>
      <c r="O163" s="2023"/>
      <c r="P163" s="2024"/>
      <c r="R163" s="2022"/>
      <c r="S163" s="2023"/>
      <c r="T163" s="2024"/>
      <c r="V163" s="2022"/>
      <c r="W163" s="2023"/>
      <c r="X163" s="2025"/>
      <c r="Z163" s="2022"/>
      <c r="AA163" s="2023"/>
      <c r="AB163" s="2024"/>
      <c r="AC163" s="474"/>
      <c r="AD163" s="2022"/>
      <c r="AE163" s="2023"/>
      <c r="AF163" s="2024"/>
      <c r="AH163" s="2022"/>
      <c r="AI163" s="2026"/>
      <c r="AJ163" s="2024"/>
      <c r="AL163" s="2022"/>
      <c r="AM163" s="2026"/>
      <c r="AN163" s="2024"/>
      <c r="AO163" s="477"/>
      <c r="AP163" s="477"/>
      <c r="AQ163" s="477"/>
    </row>
    <row r="164" spans="1:43" ht="15">
      <c r="A164" s="474"/>
      <c r="B164" s="2022"/>
      <c r="C164" s="2023"/>
      <c r="D164" s="2024"/>
      <c r="F164" s="2022"/>
      <c r="G164" s="2023"/>
      <c r="H164" s="2024"/>
      <c r="J164" s="2022"/>
      <c r="K164" s="2023"/>
      <c r="L164" s="2024"/>
      <c r="M164" s="474"/>
      <c r="N164" s="2022"/>
      <c r="O164" s="2023"/>
      <c r="P164" s="2024"/>
      <c r="R164" s="2022"/>
      <c r="S164" s="2023"/>
      <c r="T164" s="2024"/>
      <c r="V164" s="2022"/>
      <c r="W164" s="2023"/>
      <c r="X164" s="2025"/>
      <c r="Z164" s="2022"/>
      <c r="AA164" s="2023"/>
      <c r="AB164" s="2024"/>
      <c r="AC164" s="474"/>
      <c r="AD164" s="2022"/>
      <c r="AE164" s="2023"/>
      <c r="AF164" s="2024"/>
      <c r="AH164" s="2022"/>
      <c r="AI164" s="2026"/>
      <c r="AJ164" s="2024"/>
      <c r="AL164" s="2022"/>
      <c r="AM164" s="2026"/>
      <c r="AN164" s="2024"/>
      <c r="AO164" s="477"/>
      <c r="AP164" s="477"/>
      <c r="AQ164" s="477"/>
    </row>
    <row r="165" spans="1:43" ht="15">
      <c r="A165" s="474"/>
      <c r="B165" s="2022"/>
      <c r="C165" s="2023"/>
      <c r="D165" s="2024"/>
      <c r="F165" s="2022"/>
      <c r="G165" s="2023"/>
      <c r="H165" s="2024"/>
      <c r="J165" s="2022"/>
      <c r="K165" s="2023"/>
      <c r="L165" s="2024"/>
      <c r="M165" s="474"/>
      <c r="N165" s="2022"/>
      <c r="O165" s="2023"/>
      <c r="P165" s="2024"/>
      <c r="R165" s="2022"/>
      <c r="S165" s="2023"/>
      <c r="T165" s="2024"/>
      <c r="V165" s="2022"/>
      <c r="W165" s="2023"/>
      <c r="X165" s="2025"/>
      <c r="Z165" s="2022"/>
      <c r="AA165" s="2023"/>
      <c r="AB165" s="2024"/>
      <c r="AC165" s="474"/>
      <c r="AD165" s="2022"/>
      <c r="AE165" s="2023"/>
      <c r="AF165" s="2024"/>
      <c r="AH165" s="2022"/>
      <c r="AI165" s="2026"/>
      <c r="AJ165" s="2024"/>
      <c r="AL165" s="2022"/>
      <c r="AM165" s="2026"/>
      <c r="AN165" s="2024"/>
      <c r="AO165" s="477"/>
      <c r="AP165" s="477"/>
      <c r="AQ165" s="477"/>
    </row>
    <row r="166" spans="1:43" ht="15">
      <c r="A166" s="474"/>
      <c r="B166" s="2022"/>
      <c r="C166" s="2023"/>
      <c r="D166" s="2024"/>
      <c r="F166" s="2022"/>
      <c r="G166" s="2023"/>
      <c r="H166" s="2024"/>
      <c r="J166" s="2022"/>
      <c r="K166" s="2023"/>
      <c r="L166" s="2024"/>
      <c r="M166" s="474"/>
      <c r="N166" s="2022"/>
      <c r="O166" s="2023"/>
      <c r="P166" s="2024"/>
      <c r="R166" s="2022"/>
      <c r="S166" s="2023"/>
      <c r="T166" s="2024"/>
      <c r="V166" s="2022"/>
      <c r="W166" s="2023"/>
      <c r="X166" s="2025"/>
      <c r="Z166" s="2022"/>
      <c r="AA166" s="2023"/>
      <c r="AB166" s="2024"/>
      <c r="AC166" s="474"/>
      <c r="AD166" s="2022"/>
      <c r="AE166" s="2023"/>
      <c r="AF166" s="2024"/>
      <c r="AH166" s="2022"/>
      <c r="AI166" s="2026"/>
      <c r="AJ166" s="2024"/>
      <c r="AL166" s="2022"/>
      <c r="AM166" s="2026"/>
      <c r="AN166" s="2024"/>
      <c r="AO166" s="477"/>
      <c r="AP166" s="477"/>
      <c r="AQ166" s="477"/>
    </row>
    <row r="167" spans="1:43" ht="15">
      <c r="A167" s="474"/>
      <c r="B167" s="2022"/>
      <c r="C167" s="2023"/>
      <c r="D167" s="2024"/>
      <c r="F167" s="2022"/>
      <c r="G167" s="2023"/>
      <c r="H167" s="2024"/>
      <c r="J167" s="2022"/>
      <c r="K167" s="2023"/>
      <c r="L167" s="2024"/>
      <c r="M167" s="474"/>
      <c r="N167" s="2022"/>
      <c r="O167" s="2023"/>
      <c r="P167" s="2024"/>
      <c r="R167" s="2022"/>
      <c r="S167" s="2023"/>
      <c r="T167" s="2024"/>
      <c r="V167" s="2022"/>
      <c r="W167" s="2023"/>
      <c r="X167" s="2025"/>
      <c r="Z167" s="2022"/>
      <c r="AA167" s="2023"/>
      <c r="AB167" s="2024"/>
      <c r="AC167" s="474"/>
      <c r="AD167" s="2022"/>
      <c r="AE167" s="2023"/>
      <c r="AF167" s="2024"/>
      <c r="AH167" s="2022"/>
      <c r="AI167" s="2026"/>
      <c r="AJ167" s="2024"/>
      <c r="AL167" s="2022"/>
      <c r="AM167" s="2026"/>
      <c r="AN167" s="2024"/>
      <c r="AO167" s="477"/>
      <c r="AP167" s="477"/>
      <c r="AQ167" s="477"/>
    </row>
    <row r="168" spans="1:43" ht="15">
      <c r="A168" s="474"/>
      <c r="B168" s="2022"/>
      <c r="C168" s="2023"/>
      <c r="D168" s="2024"/>
      <c r="F168" s="2022"/>
      <c r="G168" s="2023"/>
      <c r="H168" s="2024"/>
      <c r="J168" s="2022"/>
      <c r="K168" s="2023"/>
      <c r="L168" s="2024"/>
      <c r="M168" s="474"/>
      <c r="N168" s="2022"/>
      <c r="O168" s="2023"/>
      <c r="P168" s="2024"/>
      <c r="R168" s="2022"/>
      <c r="S168" s="2023"/>
      <c r="T168" s="2024"/>
      <c r="V168" s="2022"/>
      <c r="W168" s="2023"/>
      <c r="X168" s="2025"/>
      <c r="Z168" s="2022"/>
      <c r="AA168" s="2023"/>
      <c r="AB168" s="2024"/>
      <c r="AC168" s="474"/>
      <c r="AD168" s="2022"/>
      <c r="AE168" s="2023"/>
      <c r="AF168" s="2024"/>
      <c r="AH168" s="2022"/>
      <c r="AI168" s="2026"/>
      <c r="AJ168" s="2024"/>
      <c r="AL168" s="2022"/>
      <c r="AM168" s="2026"/>
      <c r="AN168" s="2024"/>
      <c r="AO168" s="477"/>
      <c r="AP168" s="477"/>
      <c r="AQ168" s="477"/>
    </row>
    <row r="169" spans="1:43" ht="15">
      <c r="A169" s="474"/>
      <c r="B169" s="2022"/>
      <c r="C169" s="2023"/>
      <c r="D169" s="2024"/>
      <c r="F169" s="2022"/>
      <c r="G169" s="2023"/>
      <c r="H169" s="2024"/>
      <c r="J169" s="2022"/>
      <c r="K169" s="2023"/>
      <c r="L169" s="2024"/>
      <c r="M169" s="474"/>
      <c r="N169" s="2022"/>
      <c r="O169" s="2023"/>
      <c r="P169" s="2024"/>
      <c r="R169" s="2022"/>
      <c r="S169" s="2023"/>
      <c r="T169" s="2024"/>
      <c r="V169" s="2022"/>
      <c r="W169" s="2023"/>
      <c r="X169" s="2025"/>
      <c r="Z169" s="2022"/>
      <c r="AA169" s="2023"/>
      <c r="AB169" s="2024"/>
      <c r="AC169" s="474"/>
      <c r="AD169" s="2022"/>
      <c r="AE169" s="2023"/>
      <c r="AF169" s="2024"/>
      <c r="AH169" s="2022"/>
      <c r="AI169" s="2026"/>
      <c r="AJ169" s="2024"/>
      <c r="AL169" s="2022"/>
      <c r="AM169" s="2026"/>
      <c r="AN169" s="2024"/>
      <c r="AO169" s="477"/>
      <c r="AP169" s="477"/>
      <c r="AQ169" s="477"/>
    </row>
    <row r="170" spans="1:43" ht="15">
      <c r="A170" s="474"/>
      <c r="B170" s="2022"/>
      <c r="C170" s="2023"/>
      <c r="D170" s="2024"/>
      <c r="F170" s="2022"/>
      <c r="G170" s="2023"/>
      <c r="H170" s="2024"/>
      <c r="J170" s="2022"/>
      <c r="K170" s="2023"/>
      <c r="L170" s="2024"/>
      <c r="M170" s="474"/>
      <c r="N170" s="2022"/>
      <c r="O170" s="2023"/>
      <c r="P170" s="2024"/>
      <c r="R170" s="2022"/>
      <c r="S170" s="2023"/>
      <c r="T170" s="2024"/>
      <c r="V170" s="2022"/>
      <c r="W170" s="2023"/>
      <c r="X170" s="2025"/>
      <c r="Z170" s="2022"/>
      <c r="AA170" s="2023"/>
      <c r="AB170" s="2024"/>
      <c r="AC170" s="474"/>
      <c r="AD170" s="2022"/>
      <c r="AE170" s="2023"/>
      <c r="AF170" s="2024"/>
      <c r="AH170" s="2022"/>
      <c r="AI170" s="2026"/>
      <c r="AJ170" s="2024"/>
      <c r="AL170" s="2022"/>
      <c r="AM170" s="2026"/>
      <c r="AN170" s="2024"/>
      <c r="AO170" s="477"/>
      <c r="AP170" s="477"/>
      <c r="AQ170" s="477"/>
    </row>
    <row r="171" spans="1:43" ht="15">
      <c r="A171" s="474"/>
      <c r="B171" s="2022"/>
      <c r="C171" s="2023"/>
      <c r="D171" s="2024"/>
      <c r="F171" s="2022"/>
      <c r="G171" s="2023"/>
      <c r="H171" s="2024"/>
      <c r="J171" s="2022"/>
      <c r="K171" s="2023"/>
      <c r="L171" s="2024"/>
      <c r="M171" s="474"/>
      <c r="N171" s="2022"/>
      <c r="O171" s="2023"/>
      <c r="P171" s="2024"/>
      <c r="R171" s="2022"/>
      <c r="S171" s="2023"/>
      <c r="T171" s="2024"/>
      <c r="V171" s="2022"/>
      <c r="W171" s="2023"/>
      <c r="X171" s="2025"/>
      <c r="Z171" s="2022"/>
      <c r="AA171" s="2023"/>
      <c r="AB171" s="2024"/>
      <c r="AC171" s="474"/>
      <c r="AD171" s="2022"/>
      <c r="AE171" s="2023"/>
      <c r="AF171" s="2024"/>
      <c r="AH171" s="2022"/>
      <c r="AI171" s="2026"/>
      <c r="AJ171" s="2024"/>
      <c r="AL171" s="2022"/>
      <c r="AM171" s="2026"/>
      <c r="AN171" s="2024"/>
      <c r="AO171" s="477"/>
      <c r="AP171" s="477"/>
      <c r="AQ171" s="477"/>
    </row>
    <row r="172" spans="1:43" ht="15">
      <c r="A172" s="474"/>
      <c r="B172" s="2022"/>
      <c r="C172" s="2023"/>
      <c r="D172" s="2024"/>
      <c r="F172" s="2022"/>
      <c r="G172" s="2023"/>
      <c r="H172" s="2024"/>
      <c r="J172" s="2022"/>
      <c r="K172" s="2023"/>
      <c r="L172" s="2024"/>
      <c r="M172" s="474"/>
      <c r="N172" s="2022"/>
      <c r="O172" s="2023"/>
      <c r="P172" s="2024"/>
      <c r="R172" s="2022"/>
      <c r="S172" s="2023"/>
      <c r="T172" s="2024"/>
      <c r="V172" s="2022"/>
      <c r="W172" s="2023"/>
      <c r="X172" s="2025"/>
      <c r="Z172" s="2022"/>
      <c r="AA172" s="2023"/>
      <c r="AB172" s="2024"/>
      <c r="AC172" s="474"/>
      <c r="AD172" s="2022"/>
      <c r="AE172" s="2023"/>
      <c r="AF172" s="2024"/>
      <c r="AH172" s="2022"/>
      <c r="AI172" s="2026"/>
      <c r="AJ172" s="2024"/>
      <c r="AL172" s="2022"/>
      <c r="AM172" s="2026"/>
      <c r="AN172" s="2024"/>
      <c r="AO172" s="477"/>
      <c r="AP172" s="477"/>
      <c r="AQ172" s="477"/>
    </row>
    <row r="173" spans="1:43" ht="15">
      <c r="A173" s="474"/>
      <c r="B173" s="2022"/>
      <c r="C173" s="2023"/>
      <c r="D173" s="2024"/>
      <c r="F173" s="2022"/>
      <c r="G173" s="2023"/>
      <c r="H173" s="2024"/>
      <c r="J173" s="2022"/>
      <c r="K173" s="2023"/>
      <c r="L173" s="2024"/>
      <c r="M173" s="474"/>
      <c r="N173" s="2022"/>
      <c r="O173" s="2023"/>
      <c r="P173" s="2024"/>
      <c r="R173" s="2022"/>
      <c r="S173" s="2023"/>
      <c r="T173" s="2024"/>
      <c r="V173" s="2022"/>
      <c r="W173" s="2023"/>
      <c r="X173" s="2025"/>
      <c r="Z173" s="2022"/>
      <c r="AA173" s="2023"/>
      <c r="AB173" s="2024"/>
      <c r="AC173" s="474"/>
      <c r="AD173" s="2022"/>
      <c r="AE173" s="2023"/>
      <c r="AF173" s="2024"/>
      <c r="AH173" s="2022"/>
      <c r="AI173" s="2026"/>
      <c r="AJ173" s="2024"/>
      <c r="AL173" s="2022"/>
      <c r="AM173" s="2026"/>
      <c r="AN173" s="2024"/>
      <c r="AO173" s="477"/>
      <c r="AP173" s="477"/>
      <c r="AQ173" s="477"/>
    </row>
    <row r="174" spans="1:43" ht="15">
      <c r="A174" s="474"/>
      <c r="B174" s="2022"/>
      <c r="C174" s="2023"/>
      <c r="D174" s="2024"/>
      <c r="F174" s="2022"/>
      <c r="G174" s="2023"/>
      <c r="H174" s="2024"/>
      <c r="J174" s="2022"/>
      <c r="K174" s="2023"/>
      <c r="L174" s="2024"/>
      <c r="M174" s="474"/>
      <c r="N174" s="2022"/>
      <c r="O174" s="2023"/>
      <c r="P174" s="2024"/>
      <c r="R174" s="2022"/>
      <c r="S174" s="2023"/>
      <c r="T174" s="2024"/>
      <c r="V174" s="2022"/>
      <c r="W174" s="2023"/>
      <c r="X174" s="2025"/>
      <c r="Z174" s="2022"/>
      <c r="AA174" s="2023"/>
      <c r="AB174" s="2024"/>
      <c r="AC174" s="474"/>
      <c r="AD174" s="2022"/>
      <c r="AE174" s="2023"/>
      <c r="AF174" s="2024"/>
      <c r="AH174" s="2022"/>
      <c r="AI174" s="2026"/>
      <c r="AJ174" s="2024"/>
      <c r="AL174" s="2022"/>
      <c r="AM174" s="2026"/>
      <c r="AN174" s="2024"/>
      <c r="AO174" s="477"/>
      <c r="AP174" s="477"/>
      <c r="AQ174" s="477"/>
    </row>
    <row r="175" spans="1:43" ht="15">
      <c r="A175" s="474"/>
      <c r="B175" s="2022"/>
      <c r="C175" s="2023"/>
      <c r="D175" s="2024"/>
      <c r="F175" s="2022"/>
      <c r="G175" s="2023"/>
      <c r="H175" s="2024"/>
      <c r="J175" s="2022"/>
      <c r="K175" s="2023"/>
      <c r="L175" s="2024"/>
      <c r="M175" s="474"/>
      <c r="N175" s="2022"/>
      <c r="O175" s="2023"/>
      <c r="P175" s="2024"/>
      <c r="R175" s="2022"/>
      <c r="S175" s="2023"/>
      <c r="T175" s="2024"/>
      <c r="V175" s="2022"/>
      <c r="W175" s="2023"/>
      <c r="X175" s="2025"/>
      <c r="Z175" s="2022"/>
      <c r="AA175" s="2023"/>
      <c r="AB175" s="2024"/>
      <c r="AC175" s="474"/>
      <c r="AD175" s="2022"/>
      <c r="AE175" s="2023"/>
      <c r="AF175" s="2024"/>
      <c r="AH175" s="2022"/>
      <c r="AI175" s="2026"/>
      <c r="AJ175" s="2024"/>
      <c r="AL175" s="2022"/>
      <c r="AM175" s="2026"/>
      <c r="AN175" s="2024"/>
      <c r="AO175" s="477"/>
      <c r="AP175" s="477"/>
      <c r="AQ175" s="477"/>
    </row>
    <row r="176" spans="1:43" ht="15">
      <c r="A176" s="474"/>
      <c r="B176" s="2022"/>
      <c r="C176" s="2023"/>
      <c r="D176" s="2024"/>
      <c r="F176" s="2022"/>
      <c r="G176" s="2023"/>
      <c r="H176" s="2024"/>
      <c r="J176" s="2022"/>
      <c r="K176" s="2023"/>
      <c r="L176" s="2024"/>
      <c r="M176" s="474"/>
      <c r="N176" s="2022"/>
      <c r="O176" s="2023"/>
      <c r="P176" s="2024"/>
      <c r="R176" s="2022"/>
      <c r="S176" s="2023"/>
      <c r="T176" s="2024"/>
      <c r="V176" s="2022"/>
      <c r="W176" s="2023"/>
      <c r="X176" s="2025"/>
      <c r="Z176" s="2022"/>
      <c r="AA176" s="2023"/>
      <c r="AB176" s="2024"/>
      <c r="AC176" s="474"/>
      <c r="AD176" s="2022"/>
      <c r="AE176" s="2023"/>
      <c r="AF176" s="2024"/>
      <c r="AH176" s="2022"/>
      <c r="AI176" s="2026"/>
      <c r="AJ176" s="2024"/>
      <c r="AL176" s="2022"/>
      <c r="AM176" s="2026"/>
      <c r="AN176" s="2024"/>
      <c r="AO176" s="477"/>
      <c r="AP176" s="477"/>
      <c r="AQ176" s="477"/>
    </row>
    <row r="177" spans="1:43" ht="15">
      <c r="A177" s="474"/>
      <c r="B177" s="2022"/>
      <c r="C177" s="2023"/>
      <c r="D177" s="2024"/>
      <c r="F177" s="2022"/>
      <c r="G177" s="2023"/>
      <c r="H177" s="2024"/>
      <c r="J177" s="2022"/>
      <c r="K177" s="2023"/>
      <c r="L177" s="2024"/>
      <c r="M177" s="474"/>
      <c r="N177" s="2022"/>
      <c r="O177" s="2023"/>
      <c r="P177" s="2024"/>
      <c r="R177" s="2022"/>
      <c r="S177" s="2023"/>
      <c r="T177" s="2024"/>
      <c r="V177" s="2022"/>
      <c r="W177" s="2023"/>
      <c r="X177" s="2025"/>
      <c r="Z177" s="2022"/>
      <c r="AA177" s="2023"/>
      <c r="AB177" s="2024"/>
      <c r="AC177" s="474"/>
      <c r="AD177" s="2022"/>
      <c r="AE177" s="2023"/>
      <c r="AF177" s="2024"/>
      <c r="AH177" s="2022"/>
      <c r="AI177" s="2026"/>
      <c r="AJ177" s="2024"/>
      <c r="AL177" s="2022"/>
      <c r="AM177" s="2026"/>
      <c r="AN177" s="2024"/>
      <c r="AO177" s="477"/>
      <c r="AP177" s="477"/>
      <c r="AQ177" s="477"/>
    </row>
    <row r="178" spans="1:43" ht="15">
      <c r="A178" s="474"/>
      <c r="B178" s="2022"/>
      <c r="C178" s="2023"/>
      <c r="D178" s="2024"/>
      <c r="F178" s="2022"/>
      <c r="G178" s="2023"/>
      <c r="H178" s="2024"/>
      <c r="J178" s="2022"/>
      <c r="K178" s="2023"/>
      <c r="L178" s="2024"/>
      <c r="M178" s="474"/>
      <c r="N178" s="2022"/>
      <c r="O178" s="2023"/>
      <c r="P178" s="2024"/>
      <c r="R178" s="2022"/>
      <c r="S178" s="2023"/>
      <c r="T178" s="2024"/>
      <c r="V178" s="2022"/>
      <c r="W178" s="2023"/>
      <c r="X178" s="2025"/>
      <c r="Z178" s="2022"/>
      <c r="AA178" s="2023"/>
      <c r="AB178" s="2024"/>
      <c r="AC178" s="474"/>
      <c r="AD178" s="2022"/>
      <c r="AE178" s="2023"/>
      <c r="AF178" s="2024"/>
      <c r="AH178" s="2022"/>
      <c r="AI178" s="2026"/>
      <c r="AJ178" s="2024"/>
      <c r="AL178" s="2022"/>
      <c r="AM178" s="2026"/>
      <c r="AN178" s="2024"/>
      <c r="AO178" s="477"/>
      <c r="AP178" s="477"/>
      <c r="AQ178" s="477"/>
    </row>
    <row r="179" spans="1:43" ht="15">
      <c r="A179" s="474"/>
      <c r="B179" s="2022"/>
      <c r="C179" s="2023"/>
      <c r="D179" s="2024"/>
      <c r="F179" s="2022"/>
      <c r="G179" s="2023"/>
      <c r="H179" s="2024"/>
      <c r="J179" s="2022"/>
      <c r="K179" s="2023"/>
      <c r="L179" s="2024"/>
      <c r="M179" s="474"/>
      <c r="N179" s="2022"/>
      <c r="O179" s="2023"/>
      <c r="P179" s="2024"/>
      <c r="R179" s="2022"/>
      <c r="S179" s="2023"/>
      <c r="T179" s="2024"/>
      <c r="V179" s="2022"/>
      <c r="W179" s="2023"/>
      <c r="X179" s="2025"/>
      <c r="Z179" s="2022"/>
      <c r="AA179" s="2023"/>
      <c r="AB179" s="2024"/>
      <c r="AC179" s="474"/>
      <c r="AD179" s="2022"/>
      <c r="AE179" s="2023"/>
      <c r="AF179" s="2024"/>
      <c r="AH179" s="2022"/>
      <c r="AI179" s="2026"/>
      <c r="AJ179" s="2024"/>
      <c r="AL179" s="2022"/>
      <c r="AM179" s="2026"/>
      <c r="AN179" s="2024"/>
      <c r="AO179" s="477"/>
      <c r="AP179" s="477"/>
      <c r="AQ179" s="477"/>
    </row>
    <row r="180" spans="1:43" ht="15">
      <c r="A180" s="474"/>
      <c r="B180" s="2022"/>
      <c r="C180" s="2023"/>
      <c r="D180" s="2024"/>
      <c r="F180" s="2022"/>
      <c r="G180" s="2023"/>
      <c r="H180" s="2024"/>
      <c r="J180" s="2022"/>
      <c r="K180" s="2023"/>
      <c r="L180" s="2024"/>
      <c r="M180" s="474"/>
      <c r="N180" s="2022"/>
      <c r="O180" s="2023"/>
      <c r="P180" s="2024"/>
      <c r="R180" s="2022"/>
      <c r="S180" s="2023"/>
      <c r="T180" s="2024"/>
      <c r="V180" s="2022"/>
      <c r="W180" s="2023"/>
      <c r="X180" s="2025"/>
      <c r="Z180" s="2022"/>
      <c r="AA180" s="2023"/>
      <c r="AB180" s="2024"/>
      <c r="AC180" s="474"/>
      <c r="AD180" s="2022"/>
      <c r="AE180" s="2023"/>
      <c r="AF180" s="2024"/>
      <c r="AH180" s="2022"/>
      <c r="AI180" s="2026"/>
      <c r="AJ180" s="2024"/>
      <c r="AL180" s="2022"/>
      <c r="AM180" s="2026"/>
      <c r="AN180" s="2024"/>
      <c r="AO180" s="477"/>
      <c r="AP180" s="477"/>
      <c r="AQ180" s="477"/>
    </row>
    <row r="181" spans="1:43" ht="15">
      <c r="A181" s="474"/>
      <c r="B181" s="2022"/>
      <c r="C181" s="2023"/>
      <c r="D181" s="2024"/>
      <c r="F181" s="2022"/>
      <c r="G181" s="2023"/>
      <c r="H181" s="2024"/>
      <c r="J181" s="2022"/>
      <c r="K181" s="2023"/>
      <c r="L181" s="2024"/>
      <c r="M181" s="474"/>
      <c r="N181" s="2022"/>
      <c r="O181" s="2023"/>
      <c r="P181" s="2024"/>
      <c r="R181" s="2022"/>
      <c r="S181" s="2023"/>
      <c r="T181" s="2024"/>
      <c r="V181" s="2022"/>
      <c r="W181" s="2023"/>
      <c r="X181" s="2025"/>
      <c r="Z181" s="2022"/>
      <c r="AA181" s="2023"/>
      <c r="AB181" s="2024"/>
      <c r="AC181" s="474"/>
      <c r="AD181" s="2022"/>
      <c r="AE181" s="2023"/>
      <c r="AF181" s="2024"/>
      <c r="AH181" s="2022"/>
      <c r="AI181" s="2026"/>
      <c r="AJ181" s="2024"/>
      <c r="AL181" s="2022"/>
      <c r="AM181" s="2026"/>
      <c r="AN181" s="2024"/>
      <c r="AO181" s="477"/>
      <c r="AP181" s="477"/>
      <c r="AQ181" s="477"/>
    </row>
    <row r="182" spans="1:43" ht="15">
      <c r="A182" s="474"/>
      <c r="B182" s="2022"/>
      <c r="C182" s="2023"/>
      <c r="D182" s="2024"/>
      <c r="F182" s="2022"/>
      <c r="G182" s="2023"/>
      <c r="H182" s="2024"/>
      <c r="J182" s="2022"/>
      <c r="K182" s="2023"/>
      <c r="L182" s="2024"/>
      <c r="M182" s="474"/>
      <c r="N182" s="2022"/>
      <c r="O182" s="2023"/>
      <c r="P182" s="2024"/>
      <c r="R182" s="2022"/>
      <c r="S182" s="2023"/>
      <c r="T182" s="2024"/>
      <c r="V182" s="2022"/>
      <c r="W182" s="2023"/>
      <c r="X182" s="2025"/>
      <c r="Z182" s="2022"/>
      <c r="AA182" s="2023"/>
      <c r="AB182" s="2024"/>
      <c r="AC182" s="474"/>
      <c r="AD182" s="2022"/>
      <c r="AE182" s="2023"/>
      <c r="AF182" s="2024"/>
      <c r="AH182" s="2022"/>
      <c r="AI182" s="2026"/>
      <c r="AJ182" s="2024"/>
      <c r="AL182" s="2022"/>
      <c r="AM182" s="2026"/>
      <c r="AN182" s="2024"/>
      <c r="AO182" s="477"/>
      <c r="AP182" s="477"/>
      <c r="AQ182" s="477"/>
    </row>
    <row r="183" spans="1:43" ht="15">
      <c r="A183" s="474"/>
      <c r="B183" s="2022"/>
      <c r="C183" s="2023"/>
      <c r="D183" s="2024"/>
      <c r="F183" s="2022"/>
      <c r="G183" s="2023"/>
      <c r="H183" s="2024"/>
      <c r="J183" s="2022"/>
      <c r="K183" s="2023"/>
      <c r="L183" s="2024"/>
      <c r="M183" s="474"/>
      <c r="N183" s="2022"/>
      <c r="O183" s="2023"/>
      <c r="P183" s="2024"/>
      <c r="R183" s="2022"/>
      <c r="S183" s="2023"/>
      <c r="T183" s="2024"/>
      <c r="V183" s="2022"/>
      <c r="W183" s="2023"/>
      <c r="X183" s="2025"/>
      <c r="Z183" s="2022"/>
      <c r="AA183" s="2023"/>
      <c r="AB183" s="2024"/>
      <c r="AC183" s="474"/>
      <c r="AD183" s="2022"/>
      <c r="AE183" s="2023"/>
      <c r="AF183" s="2024"/>
      <c r="AH183" s="2022"/>
      <c r="AI183" s="2026"/>
      <c r="AJ183" s="2024"/>
      <c r="AL183" s="2022"/>
      <c r="AM183" s="2026"/>
      <c r="AN183" s="2024"/>
      <c r="AO183" s="477"/>
      <c r="AP183" s="477"/>
      <c r="AQ183" s="477"/>
    </row>
    <row r="184" spans="1:43" ht="15">
      <c r="A184" s="474"/>
      <c r="B184" s="2022"/>
      <c r="C184" s="2023"/>
      <c r="D184" s="2024"/>
      <c r="F184" s="2022"/>
      <c r="G184" s="2023"/>
      <c r="H184" s="2024"/>
      <c r="J184" s="2022"/>
      <c r="K184" s="2023"/>
      <c r="L184" s="2024"/>
      <c r="M184" s="474"/>
      <c r="N184" s="2022"/>
      <c r="O184" s="2023"/>
      <c r="P184" s="2024"/>
      <c r="R184" s="2022"/>
      <c r="S184" s="2023"/>
      <c r="T184" s="2024"/>
      <c r="V184" s="2022"/>
      <c r="W184" s="2023"/>
      <c r="X184" s="2025"/>
      <c r="Z184" s="2022"/>
      <c r="AA184" s="2023"/>
      <c r="AB184" s="2024"/>
      <c r="AC184" s="474"/>
      <c r="AD184" s="2022"/>
      <c r="AE184" s="2023"/>
      <c r="AF184" s="2024"/>
      <c r="AH184" s="2022"/>
      <c r="AI184" s="2026"/>
      <c r="AJ184" s="2024"/>
      <c r="AL184" s="2022"/>
      <c r="AM184" s="2026"/>
      <c r="AN184" s="2024"/>
      <c r="AO184" s="477"/>
      <c r="AP184" s="477"/>
      <c r="AQ184" s="477"/>
    </row>
    <row r="185" spans="1:43" ht="15">
      <c r="A185" s="474"/>
      <c r="B185" s="2022"/>
      <c r="C185" s="2023"/>
      <c r="D185" s="2024"/>
      <c r="F185" s="2022"/>
      <c r="G185" s="2023"/>
      <c r="H185" s="2024"/>
      <c r="J185" s="2022"/>
      <c r="K185" s="2023"/>
      <c r="L185" s="2024"/>
      <c r="M185" s="474"/>
      <c r="N185" s="2022"/>
      <c r="O185" s="2023"/>
      <c r="P185" s="2024"/>
      <c r="R185" s="2022"/>
      <c r="S185" s="2023"/>
      <c r="T185" s="2024"/>
      <c r="V185" s="2022"/>
      <c r="W185" s="2023"/>
      <c r="X185" s="2025"/>
      <c r="Z185" s="2022"/>
      <c r="AA185" s="2023"/>
      <c r="AB185" s="2024"/>
      <c r="AC185" s="474"/>
      <c r="AD185" s="2022"/>
      <c r="AE185" s="2023"/>
      <c r="AF185" s="2024"/>
      <c r="AH185" s="2022"/>
      <c r="AI185" s="2026"/>
      <c r="AJ185" s="2024"/>
      <c r="AL185" s="2022"/>
      <c r="AM185" s="2026"/>
      <c r="AN185" s="2024"/>
      <c r="AO185" s="477"/>
      <c r="AP185" s="477"/>
      <c r="AQ185" s="477"/>
    </row>
    <row r="186" spans="1:43" ht="15">
      <c r="A186" s="474"/>
      <c r="B186" s="2022"/>
      <c r="C186" s="2023"/>
      <c r="D186" s="2024"/>
      <c r="F186" s="2022"/>
      <c r="G186" s="2023"/>
      <c r="H186" s="2024"/>
      <c r="J186" s="2022"/>
      <c r="K186" s="2023"/>
      <c r="L186" s="2024"/>
      <c r="M186" s="474"/>
      <c r="N186" s="2022"/>
      <c r="O186" s="2023"/>
      <c r="P186" s="2024"/>
      <c r="R186" s="2022"/>
      <c r="S186" s="2023"/>
      <c r="T186" s="2024"/>
      <c r="V186" s="2022"/>
      <c r="W186" s="2023"/>
      <c r="X186" s="2025"/>
      <c r="Z186" s="2022"/>
      <c r="AA186" s="2023"/>
      <c r="AB186" s="2024"/>
      <c r="AC186" s="474"/>
      <c r="AD186" s="2022"/>
      <c r="AE186" s="2023"/>
      <c r="AF186" s="2024"/>
      <c r="AH186" s="2022"/>
      <c r="AI186" s="2026"/>
      <c r="AJ186" s="2024"/>
      <c r="AL186" s="2022"/>
      <c r="AM186" s="2026"/>
      <c r="AN186" s="2024"/>
      <c r="AO186" s="477"/>
      <c r="AP186" s="477"/>
      <c r="AQ186" s="477"/>
    </row>
    <row r="187" spans="1:43" ht="15">
      <c r="A187" s="474"/>
      <c r="B187" s="2022"/>
      <c r="C187" s="2023"/>
      <c r="D187" s="2024"/>
      <c r="F187" s="2022"/>
      <c r="G187" s="2023"/>
      <c r="H187" s="2024"/>
      <c r="J187" s="2022"/>
      <c r="K187" s="2023"/>
      <c r="L187" s="2024"/>
      <c r="M187" s="474"/>
      <c r="N187" s="2022"/>
      <c r="O187" s="2023"/>
      <c r="P187" s="2024"/>
      <c r="R187" s="2022"/>
      <c r="S187" s="2023"/>
      <c r="T187" s="2024"/>
      <c r="V187" s="2022"/>
      <c r="W187" s="2023"/>
      <c r="X187" s="2025"/>
      <c r="Z187" s="2022"/>
      <c r="AA187" s="2023"/>
      <c r="AB187" s="2024"/>
      <c r="AC187" s="474"/>
      <c r="AD187" s="2022"/>
      <c r="AE187" s="2023"/>
      <c r="AF187" s="2024"/>
      <c r="AH187" s="2022"/>
      <c r="AI187" s="2026"/>
      <c r="AJ187" s="2024"/>
      <c r="AL187" s="2022"/>
      <c r="AM187" s="2026"/>
      <c r="AN187" s="2024"/>
      <c r="AO187" s="477"/>
      <c r="AP187" s="477"/>
      <c r="AQ187" s="477"/>
    </row>
    <row r="188" spans="1:43" ht="15">
      <c r="A188" s="474"/>
      <c r="B188" s="2022"/>
      <c r="C188" s="2023"/>
      <c r="D188" s="2024"/>
      <c r="F188" s="2022"/>
      <c r="G188" s="2023"/>
      <c r="H188" s="2024"/>
      <c r="J188" s="2022"/>
      <c r="K188" s="2023"/>
      <c r="L188" s="2024"/>
      <c r="M188" s="474"/>
      <c r="N188" s="2022"/>
      <c r="O188" s="2023"/>
      <c r="P188" s="2024"/>
      <c r="R188" s="2022"/>
      <c r="S188" s="2023"/>
      <c r="T188" s="2024"/>
      <c r="V188" s="2022"/>
      <c r="W188" s="2023"/>
      <c r="X188" s="2025"/>
      <c r="Z188" s="2022"/>
      <c r="AA188" s="2023"/>
      <c r="AB188" s="2024"/>
      <c r="AC188" s="474"/>
      <c r="AD188" s="2022"/>
      <c r="AE188" s="2023"/>
      <c r="AF188" s="2024"/>
      <c r="AH188" s="2022"/>
      <c r="AI188" s="2026"/>
      <c r="AJ188" s="2024"/>
      <c r="AL188" s="2022"/>
      <c r="AM188" s="2026"/>
      <c r="AN188" s="2024"/>
      <c r="AO188" s="477"/>
      <c r="AP188" s="477"/>
      <c r="AQ188" s="477"/>
    </row>
    <row r="189" spans="1:43" ht="15">
      <c r="A189" s="474"/>
      <c r="B189" s="2022"/>
      <c r="C189" s="2023"/>
      <c r="D189" s="2024"/>
      <c r="F189" s="2022"/>
      <c r="G189" s="2023"/>
      <c r="H189" s="2024"/>
      <c r="J189" s="2022"/>
      <c r="K189" s="2023"/>
      <c r="L189" s="2024"/>
      <c r="M189" s="474"/>
      <c r="N189" s="2022"/>
      <c r="O189" s="2023"/>
      <c r="P189" s="2024"/>
      <c r="R189" s="2022"/>
      <c r="S189" s="2023"/>
      <c r="T189" s="2024"/>
      <c r="V189" s="2022"/>
      <c r="W189" s="2023"/>
      <c r="X189" s="2025"/>
      <c r="Z189" s="2022"/>
      <c r="AA189" s="2023"/>
      <c r="AB189" s="2024"/>
      <c r="AC189" s="474"/>
      <c r="AD189" s="2022"/>
      <c r="AE189" s="2023"/>
      <c r="AF189" s="2024"/>
      <c r="AH189" s="2022"/>
      <c r="AI189" s="2026"/>
      <c r="AJ189" s="2024"/>
      <c r="AL189" s="2022"/>
      <c r="AM189" s="2026"/>
      <c r="AN189" s="2024"/>
      <c r="AO189" s="477"/>
      <c r="AP189" s="477"/>
      <c r="AQ189" s="477"/>
    </row>
    <row r="190" spans="1:43" ht="15">
      <c r="A190" s="474"/>
      <c r="B190" s="2022"/>
      <c r="C190" s="2023"/>
      <c r="D190" s="2024"/>
      <c r="F190" s="2022"/>
      <c r="G190" s="2023"/>
      <c r="H190" s="2024"/>
      <c r="J190" s="2022"/>
      <c r="K190" s="2023"/>
      <c r="L190" s="2024"/>
      <c r="M190" s="474"/>
      <c r="N190" s="2022"/>
      <c r="O190" s="2023"/>
      <c r="P190" s="2024"/>
      <c r="R190" s="2022"/>
      <c r="S190" s="2023"/>
      <c r="T190" s="2024"/>
      <c r="V190" s="2022"/>
      <c r="W190" s="2023"/>
      <c r="X190" s="2025"/>
      <c r="Z190" s="2022"/>
      <c r="AA190" s="2023"/>
      <c r="AB190" s="2024"/>
      <c r="AC190" s="474"/>
      <c r="AD190" s="2022"/>
      <c r="AE190" s="2023"/>
      <c r="AF190" s="2024"/>
      <c r="AH190" s="2022"/>
      <c r="AI190" s="2026"/>
      <c r="AJ190" s="2024"/>
      <c r="AL190" s="2022"/>
      <c r="AM190" s="2026"/>
      <c r="AN190" s="2024"/>
      <c r="AO190" s="477"/>
      <c r="AP190" s="477"/>
      <c r="AQ190" s="477"/>
    </row>
    <row r="191" spans="1:43" ht="15">
      <c r="A191" s="474"/>
      <c r="B191" s="2022"/>
      <c r="C191" s="2023"/>
      <c r="D191" s="2024"/>
      <c r="F191" s="2022"/>
      <c r="G191" s="2023"/>
      <c r="H191" s="2024"/>
      <c r="J191" s="2022"/>
      <c r="K191" s="2023"/>
      <c r="L191" s="2024"/>
      <c r="M191" s="474"/>
      <c r="N191" s="2022"/>
      <c r="O191" s="2023"/>
      <c r="P191" s="2024"/>
      <c r="R191" s="2022"/>
      <c r="S191" s="2023"/>
      <c r="T191" s="2024"/>
      <c r="V191" s="2022"/>
      <c r="W191" s="2023"/>
      <c r="X191" s="2025"/>
      <c r="Z191" s="2022"/>
      <c r="AA191" s="2023"/>
      <c r="AB191" s="2024"/>
      <c r="AC191" s="474"/>
      <c r="AD191" s="2022"/>
      <c r="AE191" s="2023"/>
      <c r="AF191" s="2024"/>
      <c r="AH191" s="2022"/>
      <c r="AI191" s="2026"/>
      <c r="AJ191" s="2024"/>
      <c r="AL191" s="2022"/>
      <c r="AM191" s="2026"/>
      <c r="AN191" s="2024"/>
      <c r="AO191" s="477"/>
      <c r="AP191" s="477"/>
      <c r="AQ191" s="477"/>
    </row>
    <row r="192" spans="1:43" ht="15">
      <c r="A192" s="474"/>
      <c r="B192" s="2022"/>
      <c r="C192" s="2023"/>
      <c r="D192" s="2024"/>
      <c r="F192" s="2022"/>
      <c r="G192" s="2023"/>
      <c r="H192" s="2024"/>
      <c r="J192" s="2022"/>
      <c r="K192" s="2023"/>
      <c r="L192" s="2024"/>
      <c r="M192" s="474"/>
      <c r="N192" s="2022"/>
      <c r="O192" s="2023"/>
      <c r="P192" s="2024"/>
      <c r="R192" s="2022"/>
      <c r="S192" s="2023"/>
      <c r="T192" s="2024"/>
      <c r="V192" s="2022"/>
      <c r="W192" s="2023"/>
      <c r="X192" s="2025"/>
      <c r="Z192" s="2022"/>
      <c r="AA192" s="2023"/>
      <c r="AB192" s="2024"/>
      <c r="AC192" s="474"/>
      <c r="AD192" s="2022"/>
      <c r="AE192" s="2023"/>
      <c r="AF192" s="2024"/>
      <c r="AH192" s="2022"/>
      <c r="AI192" s="2026"/>
      <c r="AJ192" s="2024"/>
      <c r="AL192" s="2022"/>
      <c r="AM192" s="2026"/>
      <c r="AN192" s="2024"/>
      <c r="AO192" s="477"/>
      <c r="AP192" s="477"/>
      <c r="AQ192" s="477"/>
    </row>
    <row r="193" spans="1:43" ht="15">
      <c r="A193" s="474"/>
      <c r="B193" s="2022"/>
      <c r="C193" s="2023"/>
      <c r="D193" s="2024"/>
      <c r="F193" s="2022"/>
      <c r="G193" s="2023"/>
      <c r="H193" s="2024"/>
      <c r="J193" s="2022"/>
      <c r="K193" s="2023"/>
      <c r="L193" s="2024"/>
      <c r="M193" s="474"/>
      <c r="N193" s="2022"/>
      <c r="O193" s="2023"/>
      <c r="P193" s="2024"/>
      <c r="R193" s="2022"/>
      <c r="S193" s="2023"/>
      <c r="T193" s="2024"/>
      <c r="V193" s="2022"/>
      <c r="W193" s="2023"/>
      <c r="X193" s="2025"/>
      <c r="Z193" s="2022"/>
      <c r="AA193" s="2023"/>
      <c r="AB193" s="2024"/>
      <c r="AC193" s="474"/>
      <c r="AD193" s="2022"/>
      <c r="AE193" s="2023"/>
      <c r="AF193" s="2024"/>
      <c r="AH193" s="2022"/>
      <c r="AI193" s="2026"/>
      <c r="AJ193" s="2024"/>
      <c r="AL193" s="2022"/>
      <c r="AM193" s="2026"/>
      <c r="AN193" s="2024"/>
      <c r="AO193" s="477"/>
      <c r="AP193" s="477"/>
      <c r="AQ193" s="477"/>
    </row>
    <row r="194" spans="1:43" ht="15">
      <c r="A194" s="474"/>
      <c r="B194" s="2022"/>
      <c r="C194" s="2023"/>
      <c r="D194" s="2024"/>
      <c r="F194" s="2022"/>
      <c r="G194" s="2023"/>
      <c r="H194" s="2024"/>
      <c r="J194" s="2022"/>
      <c r="K194" s="2023"/>
      <c r="L194" s="2024"/>
      <c r="M194" s="474"/>
      <c r="N194" s="2022"/>
      <c r="O194" s="2023"/>
      <c r="P194" s="2024"/>
      <c r="R194" s="2022"/>
      <c r="S194" s="2023"/>
      <c r="T194" s="2024"/>
      <c r="V194" s="2022"/>
      <c r="W194" s="2023"/>
      <c r="X194" s="2025"/>
      <c r="Z194" s="2022"/>
      <c r="AA194" s="2023"/>
      <c r="AB194" s="2024"/>
      <c r="AC194" s="474"/>
      <c r="AD194" s="2022"/>
      <c r="AE194" s="2023"/>
      <c r="AF194" s="2024"/>
      <c r="AH194" s="2022"/>
      <c r="AI194" s="2026"/>
      <c r="AJ194" s="2024"/>
      <c r="AL194" s="2022"/>
      <c r="AM194" s="2026"/>
      <c r="AN194" s="2024"/>
      <c r="AO194" s="477"/>
      <c r="AP194" s="477"/>
      <c r="AQ194" s="477"/>
    </row>
    <row r="195" spans="1:43" ht="15">
      <c r="A195" s="474"/>
      <c r="B195" s="2022"/>
      <c r="C195" s="2023"/>
      <c r="D195" s="2024"/>
      <c r="F195" s="2022"/>
      <c r="G195" s="2023"/>
      <c r="H195" s="2024"/>
      <c r="J195" s="2022"/>
      <c r="K195" s="2023"/>
      <c r="L195" s="2024"/>
      <c r="M195" s="474"/>
      <c r="N195" s="2022"/>
      <c r="O195" s="2023"/>
      <c r="P195" s="2024"/>
      <c r="R195" s="2022"/>
      <c r="S195" s="2023"/>
      <c r="T195" s="2024"/>
      <c r="V195" s="2022"/>
      <c r="W195" s="2023"/>
      <c r="X195" s="2025"/>
      <c r="Z195" s="2022"/>
      <c r="AA195" s="2023"/>
      <c r="AB195" s="2024"/>
      <c r="AC195" s="474"/>
      <c r="AD195" s="2022"/>
      <c r="AE195" s="2023"/>
      <c r="AF195" s="2024"/>
      <c r="AH195" s="2022"/>
      <c r="AI195" s="2026"/>
      <c r="AJ195" s="2024"/>
      <c r="AL195" s="2022"/>
      <c r="AM195" s="2026"/>
      <c r="AN195" s="2024"/>
      <c r="AO195" s="477"/>
      <c r="AP195" s="477"/>
      <c r="AQ195" s="477"/>
    </row>
    <row r="196" spans="1:43" ht="15">
      <c r="A196" s="474"/>
      <c r="B196" s="2022"/>
      <c r="C196" s="2023"/>
      <c r="D196" s="2024"/>
      <c r="F196" s="2022"/>
      <c r="G196" s="2023"/>
      <c r="H196" s="2024"/>
      <c r="J196" s="2022"/>
      <c r="K196" s="2023"/>
      <c r="L196" s="2024"/>
      <c r="M196" s="474"/>
      <c r="N196" s="2022"/>
      <c r="O196" s="2023"/>
      <c r="P196" s="2024"/>
      <c r="R196" s="2022"/>
      <c r="S196" s="2023"/>
      <c r="T196" s="2024"/>
      <c r="V196" s="2022"/>
      <c r="W196" s="2023"/>
      <c r="X196" s="2025"/>
      <c r="Z196" s="2022"/>
      <c r="AA196" s="2023"/>
      <c r="AB196" s="2024"/>
      <c r="AC196" s="474"/>
      <c r="AD196" s="2022"/>
      <c r="AE196" s="2023"/>
      <c r="AF196" s="2024"/>
      <c r="AH196" s="2022"/>
      <c r="AI196" s="2026"/>
      <c r="AJ196" s="2024"/>
      <c r="AL196" s="2022"/>
      <c r="AM196" s="2026"/>
      <c r="AN196" s="2024"/>
      <c r="AO196" s="477"/>
      <c r="AP196" s="477"/>
      <c r="AQ196" s="477"/>
    </row>
    <row r="197" spans="1:43" ht="15">
      <c r="A197" s="474"/>
      <c r="B197" s="2022"/>
      <c r="C197" s="2023"/>
      <c r="D197" s="2024"/>
      <c r="F197" s="2022"/>
      <c r="G197" s="2023"/>
      <c r="H197" s="2024"/>
      <c r="J197" s="2022"/>
      <c r="K197" s="2023"/>
      <c r="L197" s="2024"/>
      <c r="M197" s="474"/>
      <c r="N197" s="2022"/>
      <c r="O197" s="2023"/>
      <c r="P197" s="2024"/>
      <c r="R197" s="2022"/>
      <c r="S197" s="2023"/>
      <c r="T197" s="2024"/>
      <c r="V197" s="2022"/>
      <c r="W197" s="2023"/>
      <c r="X197" s="2025"/>
      <c r="Z197" s="2022"/>
      <c r="AA197" s="2023"/>
      <c r="AB197" s="2024"/>
      <c r="AC197" s="474"/>
      <c r="AD197" s="2022"/>
      <c r="AE197" s="2023"/>
      <c r="AF197" s="2024"/>
      <c r="AH197" s="2022"/>
      <c r="AI197" s="2026"/>
      <c r="AJ197" s="2024"/>
      <c r="AL197" s="2022"/>
      <c r="AM197" s="2026"/>
      <c r="AN197" s="2024"/>
      <c r="AO197" s="477"/>
      <c r="AP197" s="477"/>
      <c r="AQ197" s="477"/>
    </row>
    <row r="198" spans="1:43" ht="15">
      <c r="A198" s="474"/>
      <c r="B198" s="2022"/>
      <c r="C198" s="2023"/>
      <c r="D198" s="2024"/>
      <c r="F198" s="2022"/>
      <c r="G198" s="2023"/>
      <c r="H198" s="2024"/>
      <c r="J198" s="2022"/>
      <c r="K198" s="2023"/>
      <c r="L198" s="2024"/>
      <c r="M198" s="474"/>
      <c r="N198" s="2022"/>
      <c r="O198" s="2023"/>
      <c r="P198" s="2024"/>
      <c r="R198" s="2022"/>
      <c r="S198" s="2023"/>
      <c r="T198" s="2024"/>
      <c r="V198" s="2022"/>
      <c r="W198" s="2023"/>
      <c r="X198" s="2025"/>
      <c r="Z198" s="2022"/>
      <c r="AA198" s="2023"/>
      <c r="AB198" s="2024"/>
      <c r="AC198" s="474"/>
      <c r="AD198" s="2022"/>
      <c r="AE198" s="2023"/>
      <c r="AF198" s="2024"/>
      <c r="AH198" s="2022"/>
      <c r="AI198" s="2026"/>
      <c r="AJ198" s="2024"/>
      <c r="AL198" s="2022"/>
      <c r="AM198" s="2026"/>
      <c r="AN198" s="2024"/>
      <c r="AO198" s="477"/>
      <c r="AP198" s="477"/>
      <c r="AQ198" s="477"/>
    </row>
    <row r="199" spans="1:43" ht="15">
      <c r="A199" s="474"/>
      <c r="B199" s="2022"/>
      <c r="C199" s="2023"/>
      <c r="D199" s="2024"/>
      <c r="F199" s="2022"/>
      <c r="G199" s="2023"/>
      <c r="H199" s="2024"/>
      <c r="J199" s="2022"/>
      <c r="K199" s="2023"/>
      <c r="L199" s="2024"/>
      <c r="M199" s="474"/>
      <c r="N199" s="2022"/>
      <c r="O199" s="2023"/>
      <c r="P199" s="2024"/>
      <c r="R199" s="2022"/>
      <c r="S199" s="2023"/>
      <c r="T199" s="2024"/>
      <c r="V199" s="2022"/>
      <c r="W199" s="2023"/>
      <c r="X199" s="2025"/>
      <c r="Z199" s="2022"/>
      <c r="AA199" s="2023"/>
      <c r="AB199" s="2024"/>
      <c r="AC199" s="474"/>
      <c r="AD199" s="2022"/>
      <c r="AE199" s="2023"/>
      <c r="AF199" s="2024"/>
      <c r="AH199" s="2022"/>
      <c r="AI199" s="2026"/>
      <c r="AJ199" s="2024"/>
      <c r="AL199" s="2022"/>
      <c r="AM199" s="2026"/>
      <c r="AN199" s="2024"/>
      <c r="AO199" s="477"/>
      <c r="AP199" s="477"/>
      <c r="AQ199" s="477"/>
    </row>
    <row r="200" spans="1:43" ht="15">
      <c r="A200" s="474"/>
      <c r="B200" s="2022"/>
      <c r="C200" s="2023"/>
      <c r="D200" s="2024"/>
      <c r="F200" s="2022"/>
      <c r="G200" s="2023"/>
      <c r="H200" s="2024"/>
      <c r="J200" s="2022"/>
      <c r="K200" s="2023"/>
      <c r="L200" s="2024"/>
      <c r="M200" s="474"/>
      <c r="N200" s="2022"/>
      <c r="O200" s="2023"/>
      <c r="P200" s="2024"/>
      <c r="R200" s="2022"/>
      <c r="S200" s="2023"/>
      <c r="T200" s="2024"/>
      <c r="V200" s="2022"/>
      <c r="W200" s="2023"/>
      <c r="X200" s="2025"/>
      <c r="Z200" s="2022"/>
      <c r="AA200" s="2023"/>
      <c r="AB200" s="2024"/>
      <c r="AC200" s="474"/>
      <c r="AD200" s="2022"/>
      <c r="AE200" s="2023"/>
      <c r="AF200" s="2024"/>
      <c r="AH200" s="2022"/>
      <c r="AI200" s="2026"/>
      <c r="AJ200" s="2024"/>
      <c r="AL200" s="2022"/>
      <c r="AM200" s="2026"/>
      <c r="AN200" s="2024"/>
      <c r="AO200" s="477"/>
      <c r="AP200" s="477"/>
      <c r="AQ200" s="477"/>
    </row>
    <row r="201" spans="1:43" ht="15">
      <c r="A201" s="474"/>
      <c r="B201" s="2022"/>
      <c r="C201" s="2023"/>
      <c r="D201" s="2024"/>
      <c r="F201" s="2022"/>
      <c r="G201" s="2023"/>
      <c r="H201" s="2024"/>
      <c r="J201" s="2022"/>
      <c r="K201" s="2023"/>
      <c r="L201" s="2024"/>
      <c r="M201" s="474"/>
      <c r="N201" s="2022"/>
      <c r="O201" s="2023"/>
      <c r="P201" s="2024"/>
      <c r="R201" s="2022"/>
      <c r="S201" s="2023"/>
      <c r="T201" s="2024"/>
      <c r="V201" s="2022"/>
      <c r="W201" s="2023"/>
      <c r="X201" s="2025"/>
      <c r="Z201" s="2022"/>
      <c r="AA201" s="2023"/>
      <c r="AB201" s="2024"/>
      <c r="AC201" s="474"/>
      <c r="AD201" s="2022"/>
      <c r="AE201" s="2023"/>
      <c r="AF201" s="2024"/>
      <c r="AH201" s="2022"/>
      <c r="AI201" s="2026"/>
      <c r="AJ201" s="2024"/>
      <c r="AL201" s="2022"/>
      <c r="AM201" s="2026"/>
      <c r="AN201" s="2024"/>
      <c r="AO201" s="477"/>
      <c r="AP201" s="477"/>
      <c r="AQ201" s="477"/>
    </row>
    <row r="202" spans="1:43" ht="15">
      <c r="A202" s="474"/>
      <c r="B202" s="2022"/>
      <c r="C202" s="2023"/>
      <c r="D202" s="2024"/>
      <c r="F202" s="2022"/>
      <c r="G202" s="2023"/>
      <c r="H202" s="2024"/>
      <c r="J202" s="2022"/>
      <c r="K202" s="2023"/>
      <c r="L202" s="2024"/>
      <c r="M202" s="474"/>
      <c r="N202" s="2022"/>
      <c r="O202" s="2023"/>
      <c r="P202" s="2024"/>
      <c r="R202" s="2022"/>
      <c r="S202" s="2023"/>
      <c r="T202" s="2024"/>
      <c r="V202" s="2022"/>
      <c r="W202" s="2023"/>
      <c r="X202" s="2025"/>
      <c r="Z202" s="2022"/>
      <c r="AA202" s="2023"/>
      <c r="AB202" s="2024"/>
      <c r="AC202" s="474"/>
      <c r="AD202" s="2022"/>
      <c r="AE202" s="2023"/>
      <c r="AF202" s="2024"/>
      <c r="AH202" s="2022"/>
      <c r="AI202" s="2026"/>
      <c r="AJ202" s="2024"/>
      <c r="AL202" s="2022"/>
      <c r="AM202" s="2026"/>
      <c r="AN202" s="2024"/>
      <c r="AO202" s="477"/>
      <c r="AP202" s="477"/>
      <c r="AQ202" s="477"/>
    </row>
    <row r="203" spans="1:43" ht="15">
      <c r="A203" s="474"/>
      <c r="B203" s="2022"/>
      <c r="C203" s="2023"/>
      <c r="D203" s="2024"/>
      <c r="F203" s="2022"/>
      <c r="G203" s="2023"/>
      <c r="H203" s="2024"/>
      <c r="J203" s="2022"/>
      <c r="K203" s="2023"/>
      <c r="L203" s="2024"/>
      <c r="M203" s="474"/>
      <c r="N203" s="2022"/>
      <c r="O203" s="2023"/>
      <c r="P203" s="2024"/>
      <c r="R203" s="2022"/>
      <c r="S203" s="2023"/>
      <c r="T203" s="2024"/>
      <c r="V203" s="2022"/>
      <c r="W203" s="2023"/>
      <c r="X203" s="2025"/>
      <c r="Z203" s="2022"/>
      <c r="AA203" s="2023"/>
      <c r="AB203" s="2024"/>
      <c r="AC203" s="474"/>
      <c r="AD203" s="2022"/>
      <c r="AE203" s="2023"/>
      <c r="AF203" s="2024"/>
      <c r="AH203" s="2022"/>
      <c r="AI203" s="2026"/>
      <c r="AJ203" s="2024"/>
      <c r="AL203" s="2022"/>
      <c r="AM203" s="2026"/>
      <c r="AN203" s="2024"/>
      <c r="AO203" s="477"/>
      <c r="AP203" s="477"/>
      <c r="AQ203" s="477"/>
    </row>
    <row r="204" spans="1:43" ht="15">
      <c r="A204" s="474"/>
      <c r="B204" s="2022"/>
      <c r="C204" s="2023"/>
      <c r="D204" s="2024"/>
      <c r="F204" s="2022"/>
      <c r="G204" s="2023"/>
      <c r="H204" s="2024"/>
      <c r="J204" s="2022"/>
      <c r="K204" s="2023"/>
      <c r="L204" s="2024"/>
      <c r="M204" s="474"/>
      <c r="N204" s="2022"/>
      <c r="O204" s="2023"/>
      <c r="P204" s="2024"/>
      <c r="R204" s="2022"/>
      <c r="S204" s="2023"/>
      <c r="T204" s="2024"/>
      <c r="V204" s="2022"/>
      <c r="W204" s="2023"/>
      <c r="X204" s="2025"/>
      <c r="Z204" s="2022"/>
      <c r="AA204" s="2023"/>
      <c r="AB204" s="2024"/>
      <c r="AC204" s="474"/>
      <c r="AD204" s="2022"/>
      <c r="AE204" s="2023"/>
      <c r="AF204" s="2024"/>
      <c r="AH204" s="2022"/>
      <c r="AI204" s="2026"/>
      <c r="AJ204" s="2024"/>
      <c r="AL204" s="2022"/>
      <c r="AM204" s="2026"/>
      <c r="AN204" s="2024"/>
      <c r="AO204" s="477"/>
      <c r="AP204" s="477"/>
      <c r="AQ204" s="477"/>
    </row>
    <row r="205" spans="1:43" ht="15">
      <c r="A205" s="474"/>
      <c r="B205" s="2022"/>
      <c r="C205" s="2023"/>
      <c r="D205" s="2024"/>
      <c r="F205" s="2022"/>
      <c r="G205" s="2023"/>
      <c r="H205" s="2024"/>
      <c r="J205" s="2022"/>
      <c r="K205" s="2023"/>
      <c r="L205" s="2024"/>
      <c r="M205" s="474"/>
      <c r="N205" s="2022"/>
      <c r="O205" s="2023"/>
      <c r="P205" s="2024"/>
      <c r="R205" s="2022"/>
      <c r="S205" s="2023"/>
      <c r="T205" s="2024"/>
      <c r="V205" s="2022"/>
      <c r="W205" s="2023"/>
      <c r="X205" s="2025"/>
      <c r="Z205" s="2022"/>
      <c r="AA205" s="2023"/>
      <c r="AB205" s="2024"/>
      <c r="AC205" s="474"/>
      <c r="AD205" s="2022"/>
      <c r="AE205" s="2026"/>
      <c r="AF205" s="2024"/>
      <c r="AH205" s="2022"/>
      <c r="AI205" s="2026"/>
      <c r="AJ205" s="2024"/>
      <c r="AL205" s="2022"/>
      <c r="AM205" s="2026"/>
      <c r="AN205" s="2024"/>
      <c r="AO205" s="477"/>
      <c r="AP205" s="477"/>
      <c r="AQ205" s="477"/>
    </row>
    <row r="206" spans="1:43" ht="15">
      <c r="A206" s="474"/>
      <c r="B206" s="2022"/>
      <c r="C206" s="2023"/>
      <c r="D206" s="2024"/>
      <c r="F206" s="2022"/>
      <c r="G206" s="2023"/>
      <c r="H206" s="2024"/>
      <c r="J206" s="2022"/>
      <c r="K206" s="2023"/>
      <c r="L206" s="2024"/>
      <c r="M206" s="474"/>
      <c r="N206" s="2022"/>
      <c r="O206" s="2023"/>
      <c r="P206" s="2024"/>
      <c r="R206" s="2022"/>
      <c r="S206" s="2023"/>
      <c r="T206" s="2024"/>
      <c r="V206" s="2022"/>
      <c r="W206" s="2023"/>
      <c r="X206" s="2025"/>
      <c r="Z206" s="2022"/>
      <c r="AA206" s="2023"/>
      <c r="AB206" s="2024"/>
      <c r="AC206" s="474"/>
      <c r="AD206" s="2022"/>
      <c r="AE206" s="2026"/>
      <c r="AF206" s="2024"/>
      <c r="AH206" s="2022"/>
      <c r="AI206" s="2026"/>
      <c r="AJ206" s="2024"/>
      <c r="AL206" s="2022"/>
      <c r="AM206" s="2026"/>
      <c r="AN206" s="2024"/>
      <c r="AO206" s="477"/>
      <c r="AP206" s="477"/>
      <c r="AQ206" s="477"/>
    </row>
    <row r="207" spans="1:43" ht="15">
      <c r="A207" s="474"/>
      <c r="B207" s="2022"/>
      <c r="C207" s="2026"/>
      <c r="D207" s="2024"/>
      <c r="F207" s="2022"/>
      <c r="G207" s="2026"/>
      <c r="H207" s="2024"/>
      <c r="J207" s="2022"/>
      <c r="K207" s="2026"/>
      <c r="L207" s="2024"/>
      <c r="M207" s="474"/>
      <c r="N207" s="2022"/>
      <c r="O207" s="2026"/>
      <c r="P207" s="2024"/>
      <c r="R207" s="2022"/>
      <c r="S207" s="2026"/>
      <c r="T207" s="2024"/>
      <c r="V207" s="2022"/>
      <c r="W207" s="2026"/>
      <c r="X207" s="2024"/>
      <c r="Z207" s="2022"/>
      <c r="AA207" s="2026"/>
      <c r="AB207" s="2024"/>
      <c r="AC207" s="474"/>
      <c r="AD207" s="2022"/>
      <c r="AE207" s="2026"/>
      <c r="AF207" s="2024"/>
      <c r="AH207" s="2022"/>
      <c r="AI207" s="2026"/>
      <c r="AJ207" s="2024"/>
      <c r="AL207" s="2022"/>
      <c r="AM207" s="2026"/>
      <c r="AN207" s="2024"/>
      <c r="AO207" s="477"/>
      <c r="AP207" s="477"/>
      <c r="AQ207" s="477"/>
    </row>
    <row r="208" spans="1:43" ht="15">
      <c r="A208" s="474"/>
      <c r="B208" s="2022"/>
      <c r="C208" s="2026"/>
      <c r="D208" s="2024"/>
      <c r="F208" s="2022"/>
      <c r="G208" s="2026"/>
      <c r="H208" s="2024"/>
      <c r="J208" s="2022"/>
      <c r="K208" s="2026"/>
      <c r="L208" s="2024"/>
      <c r="M208" s="474"/>
      <c r="N208" s="2022"/>
      <c r="O208" s="2026"/>
      <c r="P208" s="2024"/>
      <c r="R208" s="2022"/>
      <c r="S208" s="2026"/>
      <c r="T208" s="2024"/>
      <c r="V208" s="2022"/>
      <c r="W208" s="2026"/>
      <c r="X208" s="2024"/>
      <c r="Z208" s="2022"/>
      <c r="AA208" s="2026"/>
      <c r="AB208" s="2024"/>
      <c r="AC208" s="474"/>
      <c r="AD208" s="2022"/>
      <c r="AE208" s="2026"/>
      <c r="AF208" s="2024"/>
      <c r="AH208" s="2022"/>
      <c r="AI208" s="2026"/>
      <c r="AJ208" s="2024"/>
      <c r="AL208" s="2022"/>
      <c r="AM208" s="2026"/>
      <c r="AN208" s="2024"/>
      <c r="AO208" s="477"/>
      <c r="AP208" s="477"/>
      <c r="AQ208" s="477"/>
    </row>
    <row r="209" spans="1:43" ht="15">
      <c r="A209" s="474"/>
      <c r="B209" s="2022"/>
      <c r="C209" s="2026"/>
      <c r="D209" s="2024"/>
      <c r="F209" s="2022"/>
      <c r="G209" s="2026"/>
      <c r="H209" s="2024"/>
      <c r="J209" s="2022"/>
      <c r="K209" s="2026"/>
      <c r="L209" s="2024"/>
      <c r="M209" s="474"/>
      <c r="N209" s="2022"/>
      <c r="O209" s="2026"/>
      <c r="P209" s="2024"/>
      <c r="R209" s="2022"/>
      <c r="S209" s="2026"/>
      <c r="T209" s="2024"/>
      <c r="V209" s="2022"/>
      <c r="W209" s="2026"/>
      <c r="X209" s="2024"/>
      <c r="Z209" s="2022"/>
      <c r="AA209" s="2026"/>
      <c r="AB209" s="2024"/>
      <c r="AC209" s="474"/>
      <c r="AD209" s="2022"/>
      <c r="AE209" s="2026"/>
      <c r="AF209" s="2024"/>
      <c r="AH209" s="2022"/>
      <c r="AI209" s="2026"/>
      <c r="AJ209" s="2024"/>
      <c r="AL209" s="2022"/>
      <c r="AM209" s="2026"/>
      <c r="AN209" s="2024"/>
      <c r="AO209" s="477"/>
      <c r="AP209" s="477"/>
      <c r="AQ209" s="477"/>
    </row>
    <row r="210" spans="1:43" ht="15">
      <c r="A210" s="474"/>
      <c r="B210" s="2022"/>
      <c r="C210" s="2026"/>
      <c r="D210" s="2024"/>
      <c r="F210" s="2022"/>
      <c r="G210" s="2026"/>
      <c r="H210" s="2024"/>
      <c r="J210" s="2022"/>
      <c r="K210" s="2026"/>
      <c r="L210" s="2024"/>
      <c r="M210" s="474"/>
      <c r="N210" s="2022"/>
      <c r="O210" s="2026"/>
      <c r="P210" s="2024"/>
      <c r="R210" s="2022"/>
      <c r="S210" s="2026"/>
      <c r="T210" s="2024"/>
      <c r="V210" s="2022"/>
      <c r="W210" s="2026"/>
      <c r="X210" s="2024"/>
      <c r="Z210" s="2022"/>
      <c r="AA210" s="2026"/>
      <c r="AB210" s="2024"/>
      <c r="AC210" s="474"/>
      <c r="AD210" s="2022"/>
      <c r="AE210" s="2026"/>
      <c r="AF210" s="2024"/>
      <c r="AH210" s="2022"/>
      <c r="AI210" s="2026"/>
      <c r="AJ210" s="2024"/>
      <c r="AL210" s="2022"/>
      <c r="AM210" s="2026"/>
      <c r="AN210" s="2024"/>
      <c r="AO210" s="477"/>
      <c r="AP210" s="477"/>
      <c r="AQ210" s="477"/>
    </row>
    <row r="211" spans="1:43" ht="15">
      <c r="A211" s="474"/>
      <c r="B211" s="2022"/>
      <c r="C211" s="2026"/>
      <c r="D211" s="2024"/>
      <c r="F211" s="2022"/>
      <c r="G211" s="2026"/>
      <c r="H211" s="2024"/>
      <c r="J211" s="2022"/>
      <c r="K211" s="2026"/>
      <c r="L211" s="2024"/>
      <c r="M211" s="474"/>
      <c r="N211" s="2022"/>
      <c r="O211" s="2026"/>
      <c r="P211" s="2024"/>
      <c r="R211" s="2022"/>
      <c r="S211" s="2026"/>
      <c r="T211" s="2024"/>
      <c r="V211" s="2022"/>
      <c r="W211" s="2026"/>
      <c r="X211" s="2024"/>
      <c r="Z211" s="2022"/>
      <c r="AA211" s="2026"/>
      <c r="AB211" s="2024"/>
      <c r="AC211" s="474"/>
      <c r="AD211" s="2022"/>
      <c r="AE211" s="2026"/>
      <c r="AF211" s="2024"/>
      <c r="AH211" s="2022"/>
      <c r="AI211" s="2026"/>
      <c r="AJ211" s="2024"/>
      <c r="AL211" s="2022"/>
      <c r="AM211" s="2026"/>
      <c r="AN211" s="2024"/>
      <c r="AO211" s="477"/>
      <c r="AP211" s="477"/>
      <c r="AQ211" s="477"/>
    </row>
    <row r="212" spans="1:43" ht="15">
      <c r="A212" s="474"/>
      <c r="B212" s="2022"/>
      <c r="C212" s="2026"/>
      <c r="D212" s="2024"/>
      <c r="F212" s="2022"/>
      <c r="G212" s="2026"/>
      <c r="H212" s="2024"/>
      <c r="J212" s="2022"/>
      <c r="K212" s="2026"/>
      <c r="L212" s="2024"/>
      <c r="M212" s="474"/>
      <c r="N212" s="2022"/>
      <c r="O212" s="2026"/>
      <c r="P212" s="2024"/>
      <c r="R212" s="2022"/>
      <c r="S212" s="2026"/>
      <c r="T212" s="2024"/>
      <c r="V212" s="2022"/>
      <c r="W212" s="2026"/>
      <c r="X212" s="2024"/>
      <c r="Z212" s="2022"/>
      <c r="AA212" s="2026"/>
      <c r="AB212" s="2024"/>
      <c r="AC212" s="474"/>
      <c r="AD212" s="2022"/>
      <c r="AE212" s="2026"/>
      <c r="AF212" s="2024"/>
      <c r="AH212" s="2022"/>
      <c r="AI212" s="2026"/>
      <c r="AJ212" s="2024"/>
      <c r="AL212" s="2022"/>
      <c r="AM212" s="2026"/>
      <c r="AN212" s="2024"/>
      <c r="AO212" s="477"/>
      <c r="AP212" s="477"/>
      <c r="AQ212" s="477"/>
    </row>
    <row r="213" spans="1:43" ht="15">
      <c r="A213" s="474"/>
      <c r="B213" s="2022"/>
      <c r="C213" s="2026"/>
      <c r="D213" s="2024"/>
      <c r="F213" s="2022"/>
      <c r="G213" s="2026"/>
      <c r="H213" s="2024"/>
      <c r="J213" s="2022"/>
      <c r="K213" s="2026"/>
      <c r="L213" s="2024"/>
      <c r="M213" s="474"/>
      <c r="N213" s="2022"/>
      <c r="O213" s="2026"/>
      <c r="P213" s="2024"/>
      <c r="R213" s="2022"/>
      <c r="S213" s="2026"/>
      <c r="T213" s="2024"/>
      <c r="V213" s="2022"/>
      <c r="W213" s="2026"/>
      <c r="X213" s="2024"/>
      <c r="Z213" s="2022"/>
      <c r="AA213" s="2026"/>
      <c r="AB213" s="2024"/>
      <c r="AC213" s="474"/>
      <c r="AD213" s="2022"/>
      <c r="AE213" s="2026"/>
      <c r="AF213" s="2024"/>
      <c r="AH213" s="2022"/>
      <c r="AI213" s="2026"/>
      <c r="AJ213" s="2024"/>
      <c r="AL213" s="2022"/>
      <c r="AM213" s="2026"/>
      <c r="AN213" s="2024"/>
      <c r="AO213" s="477"/>
      <c r="AP213" s="477"/>
      <c r="AQ213" s="477"/>
    </row>
    <row r="214" spans="1:43" ht="15">
      <c r="A214" s="474"/>
      <c r="B214" s="2022"/>
      <c r="C214" s="2026"/>
      <c r="D214" s="2024"/>
      <c r="F214" s="2022"/>
      <c r="G214" s="2026"/>
      <c r="H214" s="2024"/>
      <c r="J214" s="2022"/>
      <c r="K214" s="2026"/>
      <c r="L214" s="2024"/>
      <c r="M214" s="474"/>
      <c r="N214" s="2022"/>
      <c r="O214" s="2026"/>
      <c r="P214" s="2024"/>
      <c r="R214" s="2022"/>
      <c r="S214" s="2026"/>
      <c r="T214" s="2024"/>
      <c r="V214" s="2022"/>
      <c r="W214" s="2026"/>
      <c r="X214" s="2024"/>
      <c r="Z214" s="2022"/>
      <c r="AA214" s="2026"/>
      <c r="AB214" s="2024"/>
      <c r="AC214" s="474"/>
      <c r="AD214" s="2022"/>
      <c r="AE214" s="2026"/>
      <c r="AF214" s="2024"/>
      <c r="AH214" s="2022"/>
      <c r="AI214" s="2026"/>
      <c r="AJ214" s="2024"/>
      <c r="AL214" s="2022"/>
      <c r="AM214" s="2026"/>
      <c r="AN214" s="2024"/>
      <c r="AO214" s="477"/>
      <c r="AP214" s="477"/>
      <c r="AQ214" s="477"/>
    </row>
    <row r="215" spans="1:43" ht="15">
      <c r="A215" s="474"/>
      <c r="B215" s="2022"/>
      <c r="C215" s="2026"/>
      <c r="D215" s="2024"/>
      <c r="F215" s="2022"/>
      <c r="G215" s="2026"/>
      <c r="H215" s="2024"/>
      <c r="J215" s="2022"/>
      <c r="K215" s="2026"/>
      <c r="L215" s="2024"/>
      <c r="M215" s="474"/>
      <c r="N215" s="2022"/>
      <c r="O215" s="2026"/>
      <c r="P215" s="2024"/>
      <c r="R215" s="2022"/>
      <c r="S215" s="2026"/>
      <c r="T215" s="2024"/>
      <c r="V215" s="2022"/>
      <c r="W215" s="2026"/>
      <c r="X215" s="2024"/>
      <c r="Z215" s="2022"/>
      <c r="AA215" s="2026"/>
      <c r="AB215" s="2024"/>
      <c r="AC215" s="474"/>
      <c r="AD215" s="2022"/>
      <c r="AE215" s="2026"/>
      <c r="AF215" s="2024"/>
      <c r="AH215" s="2022"/>
      <c r="AI215" s="2026"/>
      <c r="AJ215" s="2024"/>
      <c r="AL215" s="2022"/>
      <c r="AM215" s="2026"/>
      <c r="AN215" s="2024"/>
      <c r="AO215" s="477"/>
      <c r="AP215" s="477"/>
      <c r="AQ215" s="477"/>
    </row>
    <row r="216" spans="1:43" ht="15">
      <c r="A216" s="474"/>
      <c r="B216" s="2022"/>
      <c r="C216" s="2026"/>
      <c r="D216" s="2024"/>
      <c r="F216" s="2022"/>
      <c r="G216" s="2026"/>
      <c r="H216" s="2024"/>
      <c r="J216" s="2022"/>
      <c r="K216" s="2026"/>
      <c r="L216" s="2024"/>
      <c r="M216" s="474"/>
      <c r="N216" s="2022"/>
      <c r="O216" s="2026"/>
      <c r="P216" s="2024"/>
      <c r="R216" s="2022"/>
      <c r="S216" s="2026"/>
      <c r="T216" s="2024"/>
      <c r="V216" s="2022"/>
      <c r="W216" s="2026"/>
      <c r="X216" s="2024"/>
      <c r="Z216" s="2022"/>
      <c r="AA216" s="2026"/>
      <c r="AB216" s="2024"/>
      <c r="AC216" s="474"/>
      <c r="AD216" s="2022"/>
      <c r="AE216" s="2026"/>
      <c r="AF216" s="2024"/>
      <c r="AH216" s="2022"/>
      <c r="AI216" s="2026"/>
      <c r="AJ216" s="2024"/>
      <c r="AL216" s="2022"/>
      <c r="AM216" s="2026"/>
      <c r="AN216" s="2024"/>
      <c r="AO216" s="477"/>
      <c r="AP216" s="477"/>
      <c r="AQ216" s="477"/>
    </row>
    <row r="217" spans="1:43" ht="15">
      <c r="A217" s="474"/>
      <c r="B217" s="2022"/>
      <c r="C217" s="2026"/>
      <c r="D217" s="2024"/>
      <c r="F217" s="2022"/>
      <c r="G217" s="2026"/>
      <c r="H217" s="2024"/>
      <c r="J217" s="2022"/>
      <c r="K217" s="2026"/>
      <c r="L217" s="2024"/>
      <c r="M217" s="474"/>
      <c r="N217" s="2022"/>
      <c r="O217" s="2026"/>
      <c r="P217" s="2024"/>
      <c r="R217" s="2022"/>
      <c r="S217" s="2026"/>
      <c r="T217" s="2024"/>
      <c r="V217" s="2022"/>
      <c r="W217" s="2026"/>
      <c r="X217" s="2024"/>
      <c r="Z217" s="2022"/>
      <c r="AA217" s="2026"/>
      <c r="AB217" s="2024"/>
      <c r="AC217" s="474"/>
      <c r="AD217" s="2022"/>
      <c r="AE217" s="2026"/>
      <c r="AF217" s="2024"/>
      <c r="AH217" s="2022"/>
      <c r="AI217" s="2026"/>
      <c r="AJ217" s="2024"/>
      <c r="AL217" s="2022"/>
      <c r="AM217" s="2026"/>
      <c r="AN217" s="2024"/>
      <c r="AO217" s="477"/>
      <c r="AP217" s="477"/>
      <c r="AQ217" s="477"/>
    </row>
    <row r="218" spans="1:43" ht="15">
      <c r="A218" s="474"/>
      <c r="B218" s="2022"/>
      <c r="C218" s="2026"/>
      <c r="D218" s="2024"/>
      <c r="F218" s="2022"/>
      <c r="G218" s="2026"/>
      <c r="H218" s="2024"/>
      <c r="J218" s="2022"/>
      <c r="K218" s="2026"/>
      <c r="L218" s="2024"/>
      <c r="M218" s="474"/>
      <c r="N218" s="2022"/>
      <c r="O218" s="2026"/>
      <c r="P218" s="2024"/>
      <c r="R218" s="2022"/>
      <c r="S218" s="2026"/>
      <c r="T218" s="2024"/>
      <c r="V218" s="2022"/>
      <c r="W218" s="2026"/>
      <c r="X218" s="2024"/>
      <c r="Z218" s="2022"/>
      <c r="AA218" s="2026"/>
      <c r="AB218" s="2024"/>
      <c r="AC218" s="474"/>
      <c r="AD218" s="2022"/>
      <c r="AE218" s="2026"/>
      <c r="AF218" s="2024"/>
      <c r="AH218" s="2022"/>
      <c r="AI218" s="2026"/>
      <c r="AJ218" s="2024"/>
      <c r="AL218" s="2022"/>
      <c r="AM218" s="2026"/>
      <c r="AN218" s="2024"/>
      <c r="AO218" s="477"/>
      <c r="AP218" s="477"/>
      <c r="AQ218" s="477"/>
    </row>
    <row r="219" spans="1:43" ht="15">
      <c r="A219" s="474"/>
      <c r="B219" s="2022"/>
      <c r="C219" s="2026"/>
      <c r="D219" s="2024"/>
      <c r="F219" s="2022"/>
      <c r="G219" s="2026"/>
      <c r="H219" s="2024"/>
      <c r="J219" s="2022"/>
      <c r="K219" s="2026"/>
      <c r="L219" s="2024"/>
      <c r="M219" s="474"/>
      <c r="N219" s="2022"/>
      <c r="O219" s="2026"/>
      <c r="P219" s="2024"/>
      <c r="R219" s="2022"/>
      <c r="S219" s="2026"/>
      <c r="T219" s="2024"/>
      <c r="V219" s="2022"/>
      <c r="W219" s="2026"/>
      <c r="X219" s="2024"/>
      <c r="Z219" s="2022"/>
      <c r="AA219" s="2026"/>
      <c r="AB219" s="2024"/>
      <c r="AC219" s="474"/>
      <c r="AD219" s="2022"/>
      <c r="AE219" s="2026"/>
      <c r="AF219" s="2024"/>
      <c r="AH219" s="2022"/>
      <c r="AI219" s="2026"/>
      <c r="AJ219" s="2024"/>
      <c r="AL219" s="2022"/>
      <c r="AM219" s="2026"/>
      <c r="AN219" s="2024"/>
      <c r="AO219" s="477"/>
      <c r="AP219" s="477"/>
      <c r="AQ219" s="477"/>
    </row>
    <row r="220" spans="1:43" ht="15">
      <c r="A220" s="474"/>
      <c r="B220" s="2022"/>
      <c r="C220" s="2026"/>
      <c r="D220" s="2024"/>
      <c r="F220" s="2022"/>
      <c r="G220" s="2026"/>
      <c r="H220" s="2024"/>
      <c r="J220" s="2022"/>
      <c r="K220" s="2026"/>
      <c r="L220" s="2024"/>
      <c r="M220" s="474"/>
      <c r="N220" s="2022"/>
      <c r="O220" s="2026"/>
      <c r="P220" s="2024"/>
      <c r="R220" s="2022"/>
      <c r="S220" s="2026"/>
      <c r="T220" s="2024"/>
      <c r="V220" s="2022"/>
      <c r="W220" s="2026"/>
      <c r="X220" s="2024"/>
      <c r="Z220" s="2022"/>
      <c r="AA220" s="2026"/>
      <c r="AB220" s="2024"/>
      <c r="AC220" s="474"/>
      <c r="AD220" s="2022"/>
      <c r="AE220" s="2026"/>
      <c r="AF220" s="2024"/>
      <c r="AH220" s="2022"/>
      <c r="AI220" s="2026"/>
      <c r="AJ220" s="2024"/>
      <c r="AL220" s="2022"/>
      <c r="AM220" s="2026"/>
      <c r="AN220" s="2024"/>
      <c r="AO220" s="477"/>
      <c r="AP220" s="477"/>
      <c r="AQ220" s="477"/>
    </row>
    <row r="221" spans="1:43" ht="15.75" thickBot="1">
      <c r="A221" s="474"/>
      <c r="B221" s="2027"/>
      <c r="C221" s="2028"/>
      <c r="D221" s="2029"/>
      <c r="F221" s="2027"/>
      <c r="G221" s="2028"/>
      <c r="H221" s="2029"/>
      <c r="J221" s="2027"/>
      <c r="K221" s="2028"/>
      <c r="L221" s="2029"/>
      <c r="M221" s="474"/>
      <c r="N221" s="2027"/>
      <c r="O221" s="2028"/>
      <c r="P221" s="2029"/>
      <c r="R221" s="2027"/>
      <c r="S221" s="2028"/>
      <c r="T221" s="2029"/>
      <c r="V221" s="2027"/>
      <c r="W221" s="2028"/>
      <c r="X221" s="2029"/>
      <c r="Z221" s="2027"/>
      <c r="AA221" s="2028"/>
      <c r="AB221" s="2029"/>
      <c r="AC221" s="474"/>
      <c r="AD221" s="2027"/>
      <c r="AE221" s="2028"/>
      <c r="AF221" s="2029"/>
      <c r="AH221" s="2027"/>
      <c r="AI221" s="2028"/>
      <c r="AJ221" s="2029"/>
      <c r="AL221" s="2027"/>
      <c r="AM221" s="2028"/>
      <c r="AN221" s="2029"/>
      <c r="AO221" s="477"/>
      <c r="AP221" s="477"/>
      <c r="AQ221" s="477"/>
    </row>
    <row r="222" spans="1:43" ht="12.75" customHeight="1">
      <c r="B222" s="321" t="s">
        <v>34</v>
      </c>
      <c r="AA222" s="2030"/>
      <c r="AB222" s="2030"/>
      <c r="AC222" s="2030"/>
      <c r="AD222" s="477"/>
      <c r="AE222" s="477"/>
      <c r="AF222" s="477"/>
      <c r="AG222" s="477"/>
      <c r="AH222" s="477"/>
      <c r="AI222" s="477"/>
      <c r="AJ222" s="477"/>
      <c r="AK222" s="477"/>
      <c r="AL222" s="477"/>
      <c r="AM222" s="477"/>
      <c r="AN222" s="477"/>
      <c r="AO222" s="477"/>
      <c r="AP222" s="477"/>
      <c r="AQ222" s="477"/>
    </row>
    <row r="223" spans="1:43" ht="12.75" customHeight="1" thickBot="1">
      <c r="B223" s="321" t="s">
        <v>130</v>
      </c>
      <c r="AA223" s="2030"/>
      <c r="AB223" s="2030"/>
      <c r="AC223" s="2030"/>
      <c r="AD223" s="477"/>
      <c r="AE223" s="477"/>
      <c r="AF223" s="477"/>
      <c r="AG223" s="477"/>
      <c r="AH223" s="477"/>
      <c r="AI223" s="477"/>
      <c r="AJ223" s="477"/>
      <c r="AK223" s="477"/>
      <c r="AL223" s="477"/>
      <c r="AM223" s="477"/>
      <c r="AN223" s="477"/>
      <c r="AO223" s="477"/>
      <c r="AP223" s="477"/>
      <c r="AQ223" s="477"/>
    </row>
    <row r="224" spans="1:43" ht="200.1" customHeight="1" thickBot="1">
      <c r="B224" s="2045"/>
      <c r="C224" s="2046"/>
      <c r="D224" s="2047"/>
      <c r="E224" s="245"/>
      <c r="F224" s="2045"/>
      <c r="G224" s="2046"/>
      <c r="H224" s="2047"/>
      <c r="I224" s="245"/>
      <c r="J224" s="2045"/>
      <c r="K224" s="2046"/>
      <c r="L224" s="2047"/>
      <c r="M224" s="245"/>
      <c r="N224" s="2045"/>
      <c r="O224" s="2046"/>
      <c r="P224" s="2047"/>
      <c r="R224" s="2045"/>
      <c r="S224" s="2046"/>
      <c r="T224" s="2047"/>
      <c r="V224" s="2045"/>
      <c r="W224" s="2046"/>
      <c r="X224" s="2047"/>
      <c r="Z224" s="2045"/>
      <c r="AA224" s="2046"/>
      <c r="AB224" s="2047"/>
      <c r="AC224" s="2030"/>
      <c r="AD224" s="2045"/>
      <c r="AE224" s="2046"/>
      <c r="AF224" s="2047"/>
      <c r="AG224" s="477"/>
      <c r="AH224" s="2045"/>
      <c r="AI224" s="2046"/>
      <c r="AJ224" s="2047"/>
      <c r="AK224" s="477"/>
      <c r="AL224" s="2045"/>
      <c r="AM224" s="2046"/>
      <c r="AN224" s="2047"/>
      <c r="AO224" s="477"/>
      <c r="AP224" s="477"/>
      <c r="AQ224" s="477"/>
    </row>
    <row r="225" spans="1:43" ht="16.5" customHeight="1">
      <c r="AA225" s="2030"/>
      <c r="AB225" s="2030"/>
      <c r="AC225" s="2030"/>
      <c r="AD225" s="477"/>
      <c r="AE225" s="477"/>
      <c r="AF225" s="477"/>
      <c r="AG225" s="477"/>
      <c r="AH225" s="477"/>
      <c r="AI225" s="477"/>
      <c r="AJ225" s="477"/>
      <c r="AK225" s="477"/>
      <c r="AL225" s="477"/>
      <c r="AM225" s="477"/>
      <c r="AN225" s="477"/>
      <c r="AO225" s="477"/>
      <c r="AP225" s="477"/>
      <c r="AQ225" s="477"/>
    </row>
    <row r="226" spans="1:43" ht="18.75">
      <c r="A226" s="474"/>
      <c r="B226" s="495" t="s">
        <v>10</v>
      </c>
      <c r="AD226" s="477"/>
      <c r="AE226" s="477"/>
      <c r="AF226" s="477"/>
      <c r="AG226" s="477"/>
      <c r="AH226" s="477"/>
      <c r="AI226" s="477"/>
      <c r="AJ226" s="477"/>
      <c r="AK226" s="477"/>
      <c r="AL226" s="477"/>
      <c r="AM226" s="477"/>
      <c r="AN226" s="477"/>
      <c r="AO226" s="477"/>
      <c r="AP226" s="477"/>
      <c r="AQ226" s="477"/>
    </row>
    <row r="227" spans="1:43" ht="15.75" thickBot="1">
      <c r="AD227" s="477"/>
      <c r="AE227" s="477"/>
      <c r="AF227" s="477"/>
      <c r="AG227" s="477"/>
      <c r="AH227" s="477"/>
      <c r="AI227" s="477"/>
      <c r="AJ227" s="477"/>
      <c r="AK227" s="477"/>
      <c r="AL227" s="477"/>
      <c r="AM227" s="477"/>
      <c r="AN227" s="477"/>
      <c r="AO227" s="477"/>
      <c r="AP227" s="477"/>
      <c r="AQ227" s="477"/>
    </row>
    <row r="228" spans="1:43" ht="15.75" thickBot="1">
      <c r="B228" s="2033" t="s">
        <v>216</v>
      </c>
      <c r="C228" s="2034"/>
      <c r="D228" s="2034"/>
      <c r="E228" s="2054"/>
      <c r="F228" s="2049"/>
      <c r="AD228" s="477"/>
      <c r="AE228" s="477"/>
      <c r="AF228" s="477"/>
      <c r="AG228" s="477"/>
      <c r="AH228" s="477"/>
      <c r="AI228" s="477"/>
      <c r="AJ228" s="477"/>
      <c r="AK228" s="477"/>
      <c r="AL228" s="477"/>
      <c r="AM228" s="477"/>
      <c r="AN228" s="477"/>
      <c r="AO228" s="477"/>
      <c r="AP228" s="477"/>
      <c r="AQ228" s="477"/>
    </row>
    <row r="229" spans="1:43" ht="15">
      <c r="AD229" s="477"/>
      <c r="AE229" s="477"/>
      <c r="AF229" s="477"/>
      <c r="AG229" s="477"/>
      <c r="AH229" s="477"/>
      <c r="AI229" s="477"/>
      <c r="AJ229" s="477"/>
      <c r="AK229" s="477"/>
      <c r="AL229" s="477"/>
      <c r="AM229" s="477"/>
      <c r="AN229" s="477"/>
      <c r="AO229" s="477"/>
      <c r="AP229" s="477"/>
      <c r="AQ229" s="477"/>
    </row>
    <row r="230" spans="1:43" ht="15">
      <c r="B230" s="321" t="s">
        <v>40</v>
      </c>
      <c r="AD230" s="477"/>
      <c r="AE230" s="477"/>
      <c r="AF230" s="477"/>
      <c r="AG230" s="477"/>
      <c r="AH230" s="477"/>
      <c r="AI230" s="477"/>
      <c r="AJ230" s="477"/>
      <c r="AK230" s="477"/>
      <c r="AL230" s="477"/>
      <c r="AM230" s="477"/>
      <c r="AN230" s="477"/>
      <c r="AO230" s="477"/>
      <c r="AP230" s="477"/>
      <c r="AQ230" s="477"/>
    </row>
    <row r="231" spans="1:43" ht="15.75" thickBot="1">
      <c r="AD231" s="477"/>
      <c r="AE231" s="477"/>
      <c r="AF231" s="477"/>
      <c r="AG231" s="477"/>
      <c r="AH231" s="477"/>
      <c r="AI231" s="477"/>
      <c r="AJ231" s="477"/>
      <c r="AK231" s="477"/>
      <c r="AL231" s="477"/>
      <c r="AM231" s="477"/>
      <c r="AN231" s="477"/>
      <c r="AO231" s="477"/>
      <c r="AP231" s="477"/>
      <c r="AQ231" s="477"/>
    </row>
    <row r="232" spans="1:43" ht="15">
      <c r="B232" s="2042" t="s">
        <v>564</v>
      </c>
      <c r="C232" s="2050" t="s">
        <v>695</v>
      </c>
      <c r="D232" s="1007"/>
      <c r="F232" s="2042" t="s">
        <v>564</v>
      </c>
      <c r="G232" s="2050" t="s">
        <v>696</v>
      </c>
      <c r="H232" s="1007"/>
      <c r="J232" s="2042" t="s">
        <v>564</v>
      </c>
      <c r="K232" s="2050" t="s">
        <v>697</v>
      </c>
      <c r="L232" s="1007"/>
      <c r="M232" s="474"/>
      <c r="N232" s="2042" t="s">
        <v>564</v>
      </c>
      <c r="O232" s="2050" t="s">
        <v>698</v>
      </c>
      <c r="P232" s="1007"/>
      <c r="R232" s="2042" t="s">
        <v>564</v>
      </c>
      <c r="S232" s="2050" t="s">
        <v>699</v>
      </c>
      <c r="T232" s="1007"/>
      <c r="V232" s="2042" t="s">
        <v>564</v>
      </c>
      <c r="W232" s="2050" t="s">
        <v>700</v>
      </c>
      <c r="X232" s="1007"/>
      <c r="Z232" s="2042" t="s">
        <v>564</v>
      </c>
      <c r="AA232" s="2050" t="s">
        <v>701</v>
      </c>
      <c r="AB232" s="1007"/>
      <c r="AC232" s="474"/>
      <c r="AD232" s="2042" t="s">
        <v>564</v>
      </c>
      <c r="AE232" s="2050" t="s">
        <v>702</v>
      </c>
      <c r="AF232" s="1007"/>
      <c r="AH232" s="2042" t="s">
        <v>564</v>
      </c>
      <c r="AI232" s="2050" t="s">
        <v>703</v>
      </c>
      <c r="AJ232" s="1007"/>
      <c r="AL232" s="2042" t="s">
        <v>564</v>
      </c>
      <c r="AM232" s="2050" t="s">
        <v>704</v>
      </c>
      <c r="AN232" s="1007"/>
      <c r="AP232" s="477"/>
      <c r="AQ232" s="477"/>
    </row>
    <row r="233" spans="1:43" ht="15">
      <c r="B233" s="2043" t="s">
        <v>45</v>
      </c>
      <c r="C233" s="2051"/>
      <c r="D233" s="2005"/>
      <c r="F233" s="2043" t="s">
        <v>45</v>
      </c>
      <c r="G233" s="2051"/>
      <c r="H233" s="2005"/>
      <c r="J233" s="2043" t="s">
        <v>45</v>
      </c>
      <c r="K233" s="2051"/>
      <c r="L233" s="2005"/>
      <c r="M233" s="474"/>
      <c r="N233" s="2043" t="s">
        <v>45</v>
      </c>
      <c r="O233" s="2051"/>
      <c r="P233" s="2005"/>
      <c r="R233" s="2043" t="s">
        <v>45</v>
      </c>
      <c r="S233" s="2051"/>
      <c r="T233" s="2005"/>
      <c r="V233" s="2043" t="s">
        <v>45</v>
      </c>
      <c r="W233" s="2051"/>
      <c r="X233" s="2005"/>
      <c r="Z233" s="2043" t="s">
        <v>45</v>
      </c>
      <c r="AA233" s="2051"/>
      <c r="AB233" s="2005"/>
      <c r="AC233" s="474"/>
      <c r="AD233" s="2043" t="s">
        <v>45</v>
      </c>
      <c r="AE233" s="2051"/>
      <c r="AF233" s="2005"/>
      <c r="AH233" s="2043" t="s">
        <v>45</v>
      </c>
      <c r="AI233" s="2051"/>
      <c r="AJ233" s="2005"/>
      <c r="AL233" s="2043" t="s">
        <v>45</v>
      </c>
      <c r="AM233" s="2051"/>
      <c r="AN233" s="2005"/>
      <c r="AP233" s="477"/>
      <c r="AQ233" s="477"/>
    </row>
    <row r="234" spans="1:43" ht="15">
      <c r="B234" s="2043" t="s">
        <v>568</v>
      </c>
      <c r="C234" s="2052"/>
      <c r="D234" s="2007"/>
      <c r="F234" s="2043" t="s">
        <v>568</v>
      </c>
      <c r="G234" s="2052"/>
      <c r="H234" s="2007"/>
      <c r="J234" s="2043" t="s">
        <v>568</v>
      </c>
      <c r="K234" s="2052"/>
      <c r="L234" s="2007"/>
      <c r="M234" s="474"/>
      <c r="N234" s="2043" t="s">
        <v>568</v>
      </c>
      <c r="O234" s="2052"/>
      <c r="P234" s="2007"/>
      <c r="R234" s="2043" t="s">
        <v>568</v>
      </c>
      <c r="S234" s="2052"/>
      <c r="T234" s="2007"/>
      <c r="V234" s="2043" t="s">
        <v>568</v>
      </c>
      <c r="W234" s="2052"/>
      <c r="X234" s="2007"/>
      <c r="Z234" s="2043" t="s">
        <v>568</v>
      </c>
      <c r="AA234" s="2052"/>
      <c r="AB234" s="2007"/>
      <c r="AC234" s="474"/>
      <c r="AD234" s="2043" t="s">
        <v>568</v>
      </c>
      <c r="AE234" s="2052"/>
      <c r="AF234" s="2007"/>
      <c r="AH234" s="2043" t="s">
        <v>568</v>
      </c>
      <c r="AI234" s="2052"/>
      <c r="AJ234" s="2007"/>
      <c r="AL234" s="2043" t="s">
        <v>568</v>
      </c>
      <c r="AM234" s="2052"/>
      <c r="AN234" s="2007"/>
      <c r="AP234" s="477"/>
      <c r="AQ234" s="477"/>
    </row>
    <row r="235" spans="1:43" ht="15.75" thickBot="1">
      <c r="B235" s="2044" t="s">
        <v>569</v>
      </c>
      <c r="C235" s="2053"/>
      <c r="D235" s="2009"/>
      <c r="F235" s="2044" t="s">
        <v>569</v>
      </c>
      <c r="G235" s="2053"/>
      <c r="H235" s="2009"/>
      <c r="J235" s="2044" t="s">
        <v>569</v>
      </c>
      <c r="K235" s="2053"/>
      <c r="L235" s="2009"/>
      <c r="M235" s="474"/>
      <c r="N235" s="2044" t="s">
        <v>569</v>
      </c>
      <c r="O235" s="2053"/>
      <c r="P235" s="2009"/>
      <c r="R235" s="2044" t="s">
        <v>569</v>
      </c>
      <c r="S235" s="2053"/>
      <c r="T235" s="2009"/>
      <c r="V235" s="2044" t="s">
        <v>569</v>
      </c>
      <c r="W235" s="2053"/>
      <c r="X235" s="2009"/>
      <c r="Z235" s="2044" t="s">
        <v>569</v>
      </c>
      <c r="AA235" s="2053"/>
      <c r="AB235" s="2009"/>
      <c r="AC235" s="474"/>
      <c r="AD235" s="2044" t="s">
        <v>569</v>
      </c>
      <c r="AE235" s="2053"/>
      <c r="AF235" s="2009"/>
      <c r="AH235" s="2044" t="s">
        <v>569</v>
      </c>
      <c r="AI235" s="2053"/>
      <c r="AJ235" s="2009"/>
      <c r="AL235" s="2044" t="s">
        <v>569</v>
      </c>
      <c r="AM235" s="2053"/>
      <c r="AN235" s="2009"/>
      <c r="AP235" s="477"/>
      <c r="AQ235" s="477"/>
    </row>
    <row r="236" spans="1:43" ht="15.75" thickBot="1">
      <c r="B236" s="475"/>
      <c r="C236" s="476"/>
      <c r="D236" s="476"/>
      <c r="F236" s="475"/>
      <c r="G236" s="476"/>
      <c r="H236" s="476"/>
      <c r="J236" s="475"/>
      <c r="K236" s="476"/>
      <c r="L236" s="476"/>
      <c r="N236" s="475"/>
      <c r="O236" s="476"/>
      <c r="P236" s="476"/>
      <c r="R236" s="475"/>
      <c r="S236" s="476"/>
      <c r="T236" s="476"/>
      <c r="V236" s="475"/>
      <c r="W236" s="476"/>
      <c r="X236" s="476"/>
      <c r="Z236" s="475"/>
      <c r="AA236" s="476"/>
      <c r="AB236" s="476"/>
      <c r="AD236" s="282"/>
      <c r="AE236" s="476"/>
      <c r="AF236" s="476"/>
      <c r="AH236" s="475"/>
      <c r="AI236" s="476"/>
      <c r="AJ236" s="476"/>
      <c r="AL236" s="475"/>
      <c r="AM236" s="476"/>
      <c r="AN236" s="476"/>
      <c r="AP236" s="477"/>
      <c r="AQ236" s="477"/>
    </row>
    <row r="237" spans="1:43" s="902" customFormat="1" ht="75" customHeight="1" thickBot="1">
      <c r="A237" s="2035"/>
      <c r="B237" s="2039" t="s">
        <v>562</v>
      </c>
      <c r="C237" s="2040" t="s">
        <v>563</v>
      </c>
      <c r="D237" s="2041" t="s">
        <v>620</v>
      </c>
      <c r="F237" s="2039" t="s">
        <v>562</v>
      </c>
      <c r="G237" s="2040" t="s">
        <v>563</v>
      </c>
      <c r="H237" s="2041" t="s">
        <v>620</v>
      </c>
      <c r="J237" s="2039" t="s">
        <v>562</v>
      </c>
      <c r="K237" s="2040" t="s">
        <v>563</v>
      </c>
      <c r="L237" s="2041" t="s">
        <v>620</v>
      </c>
      <c r="N237" s="2039" t="s">
        <v>562</v>
      </c>
      <c r="O237" s="2040" t="s">
        <v>563</v>
      </c>
      <c r="P237" s="2041" t="s">
        <v>620</v>
      </c>
      <c r="R237" s="2039" t="s">
        <v>562</v>
      </c>
      <c r="S237" s="2040" t="s">
        <v>563</v>
      </c>
      <c r="T237" s="2041" t="s">
        <v>620</v>
      </c>
      <c r="V237" s="2039" t="s">
        <v>562</v>
      </c>
      <c r="W237" s="2040" t="s">
        <v>563</v>
      </c>
      <c r="X237" s="2041" t="s">
        <v>620</v>
      </c>
      <c r="Z237" s="2039" t="s">
        <v>562</v>
      </c>
      <c r="AA237" s="2040" t="s">
        <v>563</v>
      </c>
      <c r="AB237" s="2041" t="s">
        <v>620</v>
      </c>
      <c r="AD237" s="2039" t="s">
        <v>562</v>
      </c>
      <c r="AE237" s="2040" t="s">
        <v>563</v>
      </c>
      <c r="AF237" s="2041" t="s">
        <v>620</v>
      </c>
      <c r="AH237" s="2039" t="s">
        <v>562</v>
      </c>
      <c r="AI237" s="2040" t="s">
        <v>563</v>
      </c>
      <c r="AJ237" s="2041" t="s">
        <v>620</v>
      </c>
      <c r="AL237" s="2039" t="s">
        <v>562</v>
      </c>
      <c r="AM237" s="2040" t="s">
        <v>563</v>
      </c>
      <c r="AN237" s="2041" t="s">
        <v>620</v>
      </c>
      <c r="AP237" s="2036"/>
      <c r="AQ237" s="2036"/>
    </row>
    <row r="238" spans="1:43" ht="15">
      <c r="B238" s="2019"/>
      <c r="C238" s="2021"/>
      <c r="D238" s="2018"/>
      <c r="F238" s="2019"/>
      <c r="G238" s="2021"/>
      <c r="H238" s="2018"/>
      <c r="J238" s="2019"/>
      <c r="K238" s="2021"/>
      <c r="L238" s="2018"/>
      <c r="N238" s="2019"/>
      <c r="O238" s="2021"/>
      <c r="P238" s="2018"/>
      <c r="R238" s="2019"/>
      <c r="S238" s="2021"/>
      <c r="T238" s="2018"/>
      <c r="V238" s="2019"/>
      <c r="W238" s="2021"/>
      <c r="X238" s="2018"/>
      <c r="Z238" s="2019"/>
      <c r="AA238" s="2021"/>
      <c r="AB238" s="2018"/>
      <c r="AD238" s="2019"/>
      <c r="AE238" s="2021"/>
      <c r="AF238" s="2018"/>
      <c r="AH238" s="2019"/>
      <c r="AI238" s="2021"/>
      <c r="AJ238" s="2018"/>
      <c r="AL238" s="2019"/>
      <c r="AM238" s="2021"/>
      <c r="AN238" s="2018"/>
      <c r="AP238" s="477"/>
      <c r="AQ238" s="477"/>
    </row>
    <row r="239" spans="1:43" ht="15">
      <c r="B239" s="2019"/>
      <c r="C239" s="2021"/>
      <c r="D239" s="2018"/>
      <c r="F239" s="2019"/>
      <c r="G239" s="2021"/>
      <c r="H239" s="2018"/>
      <c r="J239" s="2019"/>
      <c r="K239" s="2021"/>
      <c r="L239" s="2018"/>
      <c r="N239" s="2019"/>
      <c r="O239" s="2021"/>
      <c r="P239" s="2018"/>
      <c r="R239" s="2019"/>
      <c r="S239" s="2021"/>
      <c r="T239" s="2018"/>
      <c r="V239" s="2019"/>
      <c r="W239" s="2021"/>
      <c r="X239" s="2018"/>
      <c r="Z239" s="2019"/>
      <c r="AA239" s="2021"/>
      <c r="AB239" s="2018"/>
      <c r="AD239" s="2019"/>
      <c r="AE239" s="2021"/>
      <c r="AF239" s="2018"/>
      <c r="AH239" s="2019"/>
      <c r="AI239" s="2021"/>
      <c r="AJ239" s="2018"/>
      <c r="AL239" s="2019"/>
      <c r="AM239" s="2021"/>
      <c r="AN239" s="2018"/>
      <c r="AP239" s="477"/>
      <c r="AQ239" s="477"/>
    </row>
    <row r="240" spans="1:43" ht="15">
      <c r="B240" s="2019"/>
      <c r="C240" s="2021"/>
      <c r="D240" s="2018"/>
      <c r="F240" s="2019"/>
      <c r="G240" s="2021"/>
      <c r="H240" s="2018"/>
      <c r="J240" s="2019"/>
      <c r="K240" s="2021"/>
      <c r="L240" s="2018"/>
      <c r="N240" s="2019"/>
      <c r="O240" s="2021"/>
      <c r="P240" s="2018"/>
      <c r="R240" s="2019"/>
      <c r="S240" s="2021"/>
      <c r="T240" s="2018"/>
      <c r="V240" s="2019"/>
      <c r="W240" s="2021"/>
      <c r="X240" s="2018"/>
      <c r="Z240" s="2019"/>
      <c r="AA240" s="2021"/>
      <c r="AB240" s="2018"/>
      <c r="AD240" s="2019"/>
      <c r="AE240" s="2021"/>
      <c r="AF240" s="2018"/>
      <c r="AH240" s="2019"/>
      <c r="AI240" s="2021"/>
      <c r="AJ240" s="2018"/>
      <c r="AL240" s="2019"/>
      <c r="AM240" s="2021"/>
      <c r="AN240" s="2018"/>
      <c r="AP240" s="477"/>
      <c r="AQ240" s="477"/>
    </row>
    <row r="241" spans="2:43" ht="15">
      <c r="B241" s="2019"/>
      <c r="C241" s="2021"/>
      <c r="D241" s="2018"/>
      <c r="F241" s="2019"/>
      <c r="G241" s="2021"/>
      <c r="H241" s="2018"/>
      <c r="J241" s="2019"/>
      <c r="K241" s="2021"/>
      <c r="L241" s="2018"/>
      <c r="N241" s="2019"/>
      <c r="O241" s="2021"/>
      <c r="P241" s="2018"/>
      <c r="R241" s="2019"/>
      <c r="S241" s="2021"/>
      <c r="T241" s="2018"/>
      <c r="V241" s="2019"/>
      <c r="W241" s="2021"/>
      <c r="X241" s="2018"/>
      <c r="Z241" s="2019"/>
      <c r="AA241" s="2021"/>
      <c r="AB241" s="2018"/>
      <c r="AD241" s="2019"/>
      <c r="AE241" s="2021"/>
      <c r="AF241" s="2018"/>
      <c r="AH241" s="2019"/>
      <c r="AI241" s="2021"/>
      <c r="AJ241" s="2018"/>
      <c r="AL241" s="2019"/>
      <c r="AM241" s="2021"/>
      <c r="AN241" s="2018"/>
      <c r="AP241" s="477"/>
      <c r="AQ241" s="477"/>
    </row>
    <row r="242" spans="2:43" ht="15">
      <c r="B242" s="2019"/>
      <c r="C242" s="2021"/>
      <c r="D242" s="2018"/>
      <c r="F242" s="2019"/>
      <c r="G242" s="2021"/>
      <c r="H242" s="2018"/>
      <c r="J242" s="2019"/>
      <c r="K242" s="2021"/>
      <c r="L242" s="2018"/>
      <c r="N242" s="2019"/>
      <c r="O242" s="2021"/>
      <c r="P242" s="2018"/>
      <c r="R242" s="2019"/>
      <c r="S242" s="2021"/>
      <c r="T242" s="2018"/>
      <c r="V242" s="2019"/>
      <c r="W242" s="2021"/>
      <c r="X242" s="2018"/>
      <c r="Z242" s="2019"/>
      <c r="AA242" s="2021"/>
      <c r="AB242" s="2018"/>
      <c r="AD242" s="2019"/>
      <c r="AE242" s="2021"/>
      <c r="AF242" s="2018"/>
      <c r="AH242" s="2019"/>
      <c r="AI242" s="2021"/>
      <c r="AJ242" s="2018"/>
      <c r="AL242" s="2019"/>
      <c r="AM242" s="2021"/>
      <c r="AN242" s="2018"/>
      <c r="AP242" s="477"/>
      <c r="AQ242" s="477"/>
    </row>
    <row r="243" spans="2:43" ht="15">
      <c r="B243" s="2019"/>
      <c r="C243" s="2021"/>
      <c r="D243" s="2018"/>
      <c r="F243" s="2019"/>
      <c r="G243" s="2021"/>
      <c r="H243" s="2018"/>
      <c r="J243" s="2019"/>
      <c r="K243" s="2021"/>
      <c r="L243" s="2018"/>
      <c r="N243" s="2019"/>
      <c r="O243" s="2021"/>
      <c r="P243" s="2018"/>
      <c r="R243" s="2019"/>
      <c r="S243" s="2021"/>
      <c r="T243" s="2018"/>
      <c r="V243" s="2019"/>
      <c r="W243" s="2021"/>
      <c r="X243" s="2018"/>
      <c r="Z243" s="2019"/>
      <c r="AA243" s="2021"/>
      <c r="AB243" s="2018"/>
      <c r="AD243" s="2019"/>
      <c r="AE243" s="2021"/>
      <c r="AF243" s="2018"/>
      <c r="AH243" s="2019"/>
      <c r="AI243" s="2021"/>
      <c r="AJ243" s="2018"/>
      <c r="AL243" s="2019"/>
      <c r="AM243" s="2021"/>
      <c r="AN243" s="2018"/>
      <c r="AP243" s="477"/>
      <c r="AQ243" s="477"/>
    </row>
    <row r="244" spans="2:43" ht="15">
      <c r="B244" s="2019"/>
      <c r="C244" s="2021"/>
      <c r="D244" s="2018"/>
      <c r="F244" s="2019"/>
      <c r="G244" s="2021"/>
      <c r="H244" s="2018"/>
      <c r="J244" s="2019"/>
      <c r="K244" s="2021"/>
      <c r="L244" s="2018"/>
      <c r="N244" s="2019"/>
      <c r="O244" s="2021"/>
      <c r="P244" s="2018"/>
      <c r="R244" s="2019"/>
      <c r="S244" s="2021"/>
      <c r="T244" s="2018"/>
      <c r="V244" s="2019"/>
      <c r="W244" s="2021"/>
      <c r="X244" s="2018"/>
      <c r="Z244" s="2019"/>
      <c r="AA244" s="2021"/>
      <c r="AB244" s="2018"/>
      <c r="AD244" s="2019"/>
      <c r="AE244" s="2021"/>
      <c r="AF244" s="2018"/>
      <c r="AH244" s="2019"/>
      <c r="AI244" s="2021"/>
      <c r="AJ244" s="2018"/>
      <c r="AL244" s="2019"/>
      <c r="AM244" s="2021"/>
      <c r="AN244" s="2018"/>
      <c r="AP244" s="477"/>
      <c r="AQ244" s="477"/>
    </row>
    <row r="245" spans="2:43" ht="15">
      <c r="B245" s="2019"/>
      <c r="C245" s="2021"/>
      <c r="D245" s="2018"/>
      <c r="F245" s="2019"/>
      <c r="G245" s="2021"/>
      <c r="H245" s="2018"/>
      <c r="J245" s="2019"/>
      <c r="K245" s="2021"/>
      <c r="L245" s="2018"/>
      <c r="N245" s="2019"/>
      <c r="O245" s="2021"/>
      <c r="P245" s="2018"/>
      <c r="R245" s="2019"/>
      <c r="S245" s="2021"/>
      <c r="T245" s="2018"/>
      <c r="V245" s="2019"/>
      <c r="W245" s="2021"/>
      <c r="X245" s="2018"/>
      <c r="Z245" s="2019"/>
      <c r="AA245" s="2021"/>
      <c r="AB245" s="2018"/>
      <c r="AD245" s="2019"/>
      <c r="AE245" s="2021"/>
      <c r="AF245" s="2018"/>
      <c r="AH245" s="2019"/>
      <c r="AI245" s="2021"/>
      <c r="AJ245" s="2018"/>
      <c r="AL245" s="2019"/>
      <c r="AM245" s="2021"/>
      <c r="AN245" s="2018"/>
      <c r="AP245" s="477"/>
      <c r="AQ245" s="477"/>
    </row>
    <row r="246" spans="2:43" ht="15">
      <c r="B246" s="2019"/>
      <c r="C246" s="2021"/>
      <c r="D246" s="2018"/>
      <c r="F246" s="2019"/>
      <c r="G246" s="2021"/>
      <c r="H246" s="2018"/>
      <c r="J246" s="2019"/>
      <c r="K246" s="2021"/>
      <c r="L246" s="2018"/>
      <c r="N246" s="2019"/>
      <c r="O246" s="2021"/>
      <c r="P246" s="2018"/>
      <c r="R246" s="2019"/>
      <c r="S246" s="2021"/>
      <c r="T246" s="2018"/>
      <c r="V246" s="2019"/>
      <c r="W246" s="2021"/>
      <c r="X246" s="2018"/>
      <c r="Z246" s="2019"/>
      <c r="AA246" s="2021"/>
      <c r="AB246" s="2018"/>
      <c r="AD246" s="2019"/>
      <c r="AE246" s="2021"/>
      <c r="AF246" s="2018"/>
      <c r="AH246" s="2019"/>
      <c r="AI246" s="2021"/>
      <c r="AJ246" s="2018"/>
      <c r="AL246" s="2019"/>
      <c r="AM246" s="2021"/>
      <c r="AN246" s="2018"/>
      <c r="AP246" s="477"/>
      <c r="AQ246" s="477"/>
    </row>
    <row r="247" spans="2:43" ht="15">
      <c r="B247" s="2019"/>
      <c r="C247" s="2021"/>
      <c r="D247" s="2018"/>
      <c r="F247" s="2019"/>
      <c r="G247" s="2021"/>
      <c r="H247" s="2018"/>
      <c r="J247" s="2019"/>
      <c r="K247" s="2021"/>
      <c r="L247" s="2018"/>
      <c r="N247" s="2019"/>
      <c r="O247" s="2021"/>
      <c r="P247" s="2018"/>
      <c r="R247" s="2019"/>
      <c r="S247" s="2021"/>
      <c r="T247" s="2018"/>
      <c r="V247" s="2019"/>
      <c r="W247" s="2021"/>
      <c r="X247" s="2018"/>
      <c r="Z247" s="2019"/>
      <c r="AA247" s="2021"/>
      <c r="AB247" s="2018"/>
      <c r="AD247" s="2019"/>
      <c r="AE247" s="2021"/>
      <c r="AF247" s="2018"/>
      <c r="AH247" s="2019"/>
      <c r="AI247" s="2021"/>
      <c r="AJ247" s="2018"/>
      <c r="AL247" s="2019"/>
      <c r="AM247" s="2021"/>
      <c r="AN247" s="2018"/>
      <c r="AP247" s="477"/>
      <c r="AQ247" s="477"/>
    </row>
    <row r="248" spans="2:43" ht="15">
      <c r="B248" s="2019"/>
      <c r="C248" s="2021"/>
      <c r="D248" s="2018"/>
      <c r="F248" s="2019"/>
      <c r="G248" s="2021"/>
      <c r="H248" s="2018"/>
      <c r="J248" s="2019"/>
      <c r="K248" s="2021"/>
      <c r="L248" s="2018"/>
      <c r="N248" s="2019"/>
      <c r="O248" s="2021"/>
      <c r="P248" s="2018"/>
      <c r="R248" s="2019"/>
      <c r="S248" s="2021"/>
      <c r="T248" s="2018"/>
      <c r="V248" s="2019"/>
      <c r="W248" s="2021"/>
      <c r="X248" s="2018"/>
      <c r="Z248" s="2019"/>
      <c r="AA248" s="2021"/>
      <c r="AB248" s="2018"/>
      <c r="AD248" s="2019"/>
      <c r="AE248" s="2021"/>
      <c r="AF248" s="2018"/>
      <c r="AH248" s="2019"/>
      <c r="AI248" s="2021"/>
      <c r="AJ248" s="2018"/>
      <c r="AL248" s="2019"/>
      <c r="AM248" s="2021"/>
      <c r="AN248" s="2018"/>
      <c r="AP248" s="477"/>
      <c r="AQ248" s="477"/>
    </row>
    <row r="249" spans="2:43" ht="15">
      <c r="B249" s="2019"/>
      <c r="C249" s="2021"/>
      <c r="D249" s="2018"/>
      <c r="F249" s="2019"/>
      <c r="G249" s="2021"/>
      <c r="H249" s="2018"/>
      <c r="J249" s="2019"/>
      <c r="K249" s="2021"/>
      <c r="L249" s="2018"/>
      <c r="N249" s="2019"/>
      <c r="O249" s="2021"/>
      <c r="P249" s="2018"/>
      <c r="R249" s="2019"/>
      <c r="S249" s="2021"/>
      <c r="T249" s="2018"/>
      <c r="V249" s="2019"/>
      <c r="W249" s="2021"/>
      <c r="X249" s="2018"/>
      <c r="Z249" s="2019"/>
      <c r="AA249" s="2021"/>
      <c r="AB249" s="2018"/>
      <c r="AD249" s="2019"/>
      <c r="AE249" s="2021"/>
      <c r="AF249" s="2018"/>
      <c r="AH249" s="2019"/>
      <c r="AI249" s="2021"/>
      <c r="AJ249" s="2018"/>
      <c r="AL249" s="2019"/>
      <c r="AM249" s="2021"/>
      <c r="AN249" s="2018"/>
      <c r="AP249" s="477"/>
      <c r="AQ249" s="477"/>
    </row>
    <row r="250" spans="2:43" ht="15">
      <c r="B250" s="2019"/>
      <c r="C250" s="2021"/>
      <c r="D250" s="2018"/>
      <c r="F250" s="2019"/>
      <c r="G250" s="2021"/>
      <c r="H250" s="2018"/>
      <c r="J250" s="2019"/>
      <c r="K250" s="2021"/>
      <c r="L250" s="2018"/>
      <c r="N250" s="2019"/>
      <c r="O250" s="2021"/>
      <c r="P250" s="2018"/>
      <c r="R250" s="2019"/>
      <c r="S250" s="2021"/>
      <c r="T250" s="2018"/>
      <c r="V250" s="2019"/>
      <c r="W250" s="2021"/>
      <c r="X250" s="2018"/>
      <c r="Z250" s="2019"/>
      <c r="AA250" s="2021"/>
      <c r="AB250" s="2018"/>
      <c r="AD250" s="2019"/>
      <c r="AE250" s="2021"/>
      <c r="AF250" s="2018"/>
      <c r="AH250" s="2019"/>
      <c r="AI250" s="2021"/>
      <c r="AJ250" s="2018"/>
      <c r="AL250" s="2019"/>
      <c r="AM250" s="2021"/>
      <c r="AN250" s="2018"/>
      <c r="AP250" s="477"/>
      <c r="AQ250" s="477"/>
    </row>
    <row r="251" spans="2:43" ht="15">
      <c r="B251" s="2019"/>
      <c r="C251" s="2021"/>
      <c r="D251" s="2018"/>
      <c r="F251" s="2019"/>
      <c r="G251" s="2021"/>
      <c r="H251" s="2018"/>
      <c r="J251" s="2019"/>
      <c r="K251" s="2021"/>
      <c r="L251" s="2018"/>
      <c r="N251" s="2019"/>
      <c r="O251" s="2021"/>
      <c r="P251" s="2018"/>
      <c r="R251" s="2019"/>
      <c r="S251" s="2021"/>
      <c r="T251" s="2018"/>
      <c r="V251" s="2019"/>
      <c r="W251" s="2021"/>
      <c r="X251" s="2018"/>
      <c r="Z251" s="2019"/>
      <c r="AA251" s="2021"/>
      <c r="AB251" s="2018"/>
      <c r="AD251" s="2019"/>
      <c r="AE251" s="2021"/>
      <c r="AF251" s="2018"/>
      <c r="AH251" s="2019"/>
      <c r="AI251" s="2021"/>
      <c r="AJ251" s="2018"/>
      <c r="AL251" s="2019"/>
      <c r="AM251" s="2021"/>
      <c r="AN251" s="2018"/>
      <c r="AP251" s="477"/>
      <c r="AQ251" s="477"/>
    </row>
    <row r="252" spans="2:43" ht="15">
      <c r="B252" s="2019"/>
      <c r="C252" s="2021"/>
      <c r="D252" s="2018"/>
      <c r="F252" s="2019"/>
      <c r="G252" s="2021"/>
      <c r="H252" s="2018"/>
      <c r="J252" s="2019"/>
      <c r="K252" s="2021"/>
      <c r="L252" s="2018"/>
      <c r="N252" s="2019"/>
      <c r="O252" s="2021"/>
      <c r="P252" s="2018"/>
      <c r="R252" s="2019"/>
      <c r="S252" s="2021"/>
      <c r="T252" s="2018"/>
      <c r="V252" s="2019"/>
      <c r="W252" s="2021"/>
      <c r="X252" s="2018"/>
      <c r="Z252" s="2019"/>
      <c r="AA252" s="2021"/>
      <c r="AB252" s="2018"/>
      <c r="AD252" s="2019"/>
      <c r="AE252" s="2021"/>
      <c r="AF252" s="2018"/>
      <c r="AH252" s="2019"/>
      <c r="AI252" s="2021"/>
      <c r="AJ252" s="2018"/>
      <c r="AL252" s="2019"/>
      <c r="AM252" s="2021"/>
      <c r="AN252" s="2018"/>
      <c r="AP252" s="477"/>
      <c r="AQ252" s="477"/>
    </row>
    <row r="253" spans="2:43" ht="15">
      <c r="B253" s="2019"/>
      <c r="C253" s="2021"/>
      <c r="D253" s="2018"/>
      <c r="F253" s="2019"/>
      <c r="G253" s="2021"/>
      <c r="H253" s="2018"/>
      <c r="J253" s="2019"/>
      <c r="K253" s="2021"/>
      <c r="L253" s="2018"/>
      <c r="N253" s="2019"/>
      <c r="O253" s="2021"/>
      <c r="P253" s="2018"/>
      <c r="R253" s="2019"/>
      <c r="S253" s="2021"/>
      <c r="T253" s="2018"/>
      <c r="V253" s="2019"/>
      <c r="W253" s="2021"/>
      <c r="X253" s="2018"/>
      <c r="Z253" s="2019"/>
      <c r="AA253" s="2021"/>
      <c r="AB253" s="2018"/>
      <c r="AD253" s="2019"/>
      <c r="AE253" s="2021"/>
      <c r="AF253" s="2018"/>
      <c r="AH253" s="2019"/>
      <c r="AI253" s="2021"/>
      <c r="AJ253" s="2018"/>
      <c r="AL253" s="2019"/>
      <c r="AM253" s="2021"/>
      <c r="AN253" s="2018"/>
      <c r="AP253" s="477"/>
      <c r="AQ253" s="477"/>
    </row>
    <row r="254" spans="2:43" ht="15">
      <c r="B254" s="2019"/>
      <c r="C254" s="2021"/>
      <c r="D254" s="2018"/>
      <c r="F254" s="2019"/>
      <c r="G254" s="2021"/>
      <c r="H254" s="2018"/>
      <c r="J254" s="2019"/>
      <c r="K254" s="2021"/>
      <c r="L254" s="2018"/>
      <c r="N254" s="2019"/>
      <c r="O254" s="2021"/>
      <c r="P254" s="2018"/>
      <c r="R254" s="2019"/>
      <c r="S254" s="2021"/>
      <c r="T254" s="2018"/>
      <c r="V254" s="2019"/>
      <c r="W254" s="2021"/>
      <c r="X254" s="2018"/>
      <c r="Z254" s="2019"/>
      <c r="AA254" s="2021"/>
      <c r="AB254" s="2018"/>
      <c r="AD254" s="2019"/>
      <c r="AE254" s="2021"/>
      <c r="AF254" s="2018"/>
      <c r="AH254" s="2019"/>
      <c r="AI254" s="2021"/>
      <c r="AJ254" s="2018"/>
      <c r="AL254" s="2019"/>
      <c r="AM254" s="2021"/>
      <c r="AN254" s="2018"/>
      <c r="AP254" s="477"/>
      <c r="AQ254" s="477"/>
    </row>
    <row r="255" spans="2:43" ht="15">
      <c r="B255" s="2019"/>
      <c r="C255" s="2021"/>
      <c r="D255" s="2018"/>
      <c r="F255" s="2019"/>
      <c r="G255" s="2021"/>
      <c r="H255" s="2018"/>
      <c r="J255" s="2019"/>
      <c r="K255" s="2021"/>
      <c r="L255" s="2018"/>
      <c r="N255" s="2019"/>
      <c r="O255" s="2021"/>
      <c r="P255" s="2018"/>
      <c r="R255" s="2019"/>
      <c r="S255" s="2021"/>
      <c r="T255" s="2018"/>
      <c r="V255" s="2019"/>
      <c r="W255" s="2021"/>
      <c r="X255" s="2018"/>
      <c r="Z255" s="2019"/>
      <c r="AA255" s="2021"/>
      <c r="AB255" s="2018"/>
      <c r="AD255" s="2019"/>
      <c r="AE255" s="2021"/>
      <c r="AF255" s="2018"/>
      <c r="AH255" s="2019"/>
      <c r="AI255" s="2021"/>
      <c r="AJ255" s="2018"/>
      <c r="AL255" s="2019"/>
      <c r="AM255" s="2021"/>
      <c r="AN255" s="2018"/>
      <c r="AP255" s="477"/>
      <c r="AQ255" s="477"/>
    </row>
    <row r="256" spans="2:43" ht="15">
      <c r="B256" s="2019"/>
      <c r="C256" s="2021"/>
      <c r="D256" s="2018"/>
      <c r="F256" s="2019"/>
      <c r="G256" s="2021"/>
      <c r="H256" s="2018"/>
      <c r="J256" s="2019"/>
      <c r="K256" s="2021"/>
      <c r="L256" s="2018"/>
      <c r="N256" s="2019"/>
      <c r="O256" s="2021"/>
      <c r="P256" s="2018"/>
      <c r="R256" s="2019"/>
      <c r="S256" s="2021"/>
      <c r="T256" s="2018"/>
      <c r="V256" s="2019"/>
      <c r="W256" s="2021"/>
      <c r="X256" s="2018"/>
      <c r="Z256" s="2019"/>
      <c r="AA256" s="2021"/>
      <c r="AB256" s="2018"/>
      <c r="AD256" s="2019"/>
      <c r="AE256" s="2021"/>
      <c r="AF256" s="2018"/>
      <c r="AH256" s="2019"/>
      <c r="AI256" s="2021"/>
      <c r="AJ256" s="2018"/>
      <c r="AL256" s="2019"/>
      <c r="AM256" s="2021"/>
      <c r="AN256" s="2018"/>
      <c r="AP256" s="477"/>
      <c r="AQ256" s="477"/>
    </row>
    <row r="257" spans="2:43" ht="15">
      <c r="B257" s="2019"/>
      <c r="C257" s="2021"/>
      <c r="D257" s="2018"/>
      <c r="F257" s="2019"/>
      <c r="G257" s="2021"/>
      <c r="H257" s="2018"/>
      <c r="J257" s="2019"/>
      <c r="K257" s="2021"/>
      <c r="L257" s="2018"/>
      <c r="N257" s="2019"/>
      <c r="O257" s="2021"/>
      <c r="P257" s="2018"/>
      <c r="R257" s="2019"/>
      <c r="S257" s="2021"/>
      <c r="T257" s="2018"/>
      <c r="V257" s="2019"/>
      <c r="W257" s="2021"/>
      <c r="X257" s="2018"/>
      <c r="Z257" s="2019"/>
      <c r="AA257" s="2021"/>
      <c r="AB257" s="2018"/>
      <c r="AD257" s="2019"/>
      <c r="AE257" s="2021"/>
      <c r="AF257" s="2018"/>
      <c r="AH257" s="2019"/>
      <c r="AI257" s="2021"/>
      <c r="AJ257" s="2018"/>
      <c r="AL257" s="2019"/>
      <c r="AM257" s="2021"/>
      <c r="AN257" s="2018"/>
      <c r="AP257" s="477"/>
      <c r="AQ257" s="477"/>
    </row>
    <row r="258" spans="2:43" ht="15">
      <c r="B258" s="2019"/>
      <c r="C258" s="2021"/>
      <c r="D258" s="2018"/>
      <c r="F258" s="2019"/>
      <c r="G258" s="2021"/>
      <c r="H258" s="2018"/>
      <c r="J258" s="2019"/>
      <c r="K258" s="2021"/>
      <c r="L258" s="2018"/>
      <c r="N258" s="2019"/>
      <c r="O258" s="2021"/>
      <c r="P258" s="2018"/>
      <c r="R258" s="2019"/>
      <c r="S258" s="2021"/>
      <c r="T258" s="2018"/>
      <c r="V258" s="2019"/>
      <c r="W258" s="2021"/>
      <c r="X258" s="2018"/>
      <c r="Z258" s="2019"/>
      <c r="AA258" s="2021"/>
      <c r="AB258" s="2018"/>
      <c r="AD258" s="2019"/>
      <c r="AE258" s="2021"/>
      <c r="AF258" s="2018"/>
      <c r="AH258" s="2019"/>
      <c r="AI258" s="2021"/>
      <c r="AJ258" s="2018"/>
      <c r="AL258" s="2019"/>
      <c r="AM258" s="2021"/>
      <c r="AN258" s="2018"/>
      <c r="AP258" s="477"/>
      <c r="AQ258" s="477"/>
    </row>
    <row r="259" spans="2:43" ht="15">
      <c r="B259" s="2019"/>
      <c r="C259" s="2021"/>
      <c r="D259" s="2018"/>
      <c r="F259" s="2019"/>
      <c r="G259" s="2021"/>
      <c r="H259" s="2018"/>
      <c r="J259" s="2019"/>
      <c r="K259" s="2021"/>
      <c r="L259" s="2018"/>
      <c r="N259" s="2019"/>
      <c r="O259" s="2021"/>
      <c r="P259" s="2018"/>
      <c r="R259" s="2019"/>
      <c r="S259" s="2021"/>
      <c r="T259" s="2018"/>
      <c r="V259" s="2019"/>
      <c r="W259" s="2021"/>
      <c r="X259" s="2018"/>
      <c r="Z259" s="2019"/>
      <c r="AA259" s="2021"/>
      <c r="AB259" s="2018"/>
      <c r="AD259" s="2019"/>
      <c r="AE259" s="2021"/>
      <c r="AF259" s="2018"/>
      <c r="AH259" s="2019"/>
      <c r="AI259" s="2021"/>
      <c r="AJ259" s="2018"/>
      <c r="AL259" s="2019"/>
      <c r="AM259" s="2021"/>
      <c r="AN259" s="2018"/>
      <c r="AP259" s="477"/>
      <c r="AQ259" s="477"/>
    </row>
    <row r="260" spans="2:43" ht="15">
      <c r="B260" s="2019"/>
      <c r="C260" s="2021"/>
      <c r="D260" s="2018"/>
      <c r="F260" s="2019"/>
      <c r="G260" s="2021"/>
      <c r="H260" s="2018"/>
      <c r="J260" s="2019"/>
      <c r="K260" s="2021"/>
      <c r="L260" s="2018"/>
      <c r="N260" s="2019"/>
      <c r="O260" s="2021"/>
      <c r="P260" s="2018"/>
      <c r="R260" s="2019"/>
      <c r="S260" s="2021"/>
      <c r="T260" s="2018"/>
      <c r="V260" s="2019"/>
      <c r="W260" s="2021"/>
      <c r="X260" s="2018"/>
      <c r="Z260" s="2019"/>
      <c r="AA260" s="2021"/>
      <c r="AB260" s="2018"/>
      <c r="AD260" s="2019"/>
      <c r="AE260" s="2021"/>
      <c r="AF260" s="2018"/>
      <c r="AH260" s="2019"/>
      <c r="AI260" s="2021"/>
      <c r="AJ260" s="2018"/>
      <c r="AL260" s="2019"/>
      <c r="AM260" s="2021"/>
      <c r="AN260" s="2018"/>
      <c r="AP260" s="477"/>
      <c r="AQ260" s="477"/>
    </row>
    <row r="261" spans="2:43" ht="15">
      <c r="B261" s="2019"/>
      <c r="C261" s="2021"/>
      <c r="D261" s="2018"/>
      <c r="F261" s="2019"/>
      <c r="G261" s="2021"/>
      <c r="H261" s="2018"/>
      <c r="J261" s="2019"/>
      <c r="K261" s="2021"/>
      <c r="L261" s="2018"/>
      <c r="N261" s="2019"/>
      <c r="O261" s="2021"/>
      <c r="P261" s="2018"/>
      <c r="R261" s="2019"/>
      <c r="S261" s="2021"/>
      <c r="T261" s="2018"/>
      <c r="V261" s="2019"/>
      <c r="W261" s="2021"/>
      <c r="X261" s="2018"/>
      <c r="Z261" s="2019"/>
      <c r="AA261" s="2021"/>
      <c r="AB261" s="2018"/>
      <c r="AD261" s="2019"/>
      <c r="AE261" s="2021"/>
      <c r="AF261" s="2018"/>
      <c r="AH261" s="2019"/>
      <c r="AI261" s="2021"/>
      <c r="AJ261" s="2018"/>
      <c r="AL261" s="2019"/>
      <c r="AM261" s="2021"/>
      <c r="AN261" s="2018"/>
      <c r="AP261" s="477"/>
      <c r="AQ261" s="477"/>
    </row>
    <row r="262" spans="2:43" ht="15">
      <c r="B262" s="2019"/>
      <c r="C262" s="2021"/>
      <c r="D262" s="2018"/>
      <c r="F262" s="2019"/>
      <c r="G262" s="2021"/>
      <c r="H262" s="2018"/>
      <c r="J262" s="2019"/>
      <c r="K262" s="2021"/>
      <c r="L262" s="2018"/>
      <c r="N262" s="2019"/>
      <c r="O262" s="2021"/>
      <c r="P262" s="2018"/>
      <c r="R262" s="2019"/>
      <c r="S262" s="2021"/>
      <c r="T262" s="2018"/>
      <c r="V262" s="2019"/>
      <c r="W262" s="2021"/>
      <c r="X262" s="2018"/>
      <c r="Z262" s="2019"/>
      <c r="AA262" s="2021"/>
      <c r="AB262" s="2018"/>
      <c r="AD262" s="2019"/>
      <c r="AE262" s="2021"/>
      <c r="AF262" s="2018"/>
      <c r="AH262" s="2019"/>
      <c r="AI262" s="2021"/>
      <c r="AJ262" s="2018"/>
      <c r="AL262" s="2019"/>
      <c r="AM262" s="2021"/>
      <c r="AN262" s="2018"/>
      <c r="AP262" s="477"/>
      <c r="AQ262" s="477"/>
    </row>
    <row r="263" spans="2:43" ht="15">
      <c r="B263" s="2019"/>
      <c r="C263" s="2021"/>
      <c r="D263" s="2018"/>
      <c r="F263" s="2019"/>
      <c r="G263" s="2021"/>
      <c r="H263" s="2018"/>
      <c r="J263" s="2019"/>
      <c r="K263" s="2021"/>
      <c r="L263" s="2018"/>
      <c r="N263" s="2019"/>
      <c r="O263" s="2021"/>
      <c r="P263" s="2018"/>
      <c r="R263" s="2019"/>
      <c r="S263" s="2021"/>
      <c r="T263" s="2018"/>
      <c r="V263" s="2019"/>
      <c r="W263" s="2021"/>
      <c r="X263" s="2018"/>
      <c r="Z263" s="2019"/>
      <c r="AA263" s="2021"/>
      <c r="AB263" s="2018"/>
      <c r="AD263" s="2019"/>
      <c r="AE263" s="2021"/>
      <c r="AF263" s="2018"/>
      <c r="AH263" s="2019"/>
      <c r="AI263" s="2021"/>
      <c r="AJ263" s="2018"/>
      <c r="AL263" s="2019"/>
      <c r="AM263" s="2021"/>
      <c r="AN263" s="2018"/>
      <c r="AP263" s="477"/>
      <c r="AQ263" s="477"/>
    </row>
    <row r="264" spans="2:43" ht="15">
      <c r="B264" s="2019"/>
      <c r="C264" s="2021"/>
      <c r="D264" s="2018"/>
      <c r="F264" s="2019"/>
      <c r="G264" s="2021"/>
      <c r="H264" s="2018"/>
      <c r="J264" s="2019"/>
      <c r="K264" s="2021"/>
      <c r="L264" s="2018"/>
      <c r="N264" s="2019"/>
      <c r="O264" s="2021"/>
      <c r="P264" s="2018"/>
      <c r="R264" s="2019"/>
      <c r="S264" s="2021"/>
      <c r="T264" s="2018"/>
      <c r="V264" s="2019"/>
      <c r="W264" s="2021"/>
      <c r="X264" s="2018"/>
      <c r="Z264" s="2019"/>
      <c r="AA264" s="2021"/>
      <c r="AB264" s="2018"/>
      <c r="AD264" s="2019"/>
      <c r="AE264" s="2021"/>
      <c r="AF264" s="2018"/>
      <c r="AH264" s="2019"/>
      <c r="AI264" s="2021"/>
      <c r="AJ264" s="2018"/>
      <c r="AL264" s="2019"/>
      <c r="AM264" s="2021"/>
      <c r="AN264" s="2018"/>
      <c r="AP264" s="477"/>
      <c r="AQ264" s="477"/>
    </row>
    <row r="265" spans="2:43" ht="15">
      <c r="B265" s="2019"/>
      <c r="C265" s="2021"/>
      <c r="D265" s="2018"/>
      <c r="F265" s="2019"/>
      <c r="G265" s="2021"/>
      <c r="H265" s="2018"/>
      <c r="J265" s="2019"/>
      <c r="K265" s="2021"/>
      <c r="L265" s="2018"/>
      <c r="N265" s="2019"/>
      <c r="O265" s="2021"/>
      <c r="P265" s="2018"/>
      <c r="R265" s="2019"/>
      <c r="S265" s="2021"/>
      <c r="T265" s="2018"/>
      <c r="V265" s="2019"/>
      <c r="W265" s="2021"/>
      <c r="X265" s="2018"/>
      <c r="Z265" s="2019"/>
      <c r="AA265" s="2021"/>
      <c r="AB265" s="2018"/>
      <c r="AD265" s="2019"/>
      <c r="AE265" s="2021"/>
      <c r="AF265" s="2018"/>
      <c r="AH265" s="2019"/>
      <c r="AI265" s="2021"/>
      <c r="AJ265" s="2018"/>
      <c r="AL265" s="2019"/>
      <c r="AM265" s="2021"/>
      <c r="AN265" s="2018"/>
      <c r="AP265" s="477"/>
      <c r="AQ265" s="477"/>
    </row>
    <row r="266" spans="2:43" ht="15">
      <c r="B266" s="2019"/>
      <c r="C266" s="2021"/>
      <c r="D266" s="2018"/>
      <c r="F266" s="2019"/>
      <c r="G266" s="2021"/>
      <c r="H266" s="2018"/>
      <c r="J266" s="2019"/>
      <c r="K266" s="2021"/>
      <c r="L266" s="2018"/>
      <c r="N266" s="2019"/>
      <c r="O266" s="2021"/>
      <c r="P266" s="2018"/>
      <c r="R266" s="2019"/>
      <c r="S266" s="2021"/>
      <c r="T266" s="2018"/>
      <c r="V266" s="2019"/>
      <c r="W266" s="2021"/>
      <c r="X266" s="2018"/>
      <c r="Z266" s="2019"/>
      <c r="AA266" s="2021"/>
      <c r="AB266" s="2018"/>
      <c r="AD266" s="2019"/>
      <c r="AE266" s="2021"/>
      <c r="AF266" s="2018"/>
      <c r="AH266" s="2019"/>
      <c r="AI266" s="2021"/>
      <c r="AJ266" s="2018"/>
      <c r="AL266" s="2019"/>
      <c r="AM266" s="2021"/>
      <c r="AN266" s="2018"/>
      <c r="AP266" s="477"/>
      <c r="AQ266" s="477"/>
    </row>
    <row r="267" spans="2:43" ht="15">
      <c r="B267" s="2019"/>
      <c r="C267" s="2021"/>
      <c r="D267" s="2018"/>
      <c r="F267" s="2019"/>
      <c r="G267" s="2021"/>
      <c r="H267" s="2018"/>
      <c r="J267" s="2019"/>
      <c r="K267" s="2021"/>
      <c r="L267" s="2018"/>
      <c r="N267" s="2019"/>
      <c r="O267" s="2021"/>
      <c r="P267" s="2018"/>
      <c r="R267" s="2019"/>
      <c r="S267" s="2021"/>
      <c r="T267" s="2018"/>
      <c r="V267" s="2019"/>
      <c r="W267" s="2021"/>
      <c r="X267" s="2018"/>
      <c r="Z267" s="2019"/>
      <c r="AA267" s="2021"/>
      <c r="AB267" s="2018"/>
      <c r="AD267" s="2019"/>
      <c r="AE267" s="2021"/>
      <c r="AF267" s="2018"/>
      <c r="AH267" s="2019"/>
      <c r="AI267" s="2021"/>
      <c r="AJ267" s="2018"/>
      <c r="AL267" s="2019"/>
      <c r="AM267" s="2021"/>
      <c r="AN267" s="2018"/>
      <c r="AP267" s="477"/>
      <c r="AQ267" s="477"/>
    </row>
    <row r="268" spans="2:43" ht="15">
      <c r="B268" s="2019"/>
      <c r="C268" s="2021"/>
      <c r="D268" s="2018"/>
      <c r="F268" s="2019"/>
      <c r="G268" s="2021"/>
      <c r="H268" s="2018"/>
      <c r="J268" s="2019"/>
      <c r="K268" s="2021"/>
      <c r="L268" s="2018"/>
      <c r="N268" s="2019"/>
      <c r="O268" s="2021"/>
      <c r="P268" s="2018"/>
      <c r="R268" s="2019"/>
      <c r="S268" s="2021"/>
      <c r="T268" s="2018"/>
      <c r="V268" s="2019"/>
      <c r="W268" s="2021"/>
      <c r="X268" s="2018"/>
      <c r="Z268" s="2019"/>
      <c r="AA268" s="2021"/>
      <c r="AB268" s="2018"/>
      <c r="AD268" s="2019"/>
      <c r="AE268" s="2021"/>
      <c r="AF268" s="2018"/>
      <c r="AH268" s="2019"/>
      <c r="AI268" s="2021"/>
      <c r="AJ268" s="2018"/>
      <c r="AL268" s="2019"/>
      <c r="AM268" s="2021"/>
      <c r="AN268" s="2018"/>
      <c r="AP268" s="477"/>
      <c r="AQ268" s="477"/>
    </row>
    <row r="269" spans="2:43" ht="15">
      <c r="B269" s="2019"/>
      <c r="C269" s="2021"/>
      <c r="D269" s="2018"/>
      <c r="F269" s="2019"/>
      <c r="G269" s="2021"/>
      <c r="H269" s="2018"/>
      <c r="J269" s="2019"/>
      <c r="K269" s="2021"/>
      <c r="L269" s="2018"/>
      <c r="N269" s="2019"/>
      <c r="O269" s="2021"/>
      <c r="P269" s="2018"/>
      <c r="R269" s="2019"/>
      <c r="S269" s="2021"/>
      <c r="T269" s="2018"/>
      <c r="V269" s="2019"/>
      <c r="W269" s="2021"/>
      <c r="X269" s="2018"/>
      <c r="Z269" s="2019"/>
      <c r="AA269" s="2021"/>
      <c r="AB269" s="2018"/>
      <c r="AD269" s="2019"/>
      <c r="AE269" s="2021"/>
      <c r="AF269" s="2018"/>
      <c r="AH269" s="2019"/>
      <c r="AI269" s="2021"/>
      <c r="AJ269" s="2018"/>
      <c r="AL269" s="2019"/>
      <c r="AM269" s="2021"/>
      <c r="AN269" s="2018"/>
      <c r="AP269" s="477"/>
      <c r="AQ269" s="477"/>
    </row>
    <row r="270" spans="2:43" ht="15">
      <c r="B270" s="2019"/>
      <c r="C270" s="2021"/>
      <c r="D270" s="2018"/>
      <c r="F270" s="2019"/>
      <c r="G270" s="2021"/>
      <c r="H270" s="2018"/>
      <c r="J270" s="2019"/>
      <c r="K270" s="2021"/>
      <c r="L270" s="2018"/>
      <c r="N270" s="2019"/>
      <c r="O270" s="2021"/>
      <c r="P270" s="2018"/>
      <c r="R270" s="2019"/>
      <c r="S270" s="2021"/>
      <c r="T270" s="2018"/>
      <c r="V270" s="2019"/>
      <c r="W270" s="2021"/>
      <c r="X270" s="2018"/>
      <c r="Z270" s="2019"/>
      <c r="AA270" s="2021"/>
      <c r="AB270" s="2018"/>
      <c r="AD270" s="2019"/>
      <c r="AE270" s="2021"/>
      <c r="AF270" s="2018"/>
      <c r="AH270" s="2019"/>
      <c r="AI270" s="2021"/>
      <c r="AJ270" s="2018"/>
      <c r="AL270" s="2019"/>
      <c r="AM270" s="2021"/>
      <c r="AN270" s="2018"/>
      <c r="AP270" s="477"/>
      <c r="AQ270" s="477"/>
    </row>
    <row r="271" spans="2:43" ht="15">
      <c r="B271" s="2019"/>
      <c r="C271" s="2021"/>
      <c r="D271" s="2018"/>
      <c r="F271" s="2019"/>
      <c r="G271" s="2021"/>
      <c r="H271" s="2018"/>
      <c r="J271" s="2019"/>
      <c r="K271" s="2021"/>
      <c r="L271" s="2018"/>
      <c r="N271" s="2019"/>
      <c r="O271" s="2021"/>
      <c r="P271" s="2018"/>
      <c r="R271" s="2019"/>
      <c r="S271" s="2021"/>
      <c r="T271" s="2018"/>
      <c r="V271" s="2019"/>
      <c r="W271" s="2021"/>
      <c r="X271" s="2018"/>
      <c r="Z271" s="2019"/>
      <c r="AA271" s="2021"/>
      <c r="AB271" s="2018"/>
      <c r="AD271" s="2019"/>
      <c r="AE271" s="2021"/>
      <c r="AF271" s="2018"/>
      <c r="AH271" s="2019"/>
      <c r="AI271" s="2021"/>
      <c r="AJ271" s="2018"/>
      <c r="AL271" s="2019"/>
      <c r="AM271" s="2021"/>
      <c r="AN271" s="2018"/>
      <c r="AP271" s="477"/>
      <c r="AQ271" s="477"/>
    </row>
    <row r="272" spans="2:43" ht="15">
      <c r="B272" s="2019"/>
      <c r="C272" s="2021"/>
      <c r="D272" s="2018"/>
      <c r="F272" s="2019"/>
      <c r="G272" s="2021"/>
      <c r="H272" s="2018"/>
      <c r="J272" s="2019"/>
      <c r="K272" s="2021"/>
      <c r="L272" s="2018"/>
      <c r="N272" s="2019"/>
      <c r="O272" s="2021"/>
      <c r="P272" s="2018"/>
      <c r="R272" s="2019"/>
      <c r="S272" s="2021"/>
      <c r="T272" s="2018"/>
      <c r="V272" s="2019"/>
      <c r="W272" s="2021"/>
      <c r="X272" s="2018"/>
      <c r="Z272" s="2019"/>
      <c r="AA272" s="2021"/>
      <c r="AB272" s="2018"/>
      <c r="AD272" s="2019"/>
      <c r="AE272" s="2021"/>
      <c r="AF272" s="2018"/>
      <c r="AH272" s="2019"/>
      <c r="AI272" s="2021"/>
      <c r="AJ272" s="2018"/>
      <c r="AL272" s="2019"/>
      <c r="AM272" s="2021"/>
      <c r="AN272" s="2018"/>
      <c r="AP272" s="477"/>
      <c r="AQ272" s="477"/>
    </row>
    <row r="273" spans="2:43" ht="15">
      <c r="B273" s="2019"/>
      <c r="C273" s="2021"/>
      <c r="D273" s="2018"/>
      <c r="F273" s="2019"/>
      <c r="G273" s="2021"/>
      <c r="H273" s="2018"/>
      <c r="J273" s="2019"/>
      <c r="K273" s="2021"/>
      <c r="L273" s="2018"/>
      <c r="N273" s="2019"/>
      <c r="O273" s="2021"/>
      <c r="P273" s="2018"/>
      <c r="R273" s="2019"/>
      <c r="S273" s="2021"/>
      <c r="T273" s="2018"/>
      <c r="V273" s="2019"/>
      <c r="W273" s="2021"/>
      <c r="X273" s="2018"/>
      <c r="Z273" s="2019"/>
      <c r="AA273" s="2021"/>
      <c r="AB273" s="2018"/>
      <c r="AD273" s="2019"/>
      <c r="AE273" s="2021"/>
      <c r="AF273" s="2018"/>
      <c r="AH273" s="2019"/>
      <c r="AI273" s="2021"/>
      <c r="AJ273" s="2018"/>
      <c r="AL273" s="2019"/>
      <c r="AM273" s="2021"/>
      <c r="AN273" s="2018"/>
      <c r="AP273" s="477"/>
      <c r="AQ273" s="477"/>
    </row>
    <row r="274" spans="2:43" ht="15">
      <c r="B274" s="2019"/>
      <c r="C274" s="2021"/>
      <c r="D274" s="2018"/>
      <c r="F274" s="2019"/>
      <c r="G274" s="2021"/>
      <c r="H274" s="2018"/>
      <c r="J274" s="2019"/>
      <c r="K274" s="2021"/>
      <c r="L274" s="2018"/>
      <c r="N274" s="2019"/>
      <c r="O274" s="2021"/>
      <c r="P274" s="2018"/>
      <c r="R274" s="2019"/>
      <c r="S274" s="2021"/>
      <c r="T274" s="2018"/>
      <c r="V274" s="2019"/>
      <c r="W274" s="2021"/>
      <c r="X274" s="2018"/>
      <c r="Z274" s="2019"/>
      <c r="AA274" s="2021"/>
      <c r="AB274" s="2018"/>
      <c r="AD274" s="2019"/>
      <c r="AE274" s="2021"/>
      <c r="AF274" s="2018"/>
      <c r="AH274" s="2019"/>
      <c r="AI274" s="2021"/>
      <c r="AJ274" s="2018"/>
      <c r="AL274" s="2019"/>
      <c r="AM274" s="2021"/>
      <c r="AN274" s="2018"/>
      <c r="AP274" s="477"/>
      <c r="AQ274" s="477"/>
    </row>
    <row r="275" spans="2:43" ht="15">
      <c r="B275" s="2019"/>
      <c r="C275" s="2021"/>
      <c r="D275" s="2018"/>
      <c r="F275" s="2019"/>
      <c r="G275" s="2021"/>
      <c r="H275" s="2018"/>
      <c r="J275" s="2019"/>
      <c r="K275" s="2021"/>
      <c r="L275" s="2018"/>
      <c r="N275" s="2019"/>
      <c r="O275" s="2021"/>
      <c r="P275" s="2018"/>
      <c r="R275" s="2019"/>
      <c r="S275" s="2021"/>
      <c r="T275" s="2018"/>
      <c r="V275" s="2019"/>
      <c r="W275" s="2021"/>
      <c r="X275" s="2018"/>
      <c r="Z275" s="2019"/>
      <c r="AA275" s="2021"/>
      <c r="AB275" s="2018"/>
      <c r="AD275" s="2019"/>
      <c r="AE275" s="2021"/>
      <c r="AF275" s="2018"/>
      <c r="AH275" s="2019"/>
      <c r="AI275" s="2021"/>
      <c r="AJ275" s="2018"/>
      <c r="AL275" s="2019"/>
      <c r="AM275" s="2021"/>
      <c r="AN275" s="2018"/>
      <c r="AP275" s="477"/>
      <c r="AQ275" s="477"/>
    </row>
    <row r="276" spans="2:43" ht="15">
      <c r="B276" s="2019"/>
      <c r="C276" s="2021"/>
      <c r="D276" s="2018"/>
      <c r="F276" s="2019"/>
      <c r="G276" s="2021"/>
      <c r="H276" s="2018"/>
      <c r="J276" s="2019"/>
      <c r="K276" s="2021"/>
      <c r="L276" s="2018"/>
      <c r="N276" s="2019"/>
      <c r="O276" s="2021"/>
      <c r="P276" s="2018"/>
      <c r="R276" s="2019"/>
      <c r="S276" s="2021"/>
      <c r="T276" s="2018"/>
      <c r="V276" s="2019"/>
      <c r="W276" s="2021"/>
      <c r="X276" s="2018"/>
      <c r="Z276" s="2019"/>
      <c r="AA276" s="2021"/>
      <c r="AB276" s="2018"/>
      <c r="AD276" s="2019"/>
      <c r="AE276" s="2021"/>
      <c r="AF276" s="2018"/>
      <c r="AH276" s="2019"/>
      <c r="AI276" s="2021"/>
      <c r="AJ276" s="2018"/>
      <c r="AL276" s="2019"/>
      <c r="AM276" s="2021"/>
      <c r="AN276" s="2018"/>
      <c r="AP276" s="477"/>
      <c r="AQ276" s="477"/>
    </row>
    <row r="277" spans="2:43" ht="15">
      <c r="B277" s="2019"/>
      <c r="C277" s="2021"/>
      <c r="D277" s="2018"/>
      <c r="F277" s="2019"/>
      <c r="G277" s="2021"/>
      <c r="H277" s="2018"/>
      <c r="J277" s="2019"/>
      <c r="K277" s="2021"/>
      <c r="L277" s="2018"/>
      <c r="N277" s="2019"/>
      <c r="O277" s="2021"/>
      <c r="P277" s="2018"/>
      <c r="R277" s="2019"/>
      <c r="S277" s="2021"/>
      <c r="T277" s="2018"/>
      <c r="V277" s="2019"/>
      <c r="W277" s="2021"/>
      <c r="X277" s="2018"/>
      <c r="Z277" s="2019"/>
      <c r="AA277" s="2021"/>
      <c r="AB277" s="2018"/>
      <c r="AD277" s="2019"/>
      <c r="AE277" s="2021"/>
      <c r="AF277" s="2018"/>
      <c r="AH277" s="2019"/>
      <c r="AI277" s="2021"/>
      <c r="AJ277" s="2018"/>
      <c r="AL277" s="2019"/>
      <c r="AM277" s="2021"/>
      <c r="AN277" s="2018"/>
      <c r="AP277" s="477"/>
      <c r="AQ277" s="477"/>
    </row>
    <row r="278" spans="2:43" ht="15">
      <c r="B278" s="2019"/>
      <c r="C278" s="2021"/>
      <c r="D278" s="2018"/>
      <c r="F278" s="2019"/>
      <c r="G278" s="2021"/>
      <c r="H278" s="2018"/>
      <c r="J278" s="2019"/>
      <c r="K278" s="2021"/>
      <c r="L278" s="2018"/>
      <c r="N278" s="2019"/>
      <c r="O278" s="2021"/>
      <c r="P278" s="2018"/>
      <c r="R278" s="2019"/>
      <c r="S278" s="2021"/>
      <c r="T278" s="2018"/>
      <c r="V278" s="2019"/>
      <c r="W278" s="2021"/>
      <c r="X278" s="2018"/>
      <c r="Z278" s="2019"/>
      <c r="AA278" s="2021"/>
      <c r="AB278" s="2018"/>
      <c r="AD278" s="2019"/>
      <c r="AE278" s="2021"/>
      <c r="AF278" s="2018"/>
      <c r="AH278" s="2019"/>
      <c r="AI278" s="2021"/>
      <c r="AJ278" s="2018"/>
      <c r="AL278" s="2019"/>
      <c r="AM278" s="2021"/>
      <c r="AN278" s="2018"/>
      <c r="AP278" s="477"/>
      <c r="AQ278" s="477"/>
    </row>
    <row r="279" spans="2:43" ht="15">
      <c r="B279" s="2019"/>
      <c r="C279" s="2021"/>
      <c r="D279" s="2018"/>
      <c r="F279" s="2019"/>
      <c r="G279" s="2021"/>
      <c r="H279" s="2018"/>
      <c r="J279" s="2019"/>
      <c r="K279" s="2021"/>
      <c r="L279" s="2018"/>
      <c r="N279" s="2019"/>
      <c r="O279" s="2021"/>
      <c r="P279" s="2018"/>
      <c r="R279" s="2019"/>
      <c r="S279" s="2021"/>
      <c r="T279" s="2018"/>
      <c r="V279" s="2019"/>
      <c r="W279" s="2021"/>
      <c r="X279" s="2018"/>
      <c r="Z279" s="2019"/>
      <c r="AA279" s="2021"/>
      <c r="AB279" s="2018"/>
      <c r="AD279" s="2019"/>
      <c r="AE279" s="2021"/>
      <c r="AF279" s="2018"/>
      <c r="AH279" s="2019"/>
      <c r="AI279" s="2021"/>
      <c r="AJ279" s="2018"/>
      <c r="AL279" s="2019"/>
      <c r="AM279" s="2021"/>
      <c r="AN279" s="2018"/>
      <c r="AP279" s="477"/>
      <c r="AQ279" s="477"/>
    </row>
    <row r="280" spans="2:43" ht="15">
      <c r="B280" s="2019"/>
      <c r="C280" s="2021"/>
      <c r="D280" s="2018"/>
      <c r="F280" s="2019"/>
      <c r="G280" s="2021"/>
      <c r="H280" s="2018"/>
      <c r="J280" s="2019"/>
      <c r="K280" s="2021"/>
      <c r="L280" s="2018"/>
      <c r="N280" s="2019"/>
      <c r="O280" s="2021"/>
      <c r="P280" s="2018"/>
      <c r="R280" s="2019"/>
      <c r="S280" s="2021"/>
      <c r="T280" s="2018"/>
      <c r="V280" s="2019"/>
      <c r="W280" s="2021"/>
      <c r="X280" s="2018"/>
      <c r="Z280" s="2019"/>
      <c r="AA280" s="2021"/>
      <c r="AB280" s="2018"/>
      <c r="AD280" s="2019"/>
      <c r="AE280" s="2021"/>
      <c r="AF280" s="2018"/>
      <c r="AH280" s="2019"/>
      <c r="AI280" s="2021"/>
      <c r="AJ280" s="2018"/>
      <c r="AL280" s="2019"/>
      <c r="AM280" s="2021"/>
      <c r="AN280" s="2018"/>
      <c r="AP280" s="477"/>
      <c r="AQ280" s="477"/>
    </row>
    <row r="281" spans="2:43" ht="15">
      <c r="B281" s="2019"/>
      <c r="C281" s="2021"/>
      <c r="D281" s="2018"/>
      <c r="F281" s="2019"/>
      <c r="G281" s="2021"/>
      <c r="H281" s="2018"/>
      <c r="J281" s="2019"/>
      <c r="K281" s="2021"/>
      <c r="L281" s="2018"/>
      <c r="N281" s="2019"/>
      <c r="O281" s="2021"/>
      <c r="P281" s="2018"/>
      <c r="R281" s="2019"/>
      <c r="S281" s="2021"/>
      <c r="T281" s="2018"/>
      <c r="V281" s="2019"/>
      <c r="W281" s="2021"/>
      <c r="X281" s="2018"/>
      <c r="Z281" s="2019"/>
      <c r="AA281" s="2021"/>
      <c r="AB281" s="2018"/>
      <c r="AD281" s="2019"/>
      <c r="AE281" s="2021"/>
      <c r="AF281" s="2018"/>
      <c r="AH281" s="2019"/>
      <c r="AI281" s="2021"/>
      <c r="AJ281" s="2018"/>
      <c r="AL281" s="2019"/>
      <c r="AM281" s="2021"/>
      <c r="AN281" s="2018"/>
      <c r="AP281" s="477"/>
      <c r="AQ281" s="477"/>
    </row>
    <row r="282" spans="2:43" ht="15">
      <c r="B282" s="2019"/>
      <c r="C282" s="2021"/>
      <c r="D282" s="2018"/>
      <c r="F282" s="2019"/>
      <c r="G282" s="2021"/>
      <c r="H282" s="2018"/>
      <c r="J282" s="2019"/>
      <c r="K282" s="2021"/>
      <c r="L282" s="2018"/>
      <c r="N282" s="2019"/>
      <c r="O282" s="2021"/>
      <c r="P282" s="2018"/>
      <c r="R282" s="2019"/>
      <c r="S282" s="2021"/>
      <c r="T282" s="2018"/>
      <c r="V282" s="2019"/>
      <c r="W282" s="2021"/>
      <c r="X282" s="2018"/>
      <c r="Z282" s="2019"/>
      <c r="AA282" s="2021"/>
      <c r="AB282" s="2018"/>
      <c r="AD282" s="2019"/>
      <c r="AE282" s="2021"/>
      <c r="AF282" s="2018"/>
      <c r="AH282" s="2019"/>
      <c r="AI282" s="2021"/>
      <c r="AJ282" s="2018"/>
      <c r="AL282" s="2019"/>
      <c r="AM282" s="2021"/>
      <c r="AN282" s="2018"/>
      <c r="AP282" s="477"/>
      <c r="AQ282" s="477"/>
    </row>
    <row r="283" spans="2:43" ht="15">
      <c r="B283" s="2019"/>
      <c r="C283" s="2021"/>
      <c r="D283" s="2018"/>
      <c r="F283" s="2019"/>
      <c r="G283" s="2021"/>
      <c r="H283" s="2018"/>
      <c r="J283" s="2019"/>
      <c r="K283" s="2021"/>
      <c r="L283" s="2018"/>
      <c r="N283" s="2019"/>
      <c r="O283" s="2021"/>
      <c r="P283" s="2018"/>
      <c r="R283" s="2019"/>
      <c r="S283" s="2021"/>
      <c r="T283" s="2018"/>
      <c r="V283" s="2019"/>
      <c r="W283" s="2021"/>
      <c r="X283" s="2018"/>
      <c r="Z283" s="2019"/>
      <c r="AA283" s="2021"/>
      <c r="AB283" s="2018"/>
      <c r="AD283" s="2019"/>
      <c r="AE283" s="2021"/>
      <c r="AF283" s="2018"/>
      <c r="AH283" s="2019"/>
      <c r="AI283" s="2021"/>
      <c r="AJ283" s="2018"/>
      <c r="AL283" s="2019"/>
      <c r="AM283" s="2021"/>
      <c r="AN283" s="2018"/>
      <c r="AP283" s="477"/>
      <c r="AQ283" s="477"/>
    </row>
    <row r="284" spans="2:43" ht="15">
      <c r="B284" s="2019"/>
      <c r="C284" s="2021"/>
      <c r="D284" s="2018"/>
      <c r="F284" s="2019"/>
      <c r="G284" s="2021"/>
      <c r="H284" s="2018"/>
      <c r="J284" s="2019"/>
      <c r="K284" s="2021"/>
      <c r="L284" s="2018"/>
      <c r="N284" s="2019"/>
      <c r="O284" s="2021"/>
      <c r="P284" s="2018"/>
      <c r="R284" s="2019"/>
      <c r="S284" s="2021"/>
      <c r="T284" s="2018"/>
      <c r="V284" s="2019"/>
      <c r="W284" s="2021"/>
      <c r="X284" s="2018"/>
      <c r="Z284" s="2019"/>
      <c r="AA284" s="2021"/>
      <c r="AB284" s="2018"/>
      <c r="AD284" s="2019"/>
      <c r="AE284" s="2021"/>
      <c r="AF284" s="2018"/>
      <c r="AH284" s="2019"/>
      <c r="AI284" s="2021"/>
      <c r="AJ284" s="2018"/>
      <c r="AL284" s="2019"/>
      <c r="AM284" s="2021"/>
      <c r="AN284" s="2018"/>
      <c r="AP284" s="477"/>
      <c r="AQ284" s="477"/>
    </row>
    <row r="285" spans="2:43" ht="15">
      <c r="B285" s="2019"/>
      <c r="C285" s="2021"/>
      <c r="D285" s="2018"/>
      <c r="F285" s="2019"/>
      <c r="G285" s="2021"/>
      <c r="H285" s="2018"/>
      <c r="J285" s="2019"/>
      <c r="K285" s="2021"/>
      <c r="L285" s="2018"/>
      <c r="N285" s="2019"/>
      <c r="O285" s="2021"/>
      <c r="P285" s="2018"/>
      <c r="R285" s="2019"/>
      <c r="S285" s="2021"/>
      <c r="T285" s="2018"/>
      <c r="V285" s="2019"/>
      <c r="W285" s="2021"/>
      <c r="X285" s="2018"/>
      <c r="Z285" s="2019"/>
      <c r="AA285" s="2021"/>
      <c r="AB285" s="2018"/>
      <c r="AD285" s="2019"/>
      <c r="AE285" s="2021"/>
      <c r="AF285" s="2018"/>
      <c r="AH285" s="2019"/>
      <c r="AI285" s="2021"/>
      <c r="AJ285" s="2018"/>
      <c r="AL285" s="2019"/>
      <c r="AM285" s="2021"/>
      <c r="AN285" s="2018"/>
      <c r="AP285" s="477"/>
      <c r="AQ285" s="477"/>
    </row>
    <row r="286" spans="2:43" ht="15">
      <c r="B286" s="2019"/>
      <c r="C286" s="2021"/>
      <c r="D286" s="2018"/>
      <c r="F286" s="2019"/>
      <c r="G286" s="2021"/>
      <c r="H286" s="2018"/>
      <c r="J286" s="2019"/>
      <c r="K286" s="2021"/>
      <c r="L286" s="2018"/>
      <c r="N286" s="2019"/>
      <c r="O286" s="2021"/>
      <c r="P286" s="2018"/>
      <c r="R286" s="2019"/>
      <c r="S286" s="2021"/>
      <c r="T286" s="2018"/>
      <c r="V286" s="2019"/>
      <c r="W286" s="2021"/>
      <c r="X286" s="2018"/>
      <c r="Z286" s="2019"/>
      <c r="AA286" s="2021"/>
      <c r="AB286" s="2018"/>
      <c r="AD286" s="2019"/>
      <c r="AE286" s="2021"/>
      <c r="AF286" s="2018"/>
      <c r="AH286" s="2019"/>
      <c r="AI286" s="2021"/>
      <c r="AJ286" s="2018"/>
      <c r="AL286" s="2019"/>
      <c r="AM286" s="2021"/>
      <c r="AN286" s="2018"/>
      <c r="AP286" s="477"/>
      <c r="AQ286" s="477"/>
    </row>
    <row r="287" spans="2:43" ht="15">
      <c r="B287" s="2019"/>
      <c r="C287" s="2021"/>
      <c r="D287" s="2018"/>
      <c r="F287" s="2019"/>
      <c r="G287" s="2021"/>
      <c r="H287" s="2018"/>
      <c r="J287" s="2019"/>
      <c r="K287" s="2021"/>
      <c r="L287" s="2018"/>
      <c r="N287" s="2019"/>
      <c r="O287" s="2021"/>
      <c r="P287" s="2018"/>
      <c r="R287" s="2019"/>
      <c r="S287" s="2021"/>
      <c r="T287" s="2018"/>
      <c r="V287" s="2019"/>
      <c r="W287" s="2021"/>
      <c r="X287" s="2018"/>
      <c r="Z287" s="2019"/>
      <c r="AA287" s="2021"/>
      <c r="AB287" s="2018"/>
      <c r="AD287" s="2019"/>
      <c r="AE287" s="2021"/>
      <c r="AF287" s="2018"/>
      <c r="AH287" s="2019"/>
      <c r="AI287" s="2021"/>
      <c r="AJ287" s="2018"/>
      <c r="AL287" s="2019"/>
      <c r="AM287" s="2021"/>
      <c r="AN287" s="2018"/>
      <c r="AP287" s="477"/>
      <c r="AQ287" s="477"/>
    </row>
    <row r="288" spans="2:43" ht="15">
      <c r="B288" s="2019"/>
      <c r="C288" s="2021"/>
      <c r="D288" s="2018"/>
      <c r="F288" s="2019"/>
      <c r="G288" s="2021"/>
      <c r="H288" s="2018"/>
      <c r="J288" s="2019"/>
      <c r="K288" s="2021"/>
      <c r="L288" s="2018"/>
      <c r="N288" s="2019"/>
      <c r="O288" s="2021"/>
      <c r="P288" s="2018"/>
      <c r="R288" s="2019"/>
      <c r="S288" s="2021"/>
      <c r="T288" s="2018"/>
      <c r="V288" s="2019"/>
      <c r="W288" s="2021"/>
      <c r="X288" s="2018"/>
      <c r="Z288" s="2019"/>
      <c r="AA288" s="2021"/>
      <c r="AB288" s="2018"/>
      <c r="AD288" s="2019"/>
      <c r="AE288" s="2021"/>
      <c r="AF288" s="2018"/>
      <c r="AH288" s="2019"/>
      <c r="AI288" s="2021"/>
      <c r="AJ288" s="2018"/>
      <c r="AL288" s="2019"/>
      <c r="AM288" s="2021"/>
      <c r="AN288" s="2018"/>
      <c r="AP288" s="477"/>
      <c r="AQ288" s="477"/>
    </row>
    <row r="289" spans="2:43" ht="15">
      <c r="B289" s="2019"/>
      <c r="C289" s="2021"/>
      <c r="D289" s="2018"/>
      <c r="F289" s="2019"/>
      <c r="G289" s="2021"/>
      <c r="H289" s="2018"/>
      <c r="J289" s="2019"/>
      <c r="K289" s="2021"/>
      <c r="L289" s="2018"/>
      <c r="N289" s="2019"/>
      <c r="O289" s="2021"/>
      <c r="P289" s="2018"/>
      <c r="R289" s="2019"/>
      <c r="S289" s="2021"/>
      <c r="T289" s="2018"/>
      <c r="V289" s="2019"/>
      <c r="W289" s="2021"/>
      <c r="X289" s="2018"/>
      <c r="Z289" s="2019"/>
      <c r="AA289" s="2021"/>
      <c r="AB289" s="2018"/>
      <c r="AD289" s="2019"/>
      <c r="AE289" s="2021"/>
      <c r="AF289" s="2018"/>
      <c r="AH289" s="2019"/>
      <c r="AI289" s="2021"/>
      <c r="AJ289" s="2018"/>
      <c r="AL289" s="2019"/>
      <c r="AM289" s="2021"/>
      <c r="AN289" s="2018"/>
      <c r="AP289" s="477"/>
      <c r="AQ289" s="477"/>
    </row>
    <row r="290" spans="2:43" ht="15">
      <c r="B290" s="2019"/>
      <c r="C290" s="2021"/>
      <c r="D290" s="2018"/>
      <c r="F290" s="2019"/>
      <c r="G290" s="2021"/>
      <c r="H290" s="2018"/>
      <c r="J290" s="2019"/>
      <c r="K290" s="2021"/>
      <c r="L290" s="2018"/>
      <c r="N290" s="2019"/>
      <c r="O290" s="2021"/>
      <c r="P290" s="2018"/>
      <c r="R290" s="2019"/>
      <c r="S290" s="2021"/>
      <c r="T290" s="2018"/>
      <c r="V290" s="2019"/>
      <c r="W290" s="2021"/>
      <c r="X290" s="2018"/>
      <c r="Z290" s="2019"/>
      <c r="AA290" s="2021"/>
      <c r="AB290" s="2018"/>
      <c r="AD290" s="2019"/>
      <c r="AE290" s="2021"/>
      <c r="AF290" s="2018"/>
      <c r="AH290" s="2019"/>
      <c r="AI290" s="2021"/>
      <c r="AJ290" s="2018"/>
      <c r="AL290" s="2019"/>
      <c r="AM290" s="2021"/>
      <c r="AN290" s="2018"/>
      <c r="AP290" s="477"/>
      <c r="AQ290" s="477"/>
    </row>
    <row r="291" spans="2:43" ht="15">
      <c r="B291" s="2019"/>
      <c r="C291" s="2021"/>
      <c r="D291" s="2018"/>
      <c r="F291" s="2019"/>
      <c r="G291" s="2021"/>
      <c r="H291" s="2018"/>
      <c r="J291" s="2019"/>
      <c r="K291" s="2021"/>
      <c r="L291" s="2018"/>
      <c r="N291" s="2019"/>
      <c r="O291" s="2021"/>
      <c r="P291" s="2018"/>
      <c r="R291" s="2019"/>
      <c r="S291" s="2021"/>
      <c r="T291" s="2018"/>
      <c r="V291" s="2019"/>
      <c r="W291" s="2021"/>
      <c r="X291" s="2018"/>
      <c r="Z291" s="2019"/>
      <c r="AA291" s="2021"/>
      <c r="AB291" s="2018"/>
      <c r="AD291" s="2019"/>
      <c r="AE291" s="2021"/>
      <c r="AF291" s="2018"/>
      <c r="AH291" s="2019"/>
      <c r="AI291" s="2021"/>
      <c r="AJ291" s="2018"/>
      <c r="AL291" s="2019"/>
      <c r="AM291" s="2021"/>
      <c r="AN291" s="2018"/>
      <c r="AP291" s="477"/>
      <c r="AQ291" s="477"/>
    </row>
    <row r="292" spans="2:43" ht="15">
      <c r="B292" s="2019"/>
      <c r="C292" s="2021"/>
      <c r="D292" s="2018"/>
      <c r="F292" s="2019"/>
      <c r="G292" s="2021"/>
      <c r="H292" s="2018"/>
      <c r="J292" s="2019"/>
      <c r="K292" s="2021"/>
      <c r="L292" s="2018"/>
      <c r="N292" s="2019"/>
      <c r="O292" s="2021"/>
      <c r="P292" s="2018"/>
      <c r="R292" s="2019"/>
      <c r="S292" s="2021"/>
      <c r="T292" s="2018"/>
      <c r="V292" s="2019"/>
      <c r="W292" s="2021"/>
      <c r="X292" s="2018"/>
      <c r="Z292" s="2019"/>
      <c r="AA292" s="2021"/>
      <c r="AB292" s="2018"/>
      <c r="AD292" s="2019"/>
      <c r="AE292" s="2021"/>
      <c r="AF292" s="2018"/>
      <c r="AH292" s="2019"/>
      <c r="AI292" s="2021"/>
      <c r="AJ292" s="2018"/>
      <c r="AL292" s="2019"/>
      <c r="AM292" s="2021"/>
      <c r="AN292" s="2018"/>
      <c r="AP292" s="477"/>
      <c r="AQ292" s="477"/>
    </row>
    <row r="293" spans="2:43" ht="15">
      <c r="B293" s="2019"/>
      <c r="C293" s="2021"/>
      <c r="D293" s="2018"/>
      <c r="F293" s="2019"/>
      <c r="G293" s="2021"/>
      <c r="H293" s="2018"/>
      <c r="J293" s="2019"/>
      <c r="K293" s="2021"/>
      <c r="L293" s="2018"/>
      <c r="N293" s="2019"/>
      <c r="O293" s="2021"/>
      <c r="P293" s="2018"/>
      <c r="R293" s="2019"/>
      <c r="S293" s="2021"/>
      <c r="T293" s="2018"/>
      <c r="V293" s="2019"/>
      <c r="W293" s="2021"/>
      <c r="X293" s="2018"/>
      <c r="Z293" s="2019"/>
      <c r="AA293" s="2021"/>
      <c r="AB293" s="2018"/>
      <c r="AD293" s="2019"/>
      <c r="AE293" s="2021"/>
      <c r="AF293" s="2018"/>
      <c r="AH293" s="2019"/>
      <c r="AI293" s="2021"/>
      <c r="AJ293" s="2018"/>
      <c r="AL293" s="2019"/>
      <c r="AM293" s="2021"/>
      <c r="AN293" s="2018"/>
      <c r="AP293" s="477"/>
      <c r="AQ293" s="477"/>
    </row>
    <row r="294" spans="2:43" ht="15">
      <c r="B294" s="2019"/>
      <c r="C294" s="2021"/>
      <c r="D294" s="2018"/>
      <c r="F294" s="2019"/>
      <c r="G294" s="2021"/>
      <c r="H294" s="2018"/>
      <c r="J294" s="2019"/>
      <c r="K294" s="2021"/>
      <c r="L294" s="2018"/>
      <c r="N294" s="2019"/>
      <c r="O294" s="2021"/>
      <c r="P294" s="2018"/>
      <c r="R294" s="2019"/>
      <c r="S294" s="2021"/>
      <c r="T294" s="2018"/>
      <c r="V294" s="2019"/>
      <c r="W294" s="2021"/>
      <c r="X294" s="2018"/>
      <c r="Z294" s="2019"/>
      <c r="AA294" s="2021"/>
      <c r="AB294" s="2018"/>
      <c r="AD294" s="2019"/>
      <c r="AE294" s="2021"/>
      <c r="AF294" s="2018"/>
      <c r="AH294" s="2019"/>
      <c r="AI294" s="2021"/>
      <c r="AJ294" s="2018"/>
      <c r="AL294" s="2019"/>
      <c r="AM294" s="2021"/>
      <c r="AN294" s="2018"/>
      <c r="AP294" s="477"/>
      <c r="AQ294" s="477"/>
    </row>
    <row r="295" spans="2:43" ht="15">
      <c r="B295" s="2019"/>
      <c r="C295" s="2021"/>
      <c r="D295" s="2018"/>
      <c r="F295" s="2019"/>
      <c r="G295" s="2021"/>
      <c r="H295" s="2018"/>
      <c r="J295" s="2019"/>
      <c r="K295" s="2021"/>
      <c r="L295" s="2018"/>
      <c r="N295" s="2019"/>
      <c r="O295" s="2021"/>
      <c r="P295" s="2018"/>
      <c r="R295" s="2019"/>
      <c r="S295" s="2021"/>
      <c r="T295" s="2018"/>
      <c r="V295" s="2019"/>
      <c r="W295" s="2021"/>
      <c r="X295" s="2018"/>
      <c r="Z295" s="2019"/>
      <c r="AA295" s="2021"/>
      <c r="AB295" s="2018"/>
      <c r="AD295" s="2019"/>
      <c r="AE295" s="2021"/>
      <c r="AF295" s="2018"/>
      <c r="AH295" s="2019"/>
      <c r="AI295" s="2021"/>
      <c r="AJ295" s="2018"/>
      <c r="AL295" s="2019"/>
      <c r="AM295" s="2021"/>
      <c r="AN295" s="2018"/>
      <c r="AP295" s="477"/>
      <c r="AQ295" s="477"/>
    </row>
    <row r="296" spans="2:43" ht="15">
      <c r="B296" s="2019"/>
      <c r="C296" s="2021"/>
      <c r="D296" s="2018"/>
      <c r="F296" s="2019"/>
      <c r="G296" s="2021"/>
      <c r="H296" s="2018"/>
      <c r="J296" s="2019"/>
      <c r="K296" s="2021"/>
      <c r="L296" s="2018"/>
      <c r="N296" s="2019"/>
      <c r="O296" s="2021"/>
      <c r="P296" s="2018"/>
      <c r="R296" s="2019"/>
      <c r="S296" s="2021"/>
      <c r="T296" s="2018"/>
      <c r="V296" s="2019"/>
      <c r="W296" s="2021"/>
      <c r="X296" s="2018"/>
      <c r="Z296" s="2019"/>
      <c r="AA296" s="2021"/>
      <c r="AB296" s="2018"/>
      <c r="AD296" s="2019"/>
      <c r="AE296" s="2021"/>
      <c r="AF296" s="2018"/>
      <c r="AH296" s="2019"/>
      <c r="AI296" s="2021"/>
      <c r="AJ296" s="2018"/>
      <c r="AL296" s="2019"/>
      <c r="AM296" s="2021"/>
      <c r="AN296" s="2018"/>
      <c r="AP296" s="477"/>
      <c r="AQ296" s="477"/>
    </row>
    <row r="297" spans="2:43" ht="15">
      <c r="B297" s="2019"/>
      <c r="C297" s="2021"/>
      <c r="D297" s="2018"/>
      <c r="F297" s="2019"/>
      <c r="G297" s="2021"/>
      <c r="H297" s="2018"/>
      <c r="J297" s="2019"/>
      <c r="K297" s="2021"/>
      <c r="L297" s="2018"/>
      <c r="N297" s="2019"/>
      <c r="O297" s="2021"/>
      <c r="P297" s="2018"/>
      <c r="R297" s="2019"/>
      <c r="S297" s="2021"/>
      <c r="T297" s="2018"/>
      <c r="V297" s="2019"/>
      <c r="W297" s="2021"/>
      <c r="X297" s="2018"/>
      <c r="Z297" s="2019"/>
      <c r="AA297" s="2021"/>
      <c r="AB297" s="2018"/>
      <c r="AD297" s="2019"/>
      <c r="AE297" s="2021"/>
      <c r="AF297" s="2018"/>
      <c r="AH297" s="2019"/>
      <c r="AI297" s="2021"/>
      <c r="AJ297" s="2018"/>
      <c r="AL297" s="2019"/>
      <c r="AM297" s="2021"/>
      <c r="AN297" s="2018"/>
      <c r="AP297" s="477"/>
      <c r="AQ297" s="477"/>
    </row>
    <row r="298" spans="2:43" ht="15">
      <c r="B298" s="2019"/>
      <c r="C298" s="2021"/>
      <c r="D298" s="2018"/>
      <c r="F298" s="2019"/>
      <c r="G298" s="2021"/>
      <c r="H298" s="2018"/>
      <c r="J298" s="2019"/>
      <c r="K298" s="2021"/>
      <c r="L298" s="2018"/>
      <c r="N298" s="2019"/>
      <c r="O298" s="2021"/>
      <c r="P298" s="2018"/>
      <c r="R298" s="2019"/>
      <c r="S298" s="2021"/>
      <c r="T298" s="2018"/>
      <c r="V298" s="2019"/>
      <c r="W298" s="2021"/>
      <c r="X298" s="2018"/>
      <c r="Z298" s="2019"/>
      <c r="AA298" s="2021"/>
      <c r="AB298" s="2018"/>
      <c r="AD298" s="2019"/>
      <c r="AE298" s="2021"/>
      <c r="AF298" s="2018"/>
      <c r="AH298" s="2019"/>
      <c r="AI298" s="2021"/>
      <c r="AJ298" s="2018"/>
      <c r="AL298" s="2019"/>
      <c r="AM298" s="2021"/>
      <c r="AN298" s="2018"/>
      <c r="AP298" s="477"/>
      <c r="AQ298" s="477"/>
    </row>
    <row r="299" spans="2:43" ht="15">
      <c r="B299" s="2019"/>
      <c r="C299" s="2021"/>
      <c r="D299" s="2018"/>
      <c r="F299" s="2019"/>
      <c r="G299" s="2021"/>
      <c r="H299" s="2018"/>
      <c r="J299" s="2019"/>
      <c r="K299" s="2021"/>
      <c r="L299" s="2018"/>
      <c r="N299" s="2019"/>
      <c r="O299" s="2021"/>
      <c r="P299" s="2018"/>
      <c r="R299" s="2019"/>
      <c r="S299" s="2021"/>
      <c r="T299" s="2018"/>
      <c r="V299" s="2019"/>
      <c r="W299" s="2021"/>
      <c r="X299" s="2018"/>
      <c r="Z299" s="2019"/>
      <c r="AA299" s="2021"/>
      <c r="AB299" s="2018"/>
      <c r="AD299" s="2019"/>
      <c r="AE299" s="2021"/>
      <c r="AF299" s="2018"/>
      <c r="AH299" s="2019"/>
      <c r="AI299" s="2021"/>
      <c r="AJ299" s="2018"/>
      <c r="AL299" s="2019"/>
      <c r="AM299" s="2021"/>
      <c r="AN299" s="2018"/>
      <c r="AP299" s="477"/>
      <c r="AQ299" s="477"/>
    </row>
    <row r="300" spans="2:43" ht="15">
      <c r="B300" s="2019"/>
      <c r="C300" s="2021"/>
      <c r="D300" s="2018"/>
      <c r="F300" s="2019"/>
      <c r="G300" s="2021"/>
      <c r="H300" s="2018"/>
      <c r="J300" s="2019"/>
      <c r="K300" s="2021"/>
      <c r="L300" s="2018"/>
      <c r="N300" s="2019"/>
      <c r="O300" s="2021"/>
      <c r="P300" s="2018"/>
      <c r="R300" s="2019"/>
      <c r="S300" s="2021"/>
      <c r="T300" s="2018"/>
      <c r="V300" s="2019"/>
      <c r="W300" s="2021"/>
      <c r="X300" s="2018"/>
      <c r="Z300" s="2019"/>
      <c r="AA300" s="2021"/>
      <c r="AB300" s="2018"/>
      <c r="AD300" s="2019"/>
      <c r="AE300" s="2021"/>
      <c r="AF300" s="2018"/>
      <c r="AH300" s="2019"/>
      <c r="AI300" s="2021"/>
      <c r="AJ300" s="2018"/>
      <c r="AL300" s="2019"/>
      <c r="AM300" s="2021"/>
      <c r="AN300" s="2018"/>
      <c r="AP300" s="477"/>
      <c r="AQ300" s="477"/>
    </row>
    <row r="301" spans="2:43" ht="15">
      <c r="B301" s="2019"/>
      <c r="C301" s="2021"/>
      <c r="D301" s="2018"/>
      <c r="F301" s="2019"/>
      <c r="G301" s="2021"/>
      <c r="H301" s="2018"/>
      <c r="J301" s="2019"/>
      <c r="K301" s="2021"/>
      <c r="L301" s="2018"/>
      <c r="N301" s="2019"/>
      <c r="O301" s="2021"/>
      <c r="P301" s="2018"/>
      <c r="R301" s="2019"/>
      <c r="S301" s="2021"/>
      <c r="T301" s="2018"/>
      <c r="V301" s="2019"/>
      <c r="W301" s="2021"/>
      <c r="X301" s="2018"/>
      <c r="Z301" s="2019"/>
      <c r="AA301" s="2021"/>
      <c r="AB301" s="2018"/>
      <c r="AD301" s="2019"/>
      <c r="AE301" s="2021"/>
      <c r="AF301" s="2018"/>
      <c r="AH301" s="2019"/>
      <c r="AI301" s="2021"/>
      <c r="AJ301" s="2018"/>
      <c r="AL301" s="2019"/>
      <c r="AM301" s="2021"/>
      <c r="AN301" s="2018"/>
      <c r="AP301" s="477"/>
      <c r="AQ301" s="477"/>
    </row>
    <row r="302" spans="2:43" ht="15">
      <c r="B302" s="2019"/>
      <c r="C302" s="2021"/>
      <c r="D302" s="2018"/>
      <c r="F302" s="2019"/>
      <c r="G302" s="2021"/>
      <c r="H302" s="2018"/>
      <c r="J302" s="2019"/>
      <c r="K302" s="2021"/>
      <c r="L302" s="2018"/>
      <c r="N302" s="2019"/>
      <c r="O302" s="2021"/>
      <c r="P302" s="2018"/>
      <c r="R302" s="2019"/>
      <c r="S302" s="2021"/>
      <c r="T302" s="2018"/>
      <c r="V302" s="2019"/>
      <c r="W302" s="2021"/>
      <c r="X302" s="2018"/>
      <c r="Z302" s="2019"/>
      <c r="AA302" s="2021"/>
      <c r="AB302" s="2018"/>
      <c r="AD302" s="2019"/>
      <c r="AE302" s="2021"/>
      <c r="AF302" s="2018"/>
      <c r="AH302" s="2019"/>
      <c r="AI302" s="2021"/>
      <c r="AJ302" s="2018"/>
      <c r="AL302" s="2019"/>
      <c r="AM302" s="2021"/>
      <c r="AN302" s="2018"/>
      <c r="AP302" s="477"/>
      <c r="AQ302" s="477"/>
    </row>
    <row r="303" spans="2:43" ht="15">
      <c r="B303" s="2019"/>
      <c r="C303" s="2021"/>
      <c r="D303" s="2018"/>
      <c r="F303" s="2019"/>
      <c r="G303" s="2021"/>
      <c r="H303" s="2018"/>
      <c r="J303" s="2019"/>
      <c r="K303" s="2021"/>
      <c r="L303" s="2018"/>
      <c r="N303" s="2019"/>
      <c r="O303" s="2021"/>
      <c r="P303" s="2018"/>
      <c r="R303" s="2019"/>
      <c r="S303" s="2021"/>
      <c r="T303" s="2018"/>
      <c r="V303" s="2019"/>
      <c r="W303" s="2021"/>
      <c r="X303" s="2018"/>
      <c r="Z303" s="2019"/>
      <c r="AA303" s="2021"/>
      <c r="AB303" s="2018"/>
      <c r="AD303" s="2019"/>
      <c r="AE303" s="2021"/>
      <c r="AF303" s="2018"/>
      <c r="AH303" s="2019"/>
      <c r="AI303" s="2021"/>
      <c r="AJ303" s="2018"/>
      <c r="AL303" s="2019"/>
      <c r="AM303" s="2021"/>
      <c r="AN303" s="2018"/>
      <c r="AP303" s="477"/>
      <c r="AQ303" s="477"/>
    </row>
    <row r="304" spans="2:43" ht="15">
      <c r="B304" s="2019"/>
      <c r="C304" s="2021"/>
      <c r="D304" s="2018"/>
      <c r="F304" s="2019"/>
      <c r="G304" s="2021"/>
      <c r="H304" s="2018"/>
      <c r="J304" s="2019"/>
      <c r="K304" s="2021"/>
      <c r="L304" s="2018"/>
      <c r="N304" s="2019"/>
      <c r="O304" s="2021"/>
      <c r="P304" s="2018"/>
      <c r="R304" s="2019"/>
      <c r="S304" s="2021"/>
      <c r="T304" s="2018"/>
      <c r="V304" s="2019"/>
      <c r="W304" s="2021"/>
      <c r="X304" s="2018"/>
      <c r="Z304" s="2019"/>
      <c r="AA304" s="2021"/>
      <c r="AB304" s="2018"/>
      <c r="AD304" s="2019"/>
      <c r="AE304" s="2021"/>
      <c r="AF304" s="2018"/>
      <c r="AH304" s="2019"/>
      <c r="AI304" s="2021"/>
      <c r="AJ304" s="2018"/>
      <c r="AL304" s="2019"/>
      <c r="AM304" s="2021"/>
      <c r="AN304" s="2018"/>
      <c r="AP304" s="477"/>
      <c r="AQ304" s="477"/>
    </row>
    <row r="305" spans="2:43" ht="15">
      <c r="B305" s="2019"/>
      <c r="C305" s="2021"/>
      <c r="D305" s="2018"/>
      <c r="F305" s="2019"/>
      <c r="G305" s="2021"/>
      <c r="H305" s="2018"/>
      <c r="J305" s="2019"/>
      <c r="K305" s="2021"/>
      <c r="L305" s="2018"/>
      <c r="N305" s="2019"/>
      <c r="O305" s="2021"/>
      <c r="P305" s="2018"/>
      <c r="R305" s="2019"/>
      <c r="S305" s="2021"/>
      <c r="T305" s="2018"/>
      <c r="V305" s="2019"/>
      <c r="W305" s="2021"/>
      <c r="X305" s="2018"/>
      <c r="Z305" s="2019"/>
      <c r="AA305" s="2021"/>
      <c r="AB305" s="2018"/>
      <c r="AD305" s="2019"/>
      <c r="AE305" s="2021"/>
      <c r="AF305" s="2018"/>
      <c r="AH305" s="2019"/>
      <c r="AI305" s="2021"/>
      <c r="AJ305" s="2018"/>
      <c r="AL305" s="2019"/>
      <c r="AM305" s="2021"/>
      <c r="AN305" s="2018"/>
      <c r="AP305" s="477"/>
      <c r="AQ305" s="477"/>
    </row>
    <row r="306" spans="2:43" ht="15">
      <c r="B306" s="2019"/>
      <c r="C306" s="2021"/>
      <c r="D306" s="2018"/>
      <c r="F306" s="2019"/>
      <c r="G306" s="2021"/>
      <c r="H306" s="2018"/>
      <c r="J306" s="2019"/>
      <c r="K306" s="2021"/>
      <c r="L306" s="2018"/>
      <c r="N306" s="2019"/>
      <c r="O306" s="2021"/>
      <c r="P306" s="2018"/>
      <c r="R306" s="2019"/>
      <c r="S306" s="2021"/>
      <c r="T306" s="2018"/>
      <c r="V306" s="2019"/>
      <c r="W306" s="2021"/>
      <c r="X306" s="2018"/>
      <c r="Z306" s="2019"/>
      <c r="AA306" s="2021"/>
      <c r="AB306" s="2018"/>
      <c r="AD306" s="2019"/>
      <c r="AE306" s="2021"/>
      <c r="AF306" s="2018"/>
      <c r="AH306" s="2019"/>
      <c r="AI306" s="2021"/>
      <c r="AJ306" s="2018"/>
      <c r="AL306" s="2019"/>
      <c r="AM306" s="2021"/>
      <c r="AN306" s="2018"/>
      <c r="AP306" s="477"/>
      <c r="AQ306" s="477"/>
    </row>
    <row r="307" spans="2:43" ht="15">
      <c r="B307" s="2019"/>
      <c r="C307" s="2021"/>
      <c r="D307" s="2018"/>
      <c r="F307" s="2019"/>
      <c r="G307" s="2021"/>
      <c r="H307" s="2018"/>
      <c r="J307" s="2019"/>
      <c r="K307" s="2021"/>
      <c r="L307" s="2018"/>
      <c r="N307" s="2019"/>
      <c r="O307" s="2021"/>
      <c r="P307" s="2018"/>
      <c r="R307" s="2019"/>
      <c r="S307" s="2021"/>
      <c r="T307" s="2018"/>
      <c r="V307" s="2019"/>
      <c r="W307" s="2021"/>
      <c r="X307" s="2018"/>
      <c r="Z307" s="2019"/>
      <c r="AA307" s="2021"/>
      <c r="AB307" s="2018"/>
      <c r="AD307" s="2019"/>
      <c r="AE307" s="2021"/>
      <c r="AF307" s="2018"/>
      <c r="AH307" s="2019"/>
      <c r="AI307" s="2021"/>
      <c r="AJ307" s="2018"/>
      <c r="AL307" s="2019"/>
      <c r="AM307" s="2021"/>
      <c r="AN307" s="2018"/>
      <c r="AP307" s="477"/>
      <c r="AQ307" s="477"/>
    </row>
    <row r="308" spans="2:43" ht="15">
      <c r="B308" s="2019"/>
      <c r="C308" s="2021"/>
      <c r="D308" s="2018"/>
      <c r="F308" s="2019"/>
      <c r="G308" s="2021"/>
      <c r="H308" s="2018"/>
      <c r="J308" s="2019"/>
      <c r="K308" s="2021"/>
      <c r="L308" s="2018"/>
      <c r="N308" s="2019"/>
      <c r="O308" s="2021"/>
      <c r="P308" s="2018"/>
      <c r="R308" s="2019"/>
      <c r="S308" s="2021"/>
      <c r="T308" s="2018"/>
      <c r="V308" s="2019"/>
      <c r="W308" s="2021"/>
      <c r="X308" s="2018"/>
      <c r="Z308" s="2019"/>
      <c r="AA308" s="2021"/>
      <c r="AB308" s="2018"/>
      <c r="AD308" s="2019"/>
      <c r="AE308" s="2021"/>
      <c r="AF308" s="2018"/>
      <c r="AH308" s="2019"/>
      <c r="AI308" s="2021"/>
      <c r="AJ308" s="2018"/>
      <c r="AL308" s="2019"/>
      <c r="AM308" s="2021"/>
      <c r="AN308" s="2018"/>
      <c r="AP308" s="477"/>
      <c r="AQ308" s="477"/>
    </row>
    <row r="309" spans="2:43" ht="15">
      <c r="B309" s="2019"/>
      <c r="C309" s="2021"/>
      <c r="D309" s="2018"/>
      <c r="F309" s="2019"/>
      <c r="G309" s="2021"/>
      <c r="H309" s="2018"/>
      <c r="J309" s="2019"/>
      <c r="K309" s="2021"/>
      <c r="L309" s="2018"/>
      <c r="N309" s="2019"/>
      <c r="O309" s="2021"/>
      <c r="P309" s="2018"/>
      <c r="R309" s="2019"/>
      <c r="S309" s="2021"/>
      <c r="T309" s="2018"/>
      <c r="V309" s="2019"/>
      <c r="W309" s="2021"/>
      <c r="X309" s="2018"/>
      <c r="Z309" s="2019"/>
      <c r="AA309" s="2021"/>
      <c r="AB309" s="2018"/>
      <c r="AD309" s="2019"/>
      <c r="AE309" s="2021"/>
      <c r="AF309" s="2018"/>
      <c r="AH309" s="2019"/>
      <c r="AI309" s="2021"/>
      <c r="AJ309" s="2018"/>
      <c r="AL309" s="2019"/>
      <c r="AM309" s="2021"/>
      <c r="AN309" s="2018"/>
      <c r="AP309" s="477"/>
      <c r="AQ309" s="477"/>
    </row>
    <row r="310" spans="2:43" ht="15">
      <c r="B310" s="2019"/>
      <c r="C310" s="2021"/>
      <c r="D310" s="2018"/>
      <c r="F310" s="2019"/>
      <c r="G310" s="2021"/>
      <c r="H310" s="2018"/>
      <c r="J310" s="2019"/>
      <c r="K310" s="2021"/>
      <c r="L310" s="2018"/>
      <c r="N310" s="2019"/>
      <c r="O310" s="2021"/>
      <c r="P310" s="2018"/>
      <c r="R310" s="2019"/>
      <c r="S310" s="2021"/>
      <c r="T310" s="2018"/>
      <c r="V310" s="2019"/>
      <c r="W310" s="2021"/>
      <c r="X310" s="2018"/>
      <c r="Z310" s="2019"/>
      <c r="AA310" s="2021"/>
      <c r="AB310" s="2018"/>
      <c r="AD310" s="2019"/>
      <c r="AE310" s="2021"/>
      <c r="AF310" s="2018"/>
      <c r="AH310" s="2019"/>
      <c r="AI310" s="2021"/>
      <c r="AJ310" s="2018"/>
      <c r="AL310" s="2019"/>
      <c r="AM310" s="2021"/>
      <c r="AN310" s="2018"/>
      <c r="AP310" s="477"/>
      <c r="AQ310" s="477"/>
    </row>
    <row r="311" spans="2:43" ht="15">
      <c r="B311" s="2019"/>
      <c r="C311" s="2021"/>
      <c r="D311" s="2018"/>
      <c r="F311" s="2019"/>
      <c r="G311" s="2021"/>
      <c r="H311" s="2018"/>
      <c r="J311" s="2019"/>
      <c r="K311" s="2021"/>
      <c r="L311" s="2018"/>
      <c r="N311" s="2019"/>
      <c r="O311" s="2021"/>
      <c r="P311" s="2018"/>
      <c r="R311" s="2019"/>
      <c r="S311" s="2021"/>
      <c r="T311" s="2018"/>
      <c r="V311" s="2019"/>
      <c r="W311" s="2021"/>
      <c r="X311" s="2018"/>
      <c r="Z311" s="2019"/>
      <c r="AA311" s="2021"/>
      <c r="AB311" s="2018"/>
      <c r="AD311" s="2019"/>
      <c r="AE311" s="2021"/>
      <c r="AF311" s="2018"/>
      <c r="AH311" s="2019"/>
      <c r="AI311" s="2021"/>
      <c r="AJ311" s="2018"/>
      <c r="AL311" s="2019"/>
      <c r="AM311" s="2021"/>
      <c r="AN311" s="2018"/>
      <c r="AP311" s="477"/>
      <c r="AQ311" s="477"/>
    </row>
    <row r="312" spans="2:43" ht="15">
      <c r="B312" s="2019"/>
      <c r="C312" s="2021"/>
      <c r="D312" s="2018"/>
      <c r="F312" s="2019"/>
      <c r="G312" s="2021"/>
      <c r="H312" s="2018"/>
      <c r="J312" s="2019"/>
      <c r="K312" s="2021"/>
      <c r="L312" s="2018"/>
      <c r="N312" s="2019"/>
      <c r="O312" s="2021"/>
      <c r="P312" s="2018"/>
      <c r="R312" s="2019"/>
      <c r="S312" s="2021"/>
      <c r="T312" s="2018"/>
      <c r="V312" s="2019"/>
      <c r="W312" s="2021"/>
      <c r="X312" s="2018"/>
      <c r="Z312" s="2019"/>
      <c r="AA312" s="2021"/>
      <c r="AB312" s="2018"/>
      <c r="AD312" s="2019"/>
      <c r="AE312" s="2021"/>
      <c r="AF312" s="2018"/>
      <c r="AH312" s="2019"/>
      <c r="AI312" s="2021"/>
      <c r="AJ312" s="2018"/>
      <c r="AL312" s="2019"/>
      <c r="AM312" s="2021"/>
      <c r="AN312" s="2018"/>
      <c r="AP312" s="477"/>
      <c r="AQ312" s="477"/>
    </row>
    <row r="313" spans="2:43" ht="15">
      <c r="B313" s="2019"/>
      <c r="C313" s="2021"/>
      <c r="D313" s="2018"/>
      <c r="F313" s="2019"/>
      <c r="G313" s="2021"/>
      <c r="H313" s="2018"/>
      <c r="J313" s="2019"/>
      <c r="K313" s="2021"/>
      <c r="L313" s="2018"/>
      <c r="N313" s="2019"/>
      <c r="O313" s="2021"/>
      <c r="P313" s="2018"/>
      <c r="R313" s="2019"/>
      <c r="S313" s="2021"/>
      <c r="T313" s="2018"/>
      <c r="V313" s="2019"/>
      <c r="W313" s="2021"/>
      <c r="X313" s="2018"/>
      <c r="Z313" s="2019"/>
      <c r="AA313" s="2021"/>
      <c r="AB313" s="2018"/>
      <c r="AD313" s="2019"/>
      <c r="AE313" s="2021"/>
      <c r="AF313" s="2018"/>
      <c r="AH313" s="2019"/>
      <c r="AI313" s="2021"/>
      <c r="AJ313" s="2018"/>
      <c r="AL313" s="2019"/>
      <c r="AM313" s="2021"/>
      <c r="AN313" s="2018"/>
      <c r="AP313" s="477"/>
      <c r="AQ313" s="477"/>
    </row>
    <row r="314" spans="2:43" ht="15">
      <c r="B314" s="2019"/>
      <c r="C314" s="2021"/>
      <c r="D314" s="2018"/>
      <c r="F314" s="2019"/>
      <c r="G314" s="2021"/>
      <c r="H314" s="2018"/>
      <c r="J314" s="2019"/>
      <c r="K314" s="2021"/>
      <c r="L314" s="2018"/>
      <c r="N314" s="2019"/>
      <c r="O314" s="2021"/>
      <c r="P314" s="2018"/>
      <c r="R314" s="2019"/>
      <c r="S314" s="2021"/>
      <c r="T314" s="2018"/>
      <c r="V314" s="2019"/>
      <c r="W314" s="2021"/>
      <c r="X314" s="2018"/>
      <c r="Z314" s="2019"/>
      <c r="AA314" s="2021"/>
      <c r="AB314" s="2018"/>
      <c r="AD314" s="2019"/>
      <c r="AE314" s="2021"/>
      <c r="AF314" s="2018"/>
      <c r="AH314" s="2019"/>
      <c r="AI314" s="2021"/>
      <c r="AJ314" s="2018"/>
      <c r="AL314" s="2019"/>
      <c r="AM314" s="2021"/>
      <c r="AN314" s="2018"/>
      <c r="AP314" s="477"/>
      <c r="AQ314" s="477"/>
    </row>
    <row r="315" spans="2:43" ht="15">
      <c r="B315" s="2019"/>
      <c r="C315" s="2021"/>
      <c r="D315" s="2018"/>
      <c r="F315" s="2019"/>
      <c r="G315" s="2021"/>
      <c r="H315" s="2018"/>
      <c r="J315" s="2019"/>
      <c r="K315" s="2021"/>
      <c r="L315" s="2018"/>
      <c r="N315" s="2019"/>
      <c r="O315" s="2021"/>
      <c r="P315" s="2018"/>
      <c r="R315" s="2019"/>
      <c r="S315" s="2021"/>
      <c r="T315" s="2018"/>
      <c r="V315" s="2019"/>
      <c r="W315" s="2021"/>
      <c r="X315" s="2018"/>
      <c r="Z315" s="2019"/>
      <c r="AA315" s="2021"/>
      <c r="AB315" s="2018"/>
      <c r="AD315" s="2019"/>
      <c r="AE315" s="2021"/>
      <c r="AF315" s="2018"/>
      <c r="AH315" s="2019"/>
      <c r="AI315" s="2021"/>
      <c r="AJ315" s="2018"/>
      <c r="AL315" s="2019"/>
      <c r="AM315" s="2021"/>
      <c r="AN315" s="2018"/>
      <c r="AP315" s="477"/>
      <c r="AQ315" s="477"/>
    </row>
    <row r="316" spans="2:43" ht="15">
      <c r="B316" s="2019"/>
      <c r="C316" s="2021"/>
      <c r="D316" s="2018"/>
      <c r="F316" s="2019"/>
      <c r="G316" s="2021"/>
      <c r="H316" s="2018"/>
      <c r="J316" s="2019"/>
      <c r="K316" s="2021"/>
      <c r="L316" s="2018"/>
      <c r="N316" s="2019"/>
      <c r="O316" s="2021"/>
      <c r="P316" s="2018"/>
      <c r="R316" s="2019"/>
      <c r="S316" s="2021"/>
      <c r="T316" s="2018"/>
      <c r="V316" s="2019"/>
      <c r="W316" s="2021"/>
      <c r="X316" s="2018"/>
      <c r="Z316" s="2019"/>
      <c r="AA316" s="2021"/>
      <c r="AB316" s="2018"/>
      <c r="AD316" s="2019"/>
      <c r="AE316" s="2021"/>
      <c r="AF316" s="2018"/>
      <c r="AH316" s="2019"/>
      <c r="AI316" s="2021"/>
      <c r="AJ316" s="2018"/>
      <c r="AL316" s="2019"/>
      <c r="AM316" s="2021"/>
      <c r="AN316" s="2018"/>
      <c r="AP316" s="477"/>
      <c r="AQ316" s="477"/>
    </row>
    <row r="317" spans="2:43" ht="15">
      <c r="B317" s="2019"/>
      <c r="C317" s="2021"/>
      <c r="D317" s="2018"/>
      <c r="F317" s="2019"/>
      <c r="G317" s="2021"/>
      <c r="H317" s="2018"/>
      <c r="J317" s="2019"/>
      <c r="K317" s="2021"/>
      <c r="L317" s="2018"/>
      <c r="N317" s="2019"/>
      <c r="O317" s="2021"/>
      <c r="P317" s="2018"/>
      <c r="R317" s="2019"/>
      <c r="S317" s="2021"/>
      <c r="T317" s="2018"/>
      <c r="V317" s="2019"/>
      <c r="W317" s="2021"/>
      <c r="X317" s="2018"/>
      <c r="Z317" s="2019"/>
      <c r="AA317" s="2021"/>
      <c r="AB317" s="2018"/>
      <c r="AD317" s="2019"/>
      <c r="AE317" s="2021"/>
      <c r="AF317" s="2018"/>
      <c r="AH317" s="2019"/>
      <c r="AI317" s="2021"/>
      <c r="AJ317" s="2018"/>
      <c r="AL317" s="2019"/>
      <c r="AM317" s="2021"/>
      <c r="AN317" s="2018"/>
      <c r="AP317" s="477"/>
      <c r="AQ317" s="477"/>
    </row>
    <row r="318" spans="2:43" ht="15">
      <c r="B318" s="2019"/>
      <c r="C318" s="2021"/>
      <c r="D318" s="2018"/>
      <c r="F318" s="2019"/>
      <c r="G318" s="2021"/>
      <c r="H318" s="2018"/>
      <c r="J318" s="2019"/>
      <c r="K318" s="2021"/>
      <c r="L318" s="2018"/>
      <c r="N318" s="2019"/>
      <c r="O318" s="2021"/>
      <c r="P318" s="2018"/>
      <c r="R318" s="2019"/>
      <c r="S318" s="2021"/>
      <c r="T318" s="2018"/>
      <c r="V318" s="2019"/>
      <c r="W318" s="2021"/>
      <c r="X318" s="2018"/>
      <c r="Z318" s="2019"/>
      <c r="AA318" s="2021"/>
      <c r="AB318" s="2018"/>
      <c r="AD318" s="2019"/>
      <c r="AE318" s="2021"/>
      <c r="AF318" s="2018"/>
      <c r="AH318" s="2019"/>
      <c r="AI318" s="2021"/>
      <c r="AJ318" s="2018"/>
      <c r="AL318" s="2019"/>
      <c r="AM318" s="2021"/>
      <c r="AN318" s="2018"/>
      <c r="AP318" s="477"/>
      <c r="AQ318" s="477"/>
    </row>
    <row r="319" spans="2:43" ht="15">
      <c r="B319" s="2019"/>
      <c r="C319" s="2021"/>
      <c r="D319" s="2018"/>
      <c r="F319" s="2019"/>
      <c r="G319" s="2021"/>
      <c r="H319" s="2018"/>
      <c r="J319" s="2019"/>
      <c r="K319" s="2021"/>
      <c r="L319" s="2018"/>
      <c r="N319" s="2019"/>
      <c r="O319" s="2021"/>
      <c r="P319" s="2018"/>
      <c r="R319" s="2019"/>
      <c r="S319" s="2021"/>
      <c r="T319" s="2018"/>
      <c r="V319" s="2019"/>
      <c r="W319" s="2021"/>
      <c r="X319" s="2018"/>
      <c r="Z319" s="2019"/>
      <c r="AA319" s="2021"/>
      <c r="AB319" s="2018"/>
      <c r="AD319" s="2019"/>
      <c r="AE319" s="2021"/>
      <c r="AF319" s="2018"/>
      <c r="AH319" s="2019"/>
      <c r="AI319" s="2021"/>
      <c r="AJ319" s="2018"/>
      <c r="AL319" s="2019"/>
      <c r="AM319" s="2021"/>
      <c r="AN319" s="2018"/>
      <c r="AP319" s="477"/>
      <c r="AQ319" s="477"/>
    </row>
    <row r="320" spans="2:43" ht="15">
      <c r="B320" s="2019"/>
      <c r="C320" s="2021"/>
      <c r="D320" s="2018"/>
      <c r="F320" s="2019"/>
      <c r="G320" s="2021"/>
      <c r="H320" s="2018"/>
      <c r="J320" s="2019"/>
      <c r="K320" s="2021"/>
      <c r="L320" s="2018"/>
      <c r="N320" s="2019"/>
      <c r="O320" s="2021"/>
      <c r="P320" s="2018"/>
      <c r="R320" s="2019"/>
      <c r="S320" s="2021"/>
      <c r="T320" s="2018"/>
      <c r="V320" s="2019"/>
      <c r="W320" s="2021"/>
      <c r="X320" s="2018"/>
      <c r="Z320" s="2019"/>
      <c r="AA320" s="2021"/>
      <c r="AB320" s="2018"/>
      <c r="AD320" s="2019"/>
      <c r="AE320" s="2021"/>
      <c r="AF320" s="2018"/>
      <c r="AH320" s="2019"/>
      <c r="AI320" s="2021"/>
      <c r="AJ320" s="2018"/>
      <c r="AL320" s="2019"/>
      <c r="AM320" s="2021"/>
      <c r="AN320" s="2018"/>
      <c r="AP320" s="477"/>
      <c r="AQ320" s="477"/>
    </row>
    <row r="321" spans="2:43" ht="15">
      <c r="B321" s="2019"/>
      <c r="C321" s="2021"/>
      <c r="D321" s="2018"/>
      <c r="F321" s="2019"/>
      <c r="G321" s="2021"/>
      <c r="H321" s="2018"/>
      <c r="J321" s="2019"/>
      <c r="K321" s="2021"/>
      <c r="L321" s="2018"/>
      <c r="N321" s="2019"/>
      <c r="O321" s="2021"/>
      <c r="P321" s="2018"/>
      <c r="R321" s="2019"/>
      <c r="S321" s="2021"/>
      <c r="T321" s="2018"/>
      <c r="V321" s="2019"/>
      <c r="W321" s="2021"/>
      <c r="X321" s="2018"/>
      <c r="Z321" s="2019"/>
      <c r="AA321" s="2021"/>
      <c r="AB321" s="2018"/>
      <c r="AD321" s="2019"/>
      <c r="AE321" s="2021"/>
      <c r="AF321" s="2018"/>
      <c r="AH321" s="2019"/>
      <c r="AI321" s="2021"/>
      <c r="AJ321" s="2018"/>
      <c r="AL321" s="2019"/>
      <c r="AM321" s="2021"/>
      <c r="AN321" s="2018"/>
      <c r="AP321" s="477"/>
      <c r="AQ321" s="477"/>
    </row>
    <row r="322" spans="2:43" ht="15">
      <c r="B322" s="2019"/>
      <c r="C322" s="2021"/>
      <c r="D322" s="2018"/>
      <c r="F322" s="2019"/>
      <c r="G322" s="2021"/>
      <c r="H322" s="2018"/>
      <c r="J322" s="2019"/>
      <c r="K322" s="2021"/>
      <c r="L322" s="2018"/>
      <c r="N322" s="2019"/>
      <c r="O322" s="2021"/>
      <c r="P322" s="2018"/>
      <c r="R322" s="2019"/>
      <c r="S322" s="2021"/>
      <c r="T322" s="2018"/>
      <c r="V322" s="2019"/>
      <c r="W322" s="2021"/>
      <c r="X322" s="2018"/>
      <c r="Z322" s="2019"/>
      <c r="AA322" s="2021"/>
      <c r="AB322" s="2018"/>
      <c r="AD322" s="2019"/>
      <c r="AE322" s="2021"/>
      <c r="AF322" s="2018"/>
      <c r="AH322" s="2019"/>
      <c r="AI322" s="2021"/>
      <c r="AJ322" s="2018"/>
      <c r="AL322" s="2019"/>
      <c r="AM322" s="2021"/>
      <c r="AN322" s="2018"/>
      <c r="AP322" s="477"/>
      <c r="AQ322" s="477"/>
    </row>
    <row r="323" spans="2:43" ht="15">
      <c r="B323" s="2019"/>
      <c r="C323" s="2021"/>
      <c r="D323" s="2018"/>
      <c r="F323" s="2019"/>
      <c r="G323" s="2021"/>
      <c r="H323" s="2018"/>
      <c r="J323" s="2019"/>
      <c r="K323" s="2021"/>
      <c r="L323" s="2018"/>
      <c r="N323" s="2019"/>
      <c r="O323" s="2021"/>
      <c r="P323" s="2018"/>
      <c r="R323" s="2019"/>
      <c r="S323" s="2021"/>
      <c r="T323" s="2018"/>
      <c r="V323" s="2019"/>
      <c r="W323" s="2021"/>
      <c r="X323" s="2018"/>
      <c r="Z323" s="2019"/>
      <c r="AA323" s="2021"/>
      <c r="AB323" s="2018"/>
      <c r="AD323" s="2019"/>
      <c r="AE323" s="2021"/>
      <c r="AF323" s="2018"/>
      <c r="AH323" s="2019"/>
      <c r="AI323" s="2021"/>
      <c r="AJ323" s="2018"/>
      <c r="AL323" s="2019"/>
      <c r="AM323" s="2021"/>
      <c r="AN323" s="2018"/>
      <c r="AP323" s="477"/>
      <c r="AQ323" s="477"/>
    </row>
    <row r="324" spans="2:43" ht="15">
      <c r="B324" s="2019"/>
      <c r="C324" s="2021"/>
      <c r="D324" s="2018"/>
      <c r="F324" s="2019"/>
      <c r="G324" s="2021"/>
      <c r="H324" s="2018"/>
      <c r="J324" s="2019"/>
      <c r="K324" s="2021"/>
      <c r="L324" s="2018"/>
      <c r="N324" s="2019"/>
      <c r="O324" s="2021"/>
      <c r="P324" s="2018"/>
      <c r="R324" s="2019"/>
      <c r="S324" s="2021"/>
      <c r="T324" s="2018"/>
      <c r="V324" s="2019"/>
      <c r="W324" s="2021"/>
      <c r="X324" s="2018"/>
      <c r="Z324" s="2019"/>
      <c r="AA324" s="2021"/>
      <c r="AB324" s="2018"/>
      <c r="AD324" s="2019"/>
      <c r="AE324" s="2021"/>
      <c r="AF324" s="2018"/>
      <c r="AH324" s="2019"/>
      <c r="AI324" s="2021"/>
      <c r="AJ324" s="2018"/>
      <c r="AL324" s="2019"/>
      <c r="AM324" s="2021"/>
      <c r="AN324" s="2018"/>
      <c r="AP324" s="477"/>
      <c r="AQ324" s="477"/>
    </row>
    <row r="325" spans="2:43" ht="15">
      <c r="B325" s="2019"/>
      <c r="C325" s="2021"/>
      <c r="D325" s="2018"/>
      <c r="F325" s="2019"/>
      <c r="G325" s="2021"/>
      <c r="H325" s="2018"/>
      <c r="J325" s="2019"/>
      <c r="K325" s="2021"/>
      <c r="L325" s="2018"/>
      <c r="N325" s="2019"/>
      <c r="O325" s="2021"/>
      <c r="P325" s="2018"/>
      <c r="R325" s="2019"/>
      <c r="S325" s="2021"/>
      <c r="T325" s="2018"/>
      <c r="V325" s="2019"/>
      <c r="W325" s="2021"/>
      <c r="X325" s="2018"/>
      <c r="Z325" s="2019"/>
      <c r="AA325" s="2021"/>
      <c r="AB325" s="2018"/>
      <c r="AD325" s="2019"/>
      <c r="AE325" s="2021"/>
      <c r="AF325" s="2018"/>
      <c r="AH325" s="2019"/>
      <c r="AI325" s="2021"/>
      <c r="AJ325" s="2018"/>
      <c r="AL325" s="2019"/>
      <c r="AM325" s="2021"/>
      <c r="AN325" s="2018"/>
      <c r="AP325" s="477"/>
      <c r="AQ325" s="477"/>
    </row>
    <row r="326" spans="2:43" ht="15">
      <c r="B326" s="2019"/>
      <c r="C326" s="2021"/>
      <c r="D326" s="2018"/>
      <c r="F326" s="2019"/>
      <c r="G326" s="2021"/>
      <c r="H326" s="2018"/>
      <c r="J326" s="2019"/>
      <c r="K326" s="2021"/>
      <c r="L326" s="2018"/>
      <c r="N326" s="2019"/>
      <c r="O326" s="2021"/>
      <c r="P326" s="2018"/>
      <c r="R326" s="2019"/>
      <c r="S326" s="2021"/>
      <c r="T326" s="2018"/>
      <c r="V326" s="2019"/>
      <c r="W326" s="2021"/>
      <c r="X326" s="2018"/>
      <c r="Z326" s="2019"/>
      <c r="AA326" s="2021"/>
      <c r="AB326" s="2018"/>
      <c r="AD326" s="2019"/>
      <c r="AE326" s="2021"/>
      <c r="AF326" s="2018"/>
      <c r="AH326" s="2019"/>
      <c r="AI326" s="2021"/>
      <c r="AJ326" s="2018"/>
      <c r="AL326" s="2019"/>
      <c r="AM326" s="2021"/>
      <c r="AN326" s="2018"/>
      <c r="AP326" s="477"/>
      <c r="AQ326" s="477"/>
    </row>
    <row r="327" spans="2:43" ht="15">
      <c r="B327" s="2019"/>
      <c r="C327" s="2021"/>
      <c r="D327" s="2018"/>
      <c r="F327" s="2019"/>
      <c r="G327" s="2021"/>
      <c r="H327" s="2018"/>
      <c r="J327" s="2019"/>
      <c r="K327" s="2021"/>
      <c r="L327" s="2018"/>
      <c r="N327" s="2019"/>
      <c r="O327" s="2021"/>
      <c r="P327" s="2018"/>
      <c r="R327" s="2019"/>
      <c r="S327" s="2021"/>
      <c r="T327" s="2018"/>
      <c r="V327" s="2019"/>
      <c r="W327" s="2021"/>
      <c r="X327" s="2018"/>
      <c r="Z327" s="2019"/>
      <c r="AA327" s="2021"/>
      <c r="AB327" s="2018"/>
      <c r="AD327" s="2019"/>
      <c r="AE327" s="2021"/>
      <c r="AF327" s="2018"/>
      <c r="AH327" s="2019"/>
      <c r="AI327" s="2021"/>
      <c r="AJ327" s="2018"/>
      <c r="AL327" s="2019"/>
      <c r="AM327" s="2021"/>
      <c r="AN327" s="2018"/>
      <c r="AP327" s="477"/>
      <c r="AQ327" s="477"/>
    </row>
    <row r="328" spans="2:43" ht="15">
      <c r="B328" s="2019"/>
      <c r="C328" s="2021"/>
      <c r="D328" s="2018"/>
      <c r="F328" s="2019"/>
      <c r="G328" s="2021"/>
      <c r="H328" s="2018"/>
      <c r="J328" s="2019"/>
      <c r="K328" s="2021"/>
      <c r="L328" s="2018"/>
      <c r="N328" s="2019"/>
      <c r="O328" s="2021"/>
      <c r="P328" s="2018"/>
      <c r="R328" s="2019"/>
      <c r="S328" s="2021"/>
      <c r="T328" s="2018"/>
      <c r="V328" s="2019"/>
      <c r="W328" s="2021"/>
      <c r="X328" s="2018"/>
      <c r="Z328" s="2019"/>
      <c r="AA328" s="2021"/>
      <c r="AB328" s="2018"/>
      <c r="AD328" s="2019"/>
      <c r="AE328" s="2021"/>
      <c r="AF328" s="2018"/>
      <c r="AH328" s="2019"/>
      <c r="AI328" s="2021"/>
      <c r="AJ328" s="2018"/>
      <c r="AL328" s="2019"/>
      <c r="AM328" s="2021"/>
      <c r="AN328" s="2018"/>
      <c r="AP328" s="477"/>
      <c r="AQ328" s="477"/>
    </row>
    <row r="329" spans="2:43" ht="15">
      <c r="B329" s="2019"/>
      <c r="C329" s="2021"/>
      <c r="D329" s="2018"/>
      <c r="F329" s="2019"/>
      <c r="G329" s="2021"/>
      <c r="H329" s="2018"/>
      <c r="J329" s="2019"/>
      <c r="K329" s="2021"/>
      <c r="L329" s="2018"/>
      <c r="N329" s="2019"/>
      <c r="O329" s="2021"/>
      <c r="P329" s="2018"/>
      <c r="R329" s="2019"/>
      <c r="S329" s="2021"/>
      <c r="T329" s="2018"/>
      <c r="V329" s="2019"/>
      <c r="W329" s="2021"/>
      <c r="X329" s="2018"/>
      <c r="Z329" s="2019"/>
      <c r="AA329" s="2021"/>
      <c r="AB329" s="2018"/>
      <c r="AD329" s="2019"/>
      <c r="AE329" s="2021"/>
      <c r="AF329" s="2018"/>
      <c r="AH329" s="2019"/>
      <c r="AI329" s="2021"/>
      <c r="AJ329" s="2018"/>
      <c r="AL329" s="2019"/>
      <c r="AM329" s="2021"/>
      <c r="AN329" s="2018"/>
      <c r="AP329" s="477"/>
      <c r="AQ329" s="477"/>
    </row>
    <row r="330" spans="2:43" ht="15">
      <c r="B330" s="2019"/>
      <c r="C330" s="2021"/>
      <c r="D330" s="2018"/>
      <c r="F330" s="2019"/>
      <c r="G330" s="2021"/>
      <c r="H330" s="2018"/>
      <c r="J330" s="2019"/>
      <c r="K330" s="2021"/>
      <c r="L330" s="2018"/>
      <c r="N330" s="2019"/>
      <c r="O330" s="2021"/>
      <c r="P330" s="2018"/>
      <c r="R330" s="2019"/>
      <c r="S330" s="2021"/>
      <c r="T330" s="2018"/>
      <c r="V330" s="2019"/>
      <c r="W330" s="2021"/>
      <c r="X330" s="2018"/>
      <c r="Z330" s="2019"/>
      <c r="AA330" s="2021"/>
      <c r="AB330" s="2018"/>
      <c r="AD330" s="2019"/>
      <c r="AE330" s="2021"/>
      <c r="AF330" s="2018"/>
      <c r="AH330" s="2019"/>
      <c r="AI330" s="2021"/>
      <c r="AJ330" s="2018"/>
      <c r="AL330" s="2019"/>
      <c r="AM330" s="2021"/>
      <c r="AN330" s="2018"/>
      <c r="AP330" s="477"/>
      <c r="AQ330" s="477"/>
    </row>
    <row r="331" spans="2:43" ht="15">
      <c r="B331" s="2019"/>
      <c r="C331" s="2021"/>
      <c r="D331" s="2018"/>
      <c r="F331" s="2019"/>
      <c r="G331" s="2021"/>
      <c r="H331" s="2018"/>
      <c r="J331" s="2019"/>
      <c r="K331" s="2021"/>
      <c r="L331" s="2018"/>
      <c r="N331" s="2019"/>
      <c r="O331" s="2021"/>
      <c r="P331" s="2018"/>
      <c r="R331" s="2019"/>
      <c r="S331" s="2021"/>
      <c r="T331" s="2018"/>
      <c r="V331" s="2019"/>
      <c r="W331" s="2021"/>
      <c r="X331" s="2018"/>
      <c r="Z331" s="2019"/>
      <c r="AA331" s="2021"/>
      <c r="AB331" s="2018"/>
      <c r="AD331" s="2019"/>
      <c r="AE331" s="2021"/>
      <c r="AF331" s="2018"/>
      <c r="AH331" s="2019"/>
      <c r="AI331" s="2021"/>
      <c r="AJ331" s="2018"/>
      <c r="AL331" s="2019"/>
      <c r="AM331" s="2021"/>
      <c r="AN331" s="2018"/>
      <c r="AP331" s="477"/>
      <c r="AQ331" s="477"/>
    </row>
    <row r="332" spans="2:43" ht="15">
      <c r="B332" s="2019"/>
      <c r="C332" s="2021"/>
      <c r="D332" s="2018"/>
      <c r="F332" s="2019"/>
      <c r="G332" s="2021"/>
      <c r="H332" s="2018"/>
      <c r="J332" s="2019"/>
      <c r="K332" s="2021"/>
      <c r="L332" s="2018"/>
      <c r="N332" s="2019"/>
      <c r="O332" s="2021"/>
      <c r="P332" s="2018"/>
      <c r="R332" s="2019"/>
      <c r="S332" s="2021"/>
      <c r="T332" s="2018"/>
      <c r="V332" s="2019"/>
      <c r="W332" s="2021"/>
      <c r="X332" s="2018"/>
      <c r="Z332" s="2019"/>
      <c r="AA332" s="2021"/>
      <c r="AB332" s="2018"/>
      <c r="AD332" s="2019"/>
      <c r="AE332" s="2021"/>
      <c r="AF332" s="2018"/>
      <c r="AH332" s="2019"/>
      <c r="AI332" s="2021"/>
      <c r="AJ332" s="2018"/>
      <c r="AL332" s="2019"/>
      <c r="AM332" s="2021"/>
      <c r="AN332" s="2018"/>
      <c r="AP332" s="477"/>
      <c r="AQ332" s="477"/>
    </row>
    <row r="333" spans="2:43" ht="15">
      <c r="B333" s="2019"/>
      <c r="C333" s="2021"/>
      <c r="D333" s="2018"/>
      <c r="F333" s="2019"/>
      <c r="G333" s="2021"/>
      <c r="H333" s="2018"/>
      <c r="J333" s="2019"/>
      <c r="K333" s="2021"/>
      <c r="L333" s="2018"/>
      <c r="N333" s="2019"/>
      <c r="O333" s="2021"/>
      <c r="P333" s="2018"/>
      <c r="R333" s="2019"/>
      <c r="S333" s="2021"/>
      <c r="T333" s="2018"/>
      <c r="V333" s="2019"/>
      <c r="W333" s="2021"/>
      <c r="X333" s="2018"/>
      <c r="Z333" s="2019"/>
      <c r="AA333" s="2021"/>
      <c r="AB333" s="2018"/>
      <c r="AD333" s="2019"/>
      <c r="AE333" s="2021"/>
      <c r="AF333" s="2018"/>
      <c r="AH333" s="2019"/>
      <c r="AI333" s="2021"/>
      <c r="AJ333" s="2018"/>
      <c r="AL333" s="2019"/>
      <c r="AM333" s="2021"/>
      <c r="AN333" s="2018"/>
      <c r="AP333" s="477"/>
      <c r="AQ333" s="477"/>
    </row>
    <row r="334" spans="2:43" ht="15">
      <c r="B334" s="2019"/>
      <c r="C334" s="2021"/>
      <c r="D334" s="2018"/>
      <c r="F334" s="2019"/>
      <c r="G334" s="2021"/>
      <c r="H334" s="2018"/>
      <c r="J334" s="2019"/>
      <c r="K334" s="2021"/>
      <c r="L334" s="2018"/>
      <c r="N334" s="2019"/>
      <c r="O334" s="2021"/>
      <c r="P334" s="2018"/>
      <c r="R334" s="2019"/>
      <c r="S334" s="2021"/>
      <c r="T334" s="2018"/>
      <c r="V334" s="2019"/>
      <c r="W334" s="2021"/>
      <c r="X334" s="2018"/>
      <c r="Z334" s="2019"/>
      <c r="AA334" s="2021"/>
      <c r="AB334" s="2018"/>
      <c r="AD334" s="2019"/>
      <c r="AE334" s="2021"/>
      <c r="AF334" s="2018"/>
      <c r="AH334" s="2019"/>
      <c r="AI334" s="2021"/>
      <c r="AJ334" s="2018"/>
      <c r="AL334" s="2019"/>
      <c r="AM334" s="2021"/>
      <c r="AN334" s="2018"/>
      <c r="AP334" s="477"/>
      <c r="AQ334" s="477"/>
    </row>
    <row r="335" spans="2:43" ht="15">
      <c r="B335" s="2019"/>
      <c r="C335" s="2021"/>
      <c r="D335" s="2018"/>
      <c r="F335" s="2019"/>
      <c r="G335" s="2021"/>
      <c r="H335" s="2018"/>
      <c r="J335" s="2019"/>
      <c r="K335" s="2021"/>
      <c r="L335" s="2018"/>
      <c r="N335" s="2019"/>
      <c r="O335" s="2021"/>
      <c r="P335" s="2018"/>
      <c r="R335" s="2019"/>
      <c r="S335" s="2021"/>
      <c r="T335" s="2018"/>
      <c r="V335" s="2019"/>
      <c r="W335" s="2021"/>
      <c r="X335" s="2018"/>
      <c r="Z335" s="2019"/>
      <c r="AA335" s="2021"/>
      <c r="AB335" s="2018"/>
      <c r="AD335" s="2019"/>
      <c r="AE335" s="2021"/>
      <c r="AF335" s="2018"/>
      <c r="AH335" s="2019"/>
      <c r="AI335" s="2021"/>
      <c r="AJ335" s="2018"/>
      <c r="AL335" s="2019"/>
      <c r="AM335" s="2021"/>
      <c r="AN335" s="2018"/>
      <c r="AP335" s="477"/>
      <c r="AQ335" s="477"/>
    </row>
    <row r="336" spans="2:43" ht="15">
      <c r="B336" s="2019"/>
      <c r="C336" s="2021"/>
      <c r="D336" s="2018"/>
      <c r="F336" s="2019"/>
      <c r="G336" s="2021"/>
      <c r="H336" s="2018"/>
      <c r="J336" s="2019"/>
      <c r="K336" s="2021"/>
      <c r="L336" s="2018"/>
      <c r="N336" s="2019"/>
      <c r="O336" s="2021"/>
      <c r="P336" s="2018"/>
      <c r="R336" s="2019"/>
      <c r="S336" s="2021"/>
      <c r="T336" s="2018"/>
      <c r="V336" s="2019"/>
      <c r="W336" s="2021"/>
      <c r="X336" s="2018"/>
      <c r="Z336" s="2019"/>
      <c r="AA336" s="2021"/>
      <c r="AB336" s="2018"/>
      <c r="AD336" s="2019"/>
      <c r="AE336" s="2021"/>
      <c r="AF336" s="2018"/>
      <c r="AH336" s="2019"/>
      <c r="AI336" s="2021"/>
      <c r="AJ336" s="2018"/>
      <c r="AL336" s="2019"/>
      <c r="AM336" s="2021"/>
      <c r="AN336" s="2018"/>
      <c r="AP336" s="477"/>
      <c r="AQ336" s="477"/>
    </row>
    <row r="337" spans="2:43" ht="15">
      <c r="B337" s="2019"/>
      <c r="C337" s="2021"/>
      <c r="D337" s="2018"/>
      <c r="F337" s="2019"/>
      <c r="G337" s="2021"/>
      <c r="H337" s="2018"/>
      <c r="J337" s="2019"/>
      <c r="K337" s="2021"/>
      <c r="L337" s="2018"/>
      <c r="N337" s="2019"/>
      <c r="O337" s="2021"/>
      <c r="P337" s="2018"/>
      <c r="R337" s="2019"/>
      <c r="S337" s="2021"/>
      <c r="T337" s="2018"/>
      <c r="V337" s="2019"/>
      <c r="W337" s="2021"/>
      <c r="X337" s="2018"/>
      <c r="Z337" s="2019"/>
      <c r="AA337" s="2021"/>
      <c r="AB337" s="2018"/>
      <c r="AD337" s="2019"/>
      <c r="AE337" s="2021"/>
      <c r="AF337" s="2018"/>
      <c r="AH337" s="2019"/>
      <c r="AI337" s="2021"/>
      <c r="AJ337" s="2018"/>
      <c r="AL337" s="2019"/>
      <c r="AM337" s="2021"/>
      <c r="AN337" s="2018"/>
      <c r="AP337" s="477"/>
      <c r="AQ337" s="477"/>
    </row>
    <row r="338" spans="2:43" ht="15">
      <c r="B338" s="2019"/>
      <c r="C338" s="2021"/>
      <c r="D338" s="2018"/>
      <c r="F338" s="2019"/>
      <c r="G338" s="2021"/>
      <c r="H338" s="2018"/>
      <c r="J338" s="2019"/>
      <c r="K338" s="2021"/>
      <c r="L338" s="2018"/>
      <c r="N338" s="2019"/>
      <c r="O338" s="2021"/>
      <c r="P338" s="2018"/>
      <c r="R338" s="2019"/>
      <c r="S338" s="2021"/>
      <c r="T338" s="2018"/>
      <c r="V338" s="2019"/>
      <c r="W338" s="2021"/>
      <c r="X338" s="2018"/>
      <c r="Z338" s="2019"/>
      <c r="AA338" s="2021"/>
      <c r="AB338" s="2018"/>
      <c r="AD338" s="2019"/>
      <c r="AE338" s="2021"/>
      <c r="AF338" s="2018"/>
      <c r="AH338" s="2019"/>
      <c r="AI338" s="2021"/>
      <c r="AJ338" s="2018"/>
      <c r="AL338" s="2019"/>
      <c r="AM338" s="2021"/>
      <c r="AN338" s="2018"/>
      <c r="AP338" s="477"/>
      <c r="AQ338" s="477"/>
    </row>
    <row r="339" spans="2:43" ht="15">
      <c r="B339" s="2019"/>
      <c r="C339" s="2021"/>
      <c r="D339" s="2018"/>
      <c r="F339" s="2019"/>
      <c r="G339" s="2021"/>
      <c r="H339" s="2018"/>
      <c r="J339" s="2019"/>
      <c r="K339" s="2021"/>
      <c r="L339" s="2018"/>
      <c r="N339" s="2019"/>
      <c r="O339" s="2021"/>
      <c r="P339" s="2018"/>
      <c r="R339" s="2019"/>
      <c r="S339" s="2021"/>
      <c r="T339" s="2018"/>
      <c r="V339" s="2019"/>
      <c r="W339" s="2021"/>
      <c r="X339" s="2018"/>
      <c r="Z339" s="2019"/>
      <c r="AA339" s="2021"/>
      <c r="AB339" s="2018"/>
      <c r="AD339" s="2019"/>
      <c r="AE339" s="2021"/>
      <c r="AF339" s="2018"/>
      <c r="AH339" s="2019"/>
      <c r="AI339" s="2021"/>
      <c r="AJ339" s="2018"/>
      <c r="AL339" s="2019"/>
      <c r="AM339" s="2021"/>
      <c r="AN339" s="2018"/>
      <c r="AP339" s="477"/>
      <c r="AQ339" s="477"/>
    </row>
    <row r="340" spans="2:43" ht="15">
      <c r="B340" s="2019"/>
      <c r="C340" s="2021"/>
      <c r="D340" s="2018"/>
      <c r="F340" s="2019"/>
      <c r="G340" s="2021"/>
      <c r="H340" s="2018"/>
      <c r="J340" s="2019"/>
      <c r="K340" s="2021"/>
      <c r="L340" s="2018"/>
      <c r="N340" s="2019"/>
      <c r="O340" s="2021"/>
      <c r="P340" s="2018"/>
      <c r="R340" s="2019"/>
      <c r="S340" s="2021"/>
      <c r="T340" s="2018"/>
      <c r="V340" s="2019"/>
      <c r="W340" s="2021"/>
      <c r="X340" s="2018"/>
      <c r="Z340" s="2019"/>
      <c r="AA340" s="2021"/>
      <c r="AB340" s="2018"/>
      <c r="AD340" s="2019"/>
      <c r="AE340" s="2021"/>
      <c r="AF340" s="2018"/>
      <c r="AH340" s="2019"/>
      <c r="AI340" s="2021"/>
      <c r="AJ340" s="2018"/>
      <c r="AL340" s="2019"/>
      <c r="AM340" s="2021"/>
      <c r="AN340" s="2018"/>
      <c r="AP340" s="477"/>
      <c r="AQ340" s="477"/>
    </row>
    <row r="341" spans="2:43" ht="15">
      <c r="B341" s="2019"/>
      <c r="C341" s="2021"/>
      <c r="D341" s="2018"/>
      <c r="F341" s="2019"/>
      <c r="G341" s="2021"/>
      <c r="H341" s="2018"/>
      <c r="J341" s="2019"/>
      <c r="K341" s="2021"/>
      <c r="L341" s="2018"/>
      <c r="N341" s="2019"/>
      <c r="O341" s="2021"/>
      <c r="P341" s="2018"/>
      <c r="R341" s="2019"/>
      <c r="S341" s="2021"/>
      <c r="T341" s="2018"/>
      <c r="V341" s="2019"/>
      <c r="W341" s="2021"/>
      <c r="X341" s="2018"/>
      <c r="Z341" s="2019"/>
      <c r="AA341" s="2021"/>
      <c r="AB341" s="2018"/>
      <c r="AD341" s="2019"/>
      <c r="AE341" s="2021"/>
      <c r="AF341" s="2018"/>
      <c r="AH341" s="2019"/>
      <c r="AI341" s="2021"/>
      <c r="AJ341" s="2018"/>
      <c r="AL341" s="2019"/>
      <c r="AM341" s="2021"/>
      <c r="AN341" s="2018"/>
      <c r="AP341" s="477"/>
      <c r="AQ341" s="477"/>
    </row>
    <row r="342" spans="2:43" ht="15">
      <c r="B342" s="2019"/>
      <c r="C342" s="2021"/>
      <c r="D342" s="2018"/>
      <c r="F342" s="2019"/>
      <c r="G342" s="2021"/>
      <c r="H342" s="2018"/>
      <c r="J342" s="2019"/>
      <c r="K342" s="2021"/>
      <c r="L342" s="2018"/>
      <c r="N342" s="2019"/>
      <c r="O342" s="2021"/>
      <c r="P342" s="2018"/>
      <c r="R342" s="2019"/>
      <c r="S342" s="2021"/>
      <c r="T342" s="2018"/>
      <c r="V342" s="2019"/>
      <c r="W342" s="2021"/>
      <c r="X342" s="2018"/>
      <c r="Z342" s="2019"/>
      <c r="AA342" s="2021"/>
      <c r="AB342" s="2018"/>
      <c r="AD342" s="2019"/>
      <c r="AE342" s="2021"/>
      <c r="AF342" s="2018"/>
      <c r="AH342" s="2019"/>
      <c r="AI342" s="2021"/>
      <c r="AJ342" s="2018"/>
      <c r="AL342" s="2019"/>
      <c r="AM342" s="2021"/>
      <c r="AN342" s="2018"/>
      <c r="AP342" s="477"/>
      <c r="AQ342" s="477"/>
    </row>
    <row r="343" spans="2:43" ht="15">
      <c r="B343" s="2019"/>
      <c r="C343" s="2021"/>
      <c r="D343" s="2018"/>
      <c r="F343" s="2019"/>
      <c r="G343" s="2021"/>
      <c r="H343" s="2018"/>
      <c r="J343" s="2019"/>
      <c r="K343" s="2021"/>
      <c r="L343" s="2018"/>
      <c r="N343" s="2019"/>
      <c r="O343" s="2021"/>
      <c r="P343" s="2018"/>
      <c r="R343" s="2019"/>
      <c r="S343" s="2021"/>
      <c r="T343" s="2018"/>
      <c r="V343" s="2019"/>
      <c r="W343" s="2021"/>
      <c r="X343" s="2018"/>
      <c r="Z343" s="2019"/>
      <c r="AA343" s="2021"/>
      <c r="AB343" s="2018"/>
      <c r="AD343" s="2019"/>
      <c r="AE343" s="2021"/>
      <c r="AF343" s="2018"/>
      <c r="AH343" s="2019"/>
      <c r="AI343" s="2021"/>
      <c r="AJ343" s="2018"/>
      <c r="AL343" s="2019"/>
      <c r="AM343" s="2021"/>
      <c r="AN343" s="2018"/>
      <c r="AP343" s="477"/>
      <c r="AQ343" s="477"/>
    </row>
    <row r="344" spans="2:43" ht="15">
      <c r="B344" s="2019"/>
      <c r="C344" s="2021"/>
      <c r="D344" s="2018"/>
      <c r="F344" s="2019"/>
      <c r="G344" s="2021"/>
      <c r="H344" s="2018"/>
      <c r="J344" s="2019"/>
      <c r="K344" s="2021"/>
      <c r="L344" s="2018"/>
      <c r="N344" s="2019"/>
      <c r="O344" s="2021"/>
      <c r="P344" s="2018"/>
      <c r="R344" s="2019"/>
      <c r="S344" s="2021"/>
      <c r="T344" s="2018"/>
      <c r="V344" s="2019"/>
      <c r="W344" s="2021"/>
      <c r="X344" s="2018"/>
      <c r="Z344" s="2019"/>
      <c r="AA344" s="2021"/>
      <c r="AB344" s="2018"/>
      <c r="AD344" s="2019"/>
      <c r="AE344" s="2021"/>
      <c r="AF344" s="2018"/>
      <c r="AH344" s="2019"/>
      <c r="AI344" s="2021"/>
      <c r="AJ344" s="2018"/>
      <c r="AL344" s="2019"/>
      <c r="AM344" s="2021"/>
      <c r="AN344" s="2018"/>
      <c r="AP344" s="477"/>
      <c r="AQ344" s="477"/>
    </row>
    <row r="345" spans="2:43" ht="15">
      <c r="B345" s="2019"/>
      <c r="C345" s="2021"/>
      <c r="D345" s="2018"/>
      <c r="F345" s="2019"/>
      <c r="G345" s="2021"/>
      <c r="H345" s="2018"/>
      <c r="J345" s="2019"/>
      <c r="K345" s="2021"/>
      <c r="L345" s="2018"/>
      <c r="N345" s="2019"/>
      <c r="O345" s="2021"/>
      <c r="P345" s="2018"/>
      <c r="R345" s="2019"/>
      <c r="S345" s="2021"/>
      <c r="T345" s="2018"/>
      <c r="V345" s="2019"/>
      <c r="W345" s="2021"/>
      <c r="X345" s="2018"/>
      <c r="Z345" s="2019"/>
      <c r="AA345" s="2021"/>
      <c r="AB345" s="2018"/>
      <c r="AD345" s="2019"/>
      <c r="AE345" s="2021"/>
      <c r="AF345" s="2018"/>
      <c r="AH345" s="2019"/>
      <c r="AI345" s="2021"/>
      <c r="AJ345" s="2018"/>
      <c r="AL345" s="2019"/>
      <c r="AM345" s="2021"/>
      <c r="AN345" s="2018"/>
      <c r="AP345" s="477"/>
      <c r="AQ345" s="477"/>
    </row>
    <row r="346" spans="2:43" ht="15">
      <c r="B346" s="2019"/>
      <c r="C346" s="2021"/>
      <c r="D346" s="2018"/>
      <c r="F346" s="2019"/>
      <c r="G346" s="2021"/>
      <c r="H346" s="2018"/>
      <c r="J346" s="2019"/>
      <c r="K346" s="2021"/>
      <c r="L346" s="2018"/>
      <c r="N346" s="2019"/>
      <c r="O346" s="2021"/>
      <c r="P346" s="2018"/>
      <c r="R346" s="2019"/>
      <c r="S346" s="2021"/>
      <c r="T346" s="2018"/>
      <c r="V346" s="2019"/>
      <c r="W346" s="2021"/>
      <c r="X346" s="2018"/>
      <c r="Z346" s="2019"/>
      <c r="AA346" s="2021"/>
      <c r="AB346" s="2018"/>
      <c r="AD346" s="2019"/>
      <c r="AE346" s="2021"/>
      <c r="AF346" s="2018"/>
      <c r="AH346" s="2019"/>
      <c r="AI346" s="2021"/>
      <c r="AJ346" s="2018"/>
      <c r="AL346" s="2019"/>
      <c r="AM346" s="2021"/>
      <c r="AN346" s="2018"/>
      <c r="AP346" s="477"/>
      <c r="AQ346" s="477"/>
    </row>
    <row r="347" spans="2:43" ht="15">
      <c r="B347" s="2019"/>
      <c r="C347" s="2021"/>
      <c r="D347" s="2018"/>
      <c r="F347" s="2019"/>
      <c r="G347" s="2021"/>
      <c r="H347" s="2018"/>
      <c r="J347" s="2019"/>
      <c r="K347" s="2021"/>
      <c r="L347" s="2018"/>
      <c r="N347" s="2019"/>
      <c r="O347" s="2021"/>
      <c r="P347" s="2018"/>
      <c r="R347" s="2019"/>
      <c r="S347" s="2021"/>
      <c r="T347" s="2018"/>
      <c r="V347" s="2019"/>
      <c r="W347" s="2021"/>
      <c r="X347" s="2018"/>
      <c r="Z347" s="2019"/>
      <c r="AA347" s="2021"/>
      <c r="AB347" s="2018"/>
      <c r="AD347" s="2019"/>
      <c r="AE347" s="2021"/>
      <c r="AF347" s="2018"/>
      <c r="AH347" s="2019"/>
      <c r="AI347" s="2021"/>
      <c r="AJ347" s="2018"/>
      <c r="AL347" s="2019"/>
      <c r="AM347" s="2021"/>
      <c r="AN347" s="2018"/>
      <c r="AP347" s="477"/>
      <c r="AQ347" s="477"/>
    </row>
    <row r="348" spans="2:43" ht="15">
      <c r="B348" s="2019"/>
      <c r="C348" s="2021"/>
      <c r="D348" s="2018"/>
      <c r="F348" s="2019"/>
      <c r="G348" s="2021"/>
      <c r="H348" s="2018"/>
      <c r="J348" s="2019"/>
      <c r="K348" s="2021"/>
      <c r="L348" s="2018"/>
      <c r="N348" s="2019"/>
      <c r="O348" s="2021"/>
      <c r="P348" s="2018"/>
      <c r="R348" s="2019"/>
      <c r="S348" s="2021"/>
      <c r="T348" s="2018"/>
      <c r="V348" s="2019"/>
      <c r="W348" s="2021"/>
      <c r="X348" s="2018"/>
      <c r="Z348" s="2019"/>
      <c r="AA348" s="2021"/>
      <c r="AB348" s="2018"/>
      <c r="AD348" s="2019"/>
      <c r="AE348" s="2021"/>
      <c r="AF348" s="2018"/>
      <c r="AH348" s="2019"/>
      <c r="AI348" s="2021"/>
      <c r="AJ348" s="2018"/>
      <c r="AL348" s="2019"/>
      <c r="AM348" s="2021"/>
      <c r="AN348" s="2018"/>
      <c r="AP348" s="477"/>
      <c r="AQ348" s="477"/>
    </row>
    <row r="349" spans="2:43" ht="15">
      <c r="B349" s="2019"/>
      <c r="C349" s="2021"/>
      <c r="D349" s="2018"/>
      <c r="F349" s="2019"/>
      <c r="G349" s="2021"/>
      <c r="H349" s="2018"/>
      <c r="J349" s="2019"/>
      <c r="K349" s="2021"/>
      <c r="L349" s="2018"/>
      <c r="N349" s="2019"/>
      <c r="O349" s="2021"/>
      <c r="P349" s="2018"/>
      <c r="R349" s="2019"/>
      <c r="S349" s="2021"/>
      <c r="T349" s="2018"/>
      <c r="V349" s="2019"/>
      <c r="W349" s="2021"/>
      <c r="X349" s="2018"/>
      <c r="Z349" s="2019"/>
      <c r="AA349" s="2021"/>
      <c r="AB349" s="2018"/>
      <c r="AD349" s="2019"/>
      <c r="AE349" s="2021"/>
      <c r="AF349" s="2018"/>
      <c r="AH349" s="2019"/>
      <c r="AI349" s="2021"/>
      <c r="AJ349" s="2018"/>
      <c r="AL349" s="2019"/>
      <c r="AM349" s="2021"/>
      <c r="AN349" s="2018"/>
      <c r="AP349" s="477"/>
      <c r="AQ349" s="477"/>
    </row>
    <row r="350" spans="2:43" ht="15">
      <c r="B350" s="2019"/>
      <c r="C350" s="2021"/>
      <c r="D350" s="2018"/>
      <c r="F350" s="2019"/>
      <c r="G350" s="2021"/>
      <c r="H350" s="2018"/>
      <c r="J350" s="2019"/>
      <c r="K350" s="2021"/>
      <c r="L350" s="2018"/>
      <c r="N350" s="2019"/>
      <c r="O350" s="2021"/>
      <c r="P350" s="2018"/>
      <c r="R350" s="2019"/>
      <c r="S350" s="2021"/>
      <c r="T350" s="2018"/>
      <c r="V350" s="2019"/>
      <c r="W350" s="2021"/>
      <c r="X350" s="2018"/>
      <c r="Z350" s="2019"/>
      <c r="AA350" s="2021"/>
      <c r="AB350" s="2018"/>
      <c r="AD350" s="2019"/>
      <c r="AE350" s="2021"/>
      <c r="AF350" s="2018"/>
      <c r="AH350" s="2019"/>
      <c r="AI350" s="2021"/>
      <c r="AJ350" s="2018"/>
      <c r="AL350" s="2019"/>
      <c r="AM350" s="2021"/>
      <c r="AN350" s="2018"/>
      <c r="AP350" s="477"/>
      <c r="AQ350" s="477"/>
    </row>
    <row r="351" spans="2:43" ht="15">
      <c r="B351" s="2019"/>
      <c r="C351" s="2021"/>
      <c r="D351" s="2018"/>
      <c r="F351" s="2019"/>
      <c r="G351" s="2021"/>
      <c r="H351" s="2018"/>
      <c r="J351" s="2019"/>
      <c r="K351" s="2021"/>
      <c r="L351" s="2018"/>
      <c r="N351" s="2019"/>
      <c r="O351" s="2021"/>
      <c r="P351" s="2018"/>
      <c r="R351" s="2019"/>
      <c r="S351" s="2021"/>
      <c r="T351" s="2018"/>
      <c r="V351" s="2019"/>
      <c r="W351" s="2021"/>
      <c r="X351" s="2018"/>
      <c r="Z351" s="2019"/>
      <c r="AA351" s="2021"/>
      <c r="AB351" s="2018"/>
      <c r="AD351" s="2019"/>
      <c r="AE351" s="2021"/>
      <c r="AF351" s="2018"/>
      <c r="AH351" s="2019"/>
      <c r="AI351" s="2021"/>
      <c r="AJ351" s="2018"/>
      <c r="AL351" s="2019"/>
      <c r="AM351" s="2021"/>
      <c r="AN351" s="2018"/>
      <c r="AP351" s="477"/>
      <c r="AQ351" s="477"/>
    </row>
    <row r="352" spans="2:43" ht="15">
      <c r="B352" s="2019"/>
      <c r="C352" s="2021"/>
      <c r="D352" s="2018"/>
      <c r="F352" s="2019"/>
      <c r="G352" s="2021"/>
      <c r="H352" s="2018"/>
      <c r="J352" s="2019"/>
      <c r="K352" s="2021"/>
      <c r="L352" s="2018"/>
      <c r="N352" s="2019"/>
      <c r="O352" s="2021"/>
      <c r="P352" s="2018"/>
      <c r="R352" s="2019"/>
      <c r="S352" s="2021"/>
      <c r="T352" s="2018"/>
      <c r="V352" s="2019"/>
      <c r="W352" s="2021"/>
      <c r="X352" s="2018"/>
      <c r="Z352" s="2019"/>
      <c r="AA352" s="2021"/>
      <c r="AB352" s="2018"/>
      <c r="AD352" s="2019"/>
      <c r="AE352" s="2021"/>
      <c r="AF352" s="2018"/>
      <c r="AH352" s="2019"/>
      <c r="AI352" s="2021"/>
      <c r="AJ352" s="2018"/>
      <c r="AL352" s="2019"/>
      <c r="AM352" s="2021"/>
      <c r="AN352" s="2018"/>
      <c r="AP352" s="477"/>
      <c r="AQ352" s="477"/>
    </row>
    <row r="353" spans="2:43" ht="15">
      <c r="B353" s="2019"/>
      <c r="C353" s="2021"/>
      <c r="D353" s="2018"/>
      <c r="F353" s="2019"/>
      <c r="G353" s="2021"/>
      <c r="H353" s="2018"/>
      <c r="J353" s="2019"/>
      <c r="K353" s="2021"/>
      <c r="L353" s="2018"/>
      <c r="N353" s="2019"/>
      <c r="O353" s="2021"/>
      <c r="P353" s="2018"/>
      <c r="R353" s="2019"/>
      <c r="S353" s="2021"/>
      <c r="T353" s="2018"/>
      <c r="V353" s="2019"/>
      <c r="W353" s="2021"/>
      <c r="X353" s="2018"/>
      <c r="Z353" s="2019"/>
      <c r="AA353" s="2021"/>
      <c r="AB353" s="2018"/>
      <c r="AD353" s="2019"/>
      <c r="AE353" s="2021"/>
      <c r="AF353" s="2018"/>
      <c r="AH353" s="2019"/>
      <c r="AI353" s="2021"/>
      <c r="AJ353" s="2018"/>
      <c r="AL353" s="2019"/>
      <c r="AM353" s="2021"/>
      <c r="AN353" s="2018"/>
      <c r="AP353" s="477"/>
      <c r="AQ353" s="477"/>
    </row>
    <row r="354" spans="2:43" ht="15">
      <c r="B354" s="2019"/>
      <c r="C354" s="2021"/>
      <c r="D354" s="2018"/>
      <c r="F354" s="2019"/>
      <c r="G354" s="2021"/>
      <c r="H354" s="2018"/>
      <c r="J354" s="2019"/>
      <c r="K354" s="2021"/>
      <c r="L354" s="2018"/>
      <c r="N354" s="2019"/>
      <c r="O354" s="2021"/>
      <c r="P354" s="2018"/>
      <c r="R354" s="2019"/>
      <c r="S354" s="2021"/>
      <c r="T354" s="2018"/>
      <c r="V354" s="2019"/>
      <c r="W354" s="2021"/>
      <c r="X354" s="2018"/>
      <c r="Z354" s="2019"/>
      <c r="AA354" s="2021"/>
      <c r="AB354" s="2018"/>
      <c r="AD354" s="2019"/>
      <c r="AE354" s="2021"/>
      <c r="AF354" s="2018"/>
      <c r="AH354" s="2019"/>
      <c r="AI354" s="2021"/>
      <c r="AJ354" s="2018"/>
      <c r="AL354" s="2019"/>
      <c r="AM354" s="2021"/>
      <c r="AN354" s="2018"/>
      <c r="AP354" s="477"/>
      <c r="AQ354" s="477"/>
    </row>
    <row r="355" spans="2:43" ht="15">
      <c r="B355" s="2019"/>
      <c r="C355" s="2021"/>
      <c r="D355" s="2018"/>
      <c r="F355" s="2019"/>
      <c r="G355" s="2021"/>
      <c r="H355" s="2018"/>
      <c r="J355" s="2019"/>
      <c r="K355" s="2021"/>
      <c r="L355" s="2018"/>
      <c r="N355" s="2019"/>
      <c r="O355" s="2021"/>
      <c r="P355" s="2018"/>
      <c r="R355" s="2019"/>
      <c r="S355" s="2021"/>
      <c r="T355" s="2018"/>
      <c r="V355" s="2019"/>
      <c r="W355" s="2021"/>
      <c r="X355" s="2018"/>
      <c r="Z355" s="2019"/>
      <c r="AA355" s="2021"/>
      <c r="AB355" s="2018"/>
      <c r="AD355" s="2019"/>
      <c r="AE355" s="2021"/>
      <c r="AF355" s="2018"/>
      <c r="AH355" s="2019"/>
      <c r="AI355" s="2021"/>
      <c r="AJ355" s="2018"/>
      <c r="AL355" s="2019"/>
      <c r="AM355" s="2021"/>
      <c r="AN355" s="2018"/>
      <c r="AP355" s="477"/>
      <c r="AQ355" s="477"/>
    </row>
    <row r="356" spans="2:43" ht="15">
      <c r="B356" s="2019"/>
      <c r="C356" s="2021"/>
      <c r="D356" s="2018"/>
      <c r="F356" s="2019"/>
      <c r="G356" s="2021"/>
      <c r="H356" s="2018"/>
      <c r="J356" s="2019"/>
      <c r="K356" s="2021"/>
      <c r="L356" s="2018"/>
      <c r="N356" s="2019"/>
      <c r="O356" s="2021"/>
      <c r="P356" s="2018"/>
      <c r="R356" s="2019"/>
      <c r="S356" s="2021"/>
      <c r="T356" s="2018"/>
      <c r="V356" s="2019"/>
      <c r="W356" s="2021"/>
      <c r="X356" s="2018"/>
      <c r="Z356" s="2019"/>
      <c r="AA356" s="2021"/>
      <c r="AB356" s="2018"/>
      <c r="AD356" s="2019"/>
      <c r="AE356" s="2021"/>
      <c r="AF356" s="2018"/>
      <c r="AH356" s="2019"/>
      <c r="AI356" s="2021"/>
      <c r="AJ356" s="2018"/>
      <c r="AL356" s="2019"/>
      <c r="AM356" s="2021"/>
      <c r="AN356" s="2018"/>
      <c r="AP356" s="477"/>
      <c r="AQ356" s="477"/>
    </row>
    <row r="357" spans="2:43" ht="15">
      <c r="B357" s="2019"/>
      <c r="C357" s="2021"/>
      <c r="D357" s="2018"/>
      <c r="F357" s="2019"/>
      <c r="G357" s="2021"/>
      <c r="H357" s="2018"/>
      <c r="J357" s="2019"/>
      <c r="K357" s="2021"/>
      <c r="L357" s="2018"/>
      <c r="N357" s="2019"/>
      <c r="O357" s="2021"/>
      <c r="P357" s="2018"/>
      <c r="R357" s="2019"/>
      <c r="S357" s="2021"/>
      <c r="T357" s="2018"/>
      <c r="V357" s="2019"/>
      <c r="W357" s="2021"/>
      <c r="X357" s="2018"/>
      <c r="Z357" s="2019"/>
      <c r="AA357" s="2021"/>
      <c r="AB357" s="2018"/>
      <c r="AD357" s="2019"/>
      <c r="AE357" s="2021"/>
      <c r="AF357" s="2018"/>
      <c r="AH357" s="2019"/>
      <c r="AI357" s="2021"/>
      <c r="AJ357" s="2018"/>
      <c r="AL357" s="2019"/>
      <c r="AM357" s="2021"/>
      <c r="AN357" s="2018"/>
      <c r="AP357" s="477"/>
      <c r="AQ357" s="477"/>
    </row>
    <row r="358" spans="2:43" ht="15">
      <c r="B358" s="2019"/>
      <c r="C358" s="2021"/>
      <c r="D358" s="2018"/>
      <c r="F358" s="2019"/>
      <c r="G358" s="2021"/>
      <c r="H358" s="2018"/>
      <c r="J358" s="2019"/>
      <c r="K358" s="2021"/>
      <c r="L358" s="2018"/>
      <c r="N358" s="2019"/>
      <c r="O358" s="2021"/>
      <c r="P358" s="2018"/>
      <c r="R358" s="2019"/>
      <c r="S358" s="2021"/>
      <c r="T358" s="2018"/>
      <c r="V358" s="2019"/>
      <c r="W358" s="2021"/>
      <c r="X358" s="2018"/>
      <c r="Z358" s="2019"/>
      <c r="AA358" s="2021"/>
      <c r="AB358" s="2018"/>
      <c r="AD358" s="2019"/>
      <c r="AE358" s="2021"/>
      <c r="AF358" s="2018"/>
      <c r="AH358" s="2019"/>
      <c r="AI358" s="2021"/>
      <c r="AJ358" s="2018"/>
      <c r="AL358" s="2019"/>
      <c r="AM358" s="2021"/>
      <c r="AN358" s="2018"/>
      <c r="AP358" s="477"/>
      <c r="AQ358" s="477"/>
    </row>
    <row r="359" spans="2:43" ht="15">
      <c r="B359" s="2019"/>
      <c r="C359" s="2021"/>
      <c r="D359" s="2018"/>
      <c r="F359" s="2019"/>
      <c r="G359" s="2021"/>
      <c r="H359" s="2018"/>
      <c r="J359" s="2019"/>
      <c r="K359" s="2021"/>
      <c r="L359" s="2018"/>
      <c r="N359" s="2019"/>
      <c r="O359" s="2021"/>
      <c r="P359" s="2018"/>
      <c r="R359" s="2019"/>
      <c r="S359" s="2021"/>
      <c r="T359" s="2018"/>
      <c r="V359" s="2019"/>
      <c r="W359" s="2021"/>
      <c r="X359" s="2018"/>
      <c r="Z359" s="2019"/>
      <c r="AA359" s="2021"/>
      <c r="AB359" s="2018"/>
      <c r="AD359" s="2019"/>
      <c r="AE359" s="2021"/>
      <c r="AF359" s="2018"/>
      <c r="AH359" s="2019"/>
      <c r="AI359" s="2021"/>
      <c r="AJ359" s="2018"/>
      <c r="AL359" s="2019"/>
      <c r="AM359" s="2021"/>
      <c r="AN359" s="2018"/>
      <c r="AP359" s="477"/>
      <c r="AQ359" s="477"/>
    </row>
    <row r="360" spans="2:43" ht="15">
      <c r="B360" s="2019"/>
      <c r="C360" s="2021"/>
      <c r="D360" s="2018"/>
      <c r="F360" s="2019"/>
      <c r="G360" s="2021"/>
      <c r="H360" s="2018"/>
      <c r="J360" s="2019"/>
      <c r="K360" s="2021"/>
      <c r="L360" s="2018"/>
      <c r="N360" s="2019"/>
      <c r="O360" s="2021"/>
      <c r="P360" s="2018"/>
      <c r="R360" s="2019"/>
      <c r="S360" s="2021"/>
      <c r="T360" s="2018"/>
      <c r="V360" s="2019"/>
      <c r="W360" s="2021"/>
      <c r="X360" s="2018"/>
      <c r="Z360" s="2019"/>
      <c r="AA360" s="2021"/>
      <c r="AB360" s="2018"/>
      <c r="AD360" s="2019"/>
      <c r="AE360" s="2021"/>
      <c r="AF360" s="2018"/>
      <c r="AH360" s="2019"/>
      <c r="AI360" s="2021"/>
      <c r="AJ360" s="2018"/>
      <c r="AL360" s="2019"/>
      <c r="AM360" s="2021"/>
      <c r="AN360" s="2018"/>
      <c r="AP360" s="477"/>
      <c r="AQ360" s="477"/>
    </row>
    <row r="361" spans="2:43" ht="15">
      <c r="B361" s="2019"/>
      <c r="C361" s="2021"/>
      <c r="D361" s="2018"/>
      <c r="F361" s="2019"/>
      <c r="G361" s="2021"/>
      <c r="H361" s="2018"/>
      <c r="J361" s="2019"/>
      <c r="K361" s="2021"/>
      <c r="L361" s="2018"/>
      <c r="N361" s="2019"/>
      <c r="O361" s="2021"/>
      <c r="P361" s="2018"/>
      <c r="R361" s="2019"/>
      <c r="S361" s="2021"/>
      <c r="T361" s="2018"/>
      <c r="V361" s="2019"/>
      <c r="W361" s="2021"/>
      <c r="X361" s="2018"/>
      <c r="Z361" s="2019"/>
      <c r="AA361" s="2021"/>
      <c r="AB361" s="2018"/>
      <c r="AD361" s="2019"/>
      <c r="AE361" s="2021"/>
      <c r="AF361" s="2018"/>
      <c r="AH361" s="2019"/>
      <c r="AI361" s="2021"/>
      <c r="AJ361" s="2018"/>
      <c r="AL361" s="2019"/>
      <c r="AM361" s="2021"/>
      <c r="AN361" s="2018"/>
      <c r="AP361" s="477"/>
      <c r="AQ361" s="477"/>
    </row>
    <row r="362" spans="2:43" ht="15">
      <c r="B362" s="2019"/>
      <c r="C362" s="2021"/>
      <c r="D362" s="2018"/>
      <c r="F362" s="2019"/>
      <c r="G362" s="2021"/>
      <c r="H362" s="2018"/>
      <c r="J362" s="2019"/>
      <c r="K362" s="2021"/>
      <c r="L362" s="2018"/>
      <c r="N362" s="2019"/>
      <c r="O362" s="2021"/>
      <c r="P362" s="2018"/>
      <c r="R362" s="2019"/>
      <c r="S362" s="2021"/>
      <c r="T362" s="2018"/>
      <c r="V362" s="2019"/>
      <c r="W362" s="2021"/>
      <c r="X362" s="2018"/>
      <c r="Z362" s="2019"/>
      <c r="AA362" s="2021"/>
      <c r="AB362" s="2018"/>
      <c r="AD362" s="2019"/>
      <c r="AE362" s="2021"/>
      <c r="AF362" s="2018"/>
      <c r="AH362" s="2019"/>
      <c r="AI362" s="2021"/>
      <c r="AJ362" s="2018"/>
      <c r="AL362" s="2019"/>
      <c r="AM362" s="2021"/>
      <c r="AN362" s="2018"/>
      <c r="AP362" s="477"/>
      <c r="AQ362" s="477"/>
    </row>
    <row r="363" spans="2:43" ht="15">
      <c r="B363" s="2019"/>
      <c r="C363" s="2021"/>
      <c r="D363" s="2018"/>
      <c r="F363" s="2019"/>
      <c r="G363" s="2021"/>
      <c r="H363" s="2018"/>
      <c r="J363" s="2019"/>
      <c r="K363" s="2021"/>
      <c r="L363" s="2018"/>
      <c r="N363" s="2019"/>
      <c r="O363" s="2021"/>
      <c r="P363" s="2018"/>
      <c r="R363" s="2019"/>
      <c r="S363" s="2021"/>
      <c r="T363" s="2018"/>
      <c r="V363" s="2019"/>
      <c r="W363" s="2021"/>
      <c r="X363" s="2018"/>
      <c r="Z363" s="2019"/>
      <c r="AA363" s="2021"/>
      <c r="AB363" s="2018"/>
      <c r="AD363" s="2019"/>
      <c r="AE363" s="2021"/>
      <c r="AF363" s="2018"/>
      <c r="AH363" s="2019"/>
      <c r="AI363" s="2021"/>
      <c r="AJ363" s="2018"/>
      <c r="AL363" s="2019"/>
      <c r="AM363" s="2021"/>
      <c r="AN363" s="2018"/>
      <c r="AP363" s="477"/>
      <c r="AQ363" s="477"/>
    </row>
    <row r="364" spans="2:43" ht="15">
      <c r="B364" s="2019"/>
      <c r="C364" s="2021"/>
      <c r="D364" s="2018"/>
      <c r="F364" s="2019"/>
      <c r="G364" s="2021"/>
      <c r="H364" s="2018"/>
      <c r="J364" s="2019"/>
      <c r="K364" s="2021"/>
      <c r="L364" s="2018"/>
      <c r="N364" s="2019"/>
      <c r="O364" s="2021"/>
      <c r="P364" s="2018"/>
      <c r="R364" s="2019"/>
      <c r="S364" s="2021"/>
      <c r="T364" s="2018"/>
      <c r="V364" s="2019"/>
      <c r="W364" s="2021"/>
      <c r="X364" s="2018"/>
      <c r="Z364" s="2019"/>
      <c r="AA364" s="2021"/>
      <c r="AB364" s="2018"/>
      <c r="AD364" s="2019"/>
      <c r="AE364" s="2021"/>
      <c r="AF364" s="2018"/>
      <c r="AH364" s="2019"/>
      <c r="AI364" s="2021"/>
      <c r="AJ364" s="2018"/>
      <c r="AL364" s="2019"/>
      <c r="AM364" s="2021"/>
      <c r="AN364" s="2018"/>
      <c r="AP364" s="477"/>
      <c r="AQ364" s="477"/>
    </row>
    <row r="365" spans="2:43" ht="15">
      <c r="B365" s="2019"/>
      <c r="C365" s="2021"/>
      <c r="D365" s="2018"/>
      <c r="F365" s="2019"/>
      <c r="G365" s="2021"/>
      <c r="H365" s="2018"/>
      <c r="J365" s="2019"/>
      <c r="K365" s="2021"/>
      <c r="L365" s="2018"/>
      <c r="N365" s="2019"/>
      <c r="O365" s="2021"/>
      <c r="P365" s="2018"/>
      <c r="R365" s="2019"/>
      <c r="S365" s="2021"/>
      <c r="T365" s="2018"/>
      <c r="V365" s="2019"/>
      <c r="W365" s="2021"/>
      <c r="X365" s="2018"/>
      <c r="Z365" s="2019"/>
      <c r="AA365" s="2021"/>
      <c r="AB365" s="2018"/>
      <c r="AD365" s="2019"/>
      <c r="AE365" s="2021"/>
      <c r="AF365" s="2018"/>
      <c r="AH365" s="2019"/>
      <c r="AI365" s="2021"/>
      <c r="AJ365" s="2018"/>
      <c r="AL365" s="2019"/>
      <c r="AM365" s="2021"/>
      <c r="AN365" s="2018"/>
      <c r="AP365" s="477"/>
      <c r="AQ365" s="477"/>
    </row>
    <row r="366" spans="2:43" ht="15">
      <c r="B366" s="2019"/>
      <c r="C366" s="2021"/>
      <c r="D366" s="2018"/>
      <c r="F366" s="2019"/>
      <c r="G366" s="2021"/>
      <c r="H366" s="2018"/>
      <c r="J366" s="2019"/>
      <c r="K366" s="2021"/>
      <c r="L366" s="2018"/>
      <c r="N366" s="2019"/>
      <c r="O366" s="2021"/>
      <c r="P366" s="2018"/>
      <c r="R366" s="2019"/>
      <c r="S366" s="2021"/>
      <c r="T366" s="2018"/>
      <c r="V366" s="2019"/>
      <c r="W366" s="2021"/>
      <c r="X366" s="2018"/>
      <c r="Z366" s="2019"/>
      <c r="AA366" s="2021"/>
      <c r="AB366" s="2018"/>
      <c r="AD366" s="2019"/>
      <c r="AE366" s="2021"/>
      <c r="AF366" s="2018"/>
      <c r="AH366" s="2019"/>
      <c r="AI366" s="2021"/>
      <c r="AJ366" s="2018"/>
      <c r="AL366" s="2019"/>
      <c r="AM366" s="2021"/>
      <c r="AN366" s="2018"/>
      <c r="AP366" s="477"/>
      <c r="AQ366" s="477"/>
    </row>
    <row r="367" spans="2:43" ht="15">
      <c r="B367" s="2019"/>
      <c r="C367" s="2021"/>
      <c r="D367" s="2018"/>
      <c r="F367" s="2019"/>
      <c r="G367" s="2021"/>
      <c r="H367" s="2018"/>
      <c r="J367" s="2019"/>
      <c r="K367" s="2021"/>
      <c r="L367" s="2018"/>
      <c r="N367" s="2019"/>
      <c r="O367" s="2021"/>
      <c r="P367" s="2018"/>
      <c r="R367" s="2019"/>
      <c r="S367" s="2021"/>
      <c r="T367" s="2018"/>
      <c r="V367" s="2019"/>
      <c r="W367" s="2021"/>
      <c r="X367" s="2018"/>
      <c r="Z367" s="2019"/>
      <c r="AA367" s="2021"/>
      <c r="AB367" s="2018"/>
      <c r="AD367" s="2019"/>
      <c r="AE367" s="2021"/>
      <c r="AF367" s="2018"/>
      <c r="AH367" s="2019"/>
      <c r="AI367" s="2021"/>
      <c r="AJ367" s="2018"/>
      <c r="AL367" s="2019"/>
      <c r="AM367" s="2021"/>
      <c r="AN367" s="2018"/>
      <c r="AP367" s="477"/>
      <c r="AQ367" s="477"/>
    </row>
    <row r="368" spans="2:43" ht="15">
      <c r="B368" s="2019"/>
      <c r="C368" s="2021"/>
      <c r="D368" s="2018"/>
      <c r="F368" s="2019"/>
      <c r="G368" s="2021"/>
      <c r="H368" s="2018"/>
      <c r="J368" s="2019"/>
      <c r="K368" s="2021"/>
      <c r="L368" s="2018"/>
      <c r="N368" s="2019"/>
      <c r="O368" s="2021"/>
      <c r="P368" s="2018"/>
      <c r="R368" s="2019"/>
      <c r="S368" s="2021"/>
      <c r="T368" s="2018"/>
      <c r="V368" s="2019"/>
      <c r="W368" s="2021"/>
      <c r="X368" s="2018"/>
      <c r="Z368" s="2019"/>
      <c r="AA368" s="2021"/>
      <c r="AB368" s="2018"/>
      <c r="AD368" s="2019"/>
      <c r="AE368" s="2021"/>
      <c r="AF368" s="2018"/>
      <c r="AH368" s="2019"/>
      <c r="AI368" s="2021"/>
      <c r="AJ368" s="2018"/>
      <c r="AL368" s="2019"/>
      <c r="AM368" s="2021"/>
      <c r="AN368" s="2018"/>
      <c r="AP368" s="477"/>
      <c r="AQ368" s="477"/>
    </row>
    <row r="369" spans="2:43" ht="15">
      <c r="B369" s="2019"/>
      <c r="C369" s="2021"/>
      <c r="D369" s="2018"/>
      <c r="F369" s="2019"/>
      <c r="G369" s="2021"/>
      <c r="H369" s="2018"/>
      <c r="J369" s="2019"/>
      <c r="K369" s="2021"/>
      <c r="L369" s="2018"/>
      <c r="N369" s="2019"/>
      <c r="O369" s="2021"/>
      <c r="P369" s="2018"/>
      <c r="R369" s="2019"/>
      <c r="S369" s="2021"/>
      <c r="T369" s="2018"/>
      <c r="V369" s="2019"/>
      <c r="W369" s="2021"/>
      <c r="X369" s="2018"/>
      <c r="Z369" s="2019"/>
      <c r="AA369" s="2021"/>
      <c r="AB369" s="2018"/>
      <c r="AD369" s="2019"/>
      <c r="AE369" s="2021"/>
      <c r="AF369" s="2018"/>
      <c r="AH369" s="2019"/>
      <c r="AI369" s="2021"/>
      <c r="AJ369" s="2018"/>
      <c r="AL369" s="2019"/>
      <c r="AM369" s="2021"/>
      <c r="AN369" s="2018"/>
      <c r="AP369" s="477"/>
      <c r="AQ369" s="477"/>
    </row>
    <row r="370" spans="2:43" ht="15">
      <c r="B370" s="2019"/>
      <c r="C370" s="2021"/>
      <c r="D370" s="2018"/>
      <c r="F370" s="2019"/>
      <c r="G370" s="2021"/>
      <c r="H370" s="2018"/>
      <c r="J370" s="2019"/>
      <c r="K370" s="2021"/>
      <c r="L370" s="2018"/>
      <c r="N370" s="2019"/>
      <c r="O370" s="2021"/>
      <c r="P370" s="2018"/>
      <c r="R370" s="2019"/>
      <c r="S370" s="2021"/>
      <c r="T370" s="2018"/>
      <c r="V370" s="2019"/>
      <c r="W370" s="2021"/>
      <c r="X370" s="2018"/>
      <c r="Z370" s="2019"/>
      <c r="AA370" s="2021"/>
      <c r="AB370" s="2018"/>
      <c r="AD370" s="2019"/>
      <c r="AE370" s="2021"/>
      <c r="AF370" s="2018"/>
      <c r="AH370" s="2019"/>
      <c r="AI370" s="2021"/>
      <c r="AJ370" s="2018"/>
      <c r="AL370" s="2019"/>
      <c r="AM370" s="2021"/>
      <c r="AN370" s="2018"/>
      <c r="AP370" s="477"/>
      <c r="AQ370" s="477"/>
    </row>
    <row r="371" spans="2:43" ht="15">
      <c r="B371" s="2019"/>
      <c r="C371" s="2021"/>
      <c r="D371" s="2018"/>
      <c r="F371" s="2019"/>
      <c r="G371" s="2021"/>
      <c r="H371" s="2018"/>
      <c r="J371" s="2019"/>
      <c r="K371" s="2021"/>
      <c r="L371" s="2018"/>
      <c r="N371" s="2019"/>
      <c r="O371" s="2021"/>
      <c r="P371" s="2018"/>
      <c r="R371" s="2019"/>
      <c r="S371" s="2021"/>
      <c r="T371" s="2018"/>
      <c r="V371" s="2019"/>
      <c r="W371" s="2021"/>
      <c r="X371" s="2018"/>
      <c r="Z371" s="2019"/>
      <c r="AA371" s="2021"/>
      <c r="AB371" s="2018"/>
      <c r="AD371" s="2019"/>
      <c r="AE371" s="2021"/>
      <c r="AF371" s="2018"/>
      <c r="AH371" s="2019"/>
      <c r="AI371" s="2021"/>
      <c r="AJ371" s="2018"/>
      <c r="AL371" s="2019"/>
      <c r="AM371" s="2021"/>
      <c r="AN371" s="2018"/>
      <c r="AP371" s="477"/>
      <c r="AQ371" s="477"/>
    </row>
    <row r="372" spans="2:43" ht="15">
      <c r="B372" s="2019"/>
      <c r="C372" s="2021"/>
      <c r="D372" s="2018"/>
      <c r="F372" s="2019"/>
      <c r="G372" s="2021"/>
      <c r="H372" s="2018"/>
      <c r="J372" s="2019"/>
      <c r="K372" s="2021"/>
      <c r="L372" s="2018"/>
      <c r="N372" s="2019"/>
      <c r="O372" s="2021"/>
      <c r="P372" s="2018"/>
      <c r="R372" s="2019"/>
      <c r="S372" s="2021"/>
      <c r="T372" s="2018"/>
      <c r="V372" s="2019"/>
      <c r="W372" s="2021"/>
      <c r="X372" s="2018"/>
      <c r="Z372" s="2019"/>
      <c r="AA372" s="2021"/>
      <c r="AB372" s="2018"/>
      <c r="AD372" s="2019"/>
      <c r="AE372" s="2021"/>
      <c r="AF372" s="2018"/>
      <c r="AH372" s="2019"/>
      <c r="AI372" s="2021"/>
      <c r="AJ372" s="2018"/>
      <c r="AL372" s="2019"/>
      <c r="AM372" s="2021"/>
      <c r="AN372" s="2018"/>
      <c r="AP372" s="477"/>
      <c r="AQ372" s="477"/>
    </row>
    <row r="373" spans="2:43" ht="15">
      <c r="B373" s="2019"/>
      <c r="C373" s="2021"/>
      <c r="D373" s="2018"/>
      <c r="F373" s="2019"/>
      <c r="G373" s="2021"/>
      <c r="H373" s="2018"/>
      <c r="J373" s="2019"/>
      <c r="K373" s="2021"/>
      <c r="L373" s="2018"/>
      <c r="N373" s="2019"/>
      <c r="O373" s="2021"/>
      <c r="P373" s="2018"/>
      <c r="R373" s="2019"/>
      <c r="S373" s="2021"/>
      <c r="T373" s="2018"/>
      <c r="V373" s="2019"/>
      <c r="W373" s="2021"/>
      <c r="X373" s="2018"/>
      <c r="Z373" s="2019"/>
      <c r="AA373" s="2021"/>
      <c r="AB373" s="2018"/>
      <c r="AD373" s="2019"/>
      <c r="AE373" s="2021"/>
      <c r="AF373" s="2018"/>
      <c r="AH373" s="2019"/>
      <c r="AI373" s="2021"/>
      <c r="AJ373" s="2018"/>
      <c r="AL373" s="2019"/>
      <c r="AM373" s="2021"/>
      <c r="AN373" s="2018"/>
      <c r="AP373" s="477"/>
      <c r="AQ373" s="477"/>
    </row>
    <row r="374" spans="2:43" ht="15">
      <c r="B374" s="2019"/>
      <c r="C374" s="2021"/>
      <c r="D374" s="2018"/>
      <c r="F374" s="2019"/>
      <c r="G374" s="2021"/>
      <c r="H374" s="2018"/>
      <c r="J374" s="2019"/>
      <c r="K374" s="2021"/>
      <c r="L374" s="2018"/>
      <c r="N374" s="2019"/>
      <c r="O374" s="2021"/>
      <c r="P374" s="2018"/>
      <c r="R374" s="2019"/>
      <c r="S374" s="2021"/>
      <c r="T374" s="2018"/>
      <c r="V374" s="2019"/>
      <c r="W374" s="2021"/>
      <c r="X374" s="2018"/>
      <c r="Z374" s="2019"/>
      <c r="AA374" s="2021"/>
      <c r="AB374" s="2018"/>
      <c r="AD374" s="2019"/>
      <c r="AE374" s="2021"/>
      <c r="AF374" s="2018"/>
      <c r="AH374" s="2019"/>
      <c r="AI374" s="2021"/>
      <c r="AJ374" s="2018"/>
      <c r="AL374" s="2019"/>
      <c r="AM374" s="2021"/>
      <c r="AN374" s="2018"/>
      <c r="AP374" s="477"/>
      <c r="AQ374" s="477"/>
    </row>
    <row r="375" spans="2:43" ht="15">
      <c r="B375" s="2019"/>
      <c r="C375" s="2021"/>
      <c r="D375" s="2018"/>
      <c r="F375" s="2019"/>
      <c r="G375" s="2021"/>
      <c r="H375" s="2018"/>
      <c r="J375" s="2019"/>
      <c r="K375" s="2021"/>
      <c r="L375" s="2018"/>
      <c r="N375" s="2019"/>
      <c r="O375" s="2021"/>
      <c r="P375" s="2018"/>
      <c r="R375" s="2019"/>
      <c r="S375" s="2021"/>
      <c r="T375" s="2018"/>
      <c r="V375" s="2019"/>
      <c r="W375" s="2021"/>
      <c r="X375" s="2018"/>
      <c r="Z375" s="2019"/>
      <c r="AA375" s="2021"/>
      <c r="AB375" s="2018"/>
      <c r="AD375" s="2019"/>
      <c r="AE375" s="2021"/>
      <c r="AF375" s="2018"/>
      <c r="AH375" s="2019"/>
      <c r="AI375" s="2021"/>
      <c r="AJ375" s="2018"/>
      <c r="AL375" s="2019"/>
      <c r="AM375" s="2021"/>
      <c r="AN375" s="2018"/>
      <c r="AP375" s="477"/>
      <c r="AQ375" s="477"/>
    </row>
    <row r="376" spans="2:43" ht="15">
      <c r="B376" s="2019"/>
      <c r="C376" s="2021"/>
      <c r="D376" s="2018"/>
      <c r="F376" s="2019"/>
      <c r="G376" s="2021"/>
      <c r="H376" s="2018"/>
      <c r="J376" s="2019"/>
      <c r="K376" s="2021"/>
      <c r="L376" s="2018"/>
      <c r="N376" s="2019"/>
      <c r="O376" s="2021"/>
      <c r="P376" s="2018"/>
      <c r="R376" s="2019"/>
      <c r="S376" s="2021"/>
      <c r="T376" s="2018"/>
      <c r="V376" s="2019"/>
      <c r="W376" s="2021"/>
      <c r="X376" s="2018"/>
      <c r="Z376" s="2019"/>
      <c r="AA376" s="2021"/>
      <c r="AB376" s="2018"/>
      <c r="AD376" s="2019"/>
      <c r="AE376" s="2021"/>
      <c r="AF376" s="2018"/>
      <c r="AH376" s="2019"/>
      <c r="AI376" s="2021"/>
      <c r="AJ376" s="2018"/>
      <c r="AL376" s="2019"/>
      <c r="AM376" s="2021"/>
      <c r="AN376" s="2018"/>
      <c r="AP376" s="477"/>
      <c r="AQ376" s="477"/>
    </row>
    <row r="377" spans="2:43" ht="15">
      <c r="B377" s="2019"/>
      <c r="C377" s="2021"/>
      <c r="D377" s="2018"/>
      <c r="F377" s="2019"/>
      <c r="G377" s="2021"/>
      <c r="H377" s="2018"/>
      <c r="J377" s="2019"/>
      <c r="K377" s="2021"/>
      <c r="L377" s="2018"/>
      <c r="N377" s="2019"/>
      <c r="O377" s="2021"/>
      <c r="P377" s="2018"/>
      <c r="R377" s="2019"/>
      <c r="S377" s="2021"/>
      <c r="T377" s="2018"/>
      <c r="V377" s="2019"/>
      <c r="W377" s="2021"/>
      <c r="X377" s="2018"/>
      <c r="Z377" s="2019"/>
      <c r="AA377" s="2021"/>
      <c r="AB377" s="2018"/>
      <c r="AD377" s="2019"/>
      <c r="AE377" s="2021"/>
      <c r="AF377" s="2018"/>
      <c r="AH377" s="2019"/>
      <c r="AI377" s="2021"/>
      <c r="AJ377" s="2018"/>
      <c r="AL377" s="2019"/>
      <c r="AM377" s="2021"/>
      <c r="AN377" s="2018"/>
      <c r="AP377" s="477"/>
      <c r="AQ377" s="477"/>
    </row>
    <row r="378" spans="2:43" ht="15">
      <c r="B378" s="2019"/>
      <c r="C378" s="2021"/>
      <c r="D378" s="2018"/>
      <c r="F378" s="2019"/>
      <c r="G378" s="2021"/>
      <c r="H378" s="2018"/>
      <c r="J378" s="2019"/>
      <c r="K378" s="2021"/>
      <c r="L378" s="2018"/>
      <c r="N378" s="2019"/>
      <c r="O378" s="2021"/>
      <c r="P378" s="2018"/>
      <c r="R378" s="2019"/>
      <c r="S378" s="2021"/>
      <c r="T378" s="2018"/>
      <c r="V378" s="2019"/>
      <c r="W378" s="2021"/>
      <c r="X378" s="2018"/>
      <c r="Z378" s="2019"/>
      <c r="AA378" s="2021"/>
      <c r="AB378" s="2018"/>
      <c r="AD378" s="2019"/>
      <c r="AE378" s="2021"/>
      <c r="AF378" s="2018"/>
      <c r="AH378" s="2019"/>
      <c r="AI378" s="2021"/>
      <c r="AJ378" s="2018"/>
      <c r="AL378" s="2019"/>
      <c r="AM378" s="2021"/>
      <c r="AN378" s="2018"/>
      <c r="AP378" s="477"/>
      <c r="AQ378" s="477"/>
    </row>
    <row r="379" spans="2:43" ht="15">
      <c r="B379" s="2019"/>
      <c r="C379" s="2021"/>
      <c r="D379" s="2018"/>
      <c r="F379" s="2019"/>
      <c r="G379" s="2021"/>
      <c r="H379" s="2018"/>
      <c r="J379" s="2019"/>
      <c r="K379" s="2021"/>
      <c r="L379" s="2018"/>
      <c r="N379" s="2019"/>
      <c r="O379" s="2021"/>
      <c r="P379" s="2018"/>
      <c r="R379" s="2019"/>
      <c r="S379" s="2021"/>
      <c r="T379" s="2018"/>
      <c r="V379" s="2019"/>
      <c r="W379" s="2021"/>
      <c r="X379" s="2018"/>
      <c r="Z379" s="2019"/>
      <c r="AA379" s="2021"/>
      <c r="AB379" s="2018"/>
      <c r="AD379" s="2019"/>
      <c r="AE379" s="2021"/>
      <c r="AF379" s="2018"/>
      <c r="AH379" s="2019"/>
      <c r="AI379" s="2021"/>
      <c r="AJ379" s="2018"/>
      <c r="AL379" s="2019"/>
      <c r="AM379" s="2021"/>
      <c r="AN379" s="2018"/>
      <c r="AP379" s="477"/>
      <c r="AQ379" s="477"/>
    </row>
    <row r="380" spans="2:43" ht="15">
      <c r="B380" s="2019"/>
      <c r="C380" s="2021"/>
      <c r="D380" s="2018"/>
      <c r="F380" s="2019"/>
      <c r="G380" s="2021"/>
      <c r="H380" s="2018"/>
      <c r="J380" s="2019"/>
      <c r="K380" s="2021"/>
      <c r="L380" s="2018"/>
      <c r="N380" s="2019"/>
      <c r="O380" s="2021"/>
      <c r="P380" s="2018"/>
      <c r="R380" s="2019"/>
      <c r="S380" s="2021"/>
      <c r="T380" s="2018"/>
      <c r="V380" s="2019"/>
      <c r="W380" s="2021"/>
      <c r="X380" s="2018"/>
      <c r="Z380" s="2019"/>
      <c r="AA380" s="2021"/>
      <c r="AB380" s="2018"/>
      <c r="AD380" s="2019"/>
      <c r="AE380" s="2021"/>
      <c r="AF380" s="2018"/>
      <c r="AH380" s="2019"/>
      <c r="AI380" s="2021"/>
      <c r="AJ380" s="2018"/>
      <c r="AL380" s="2019"/>
      <c r="AM380" s="2021"/>
      <c r="AN380" s="2018"/>
      <c r="AP380" s="477"/>
      <c r="AQ380" s="477"/>
    </row>
    <row r="381" spans="2:43" ht="15">
      <c r="B381" s="2019"/>
      <c r="C381" s="2021"/>
      <c r="D381" s="2018"/>
      <c r="F381" s="2019"/>
      <c r="G381" s="2021"/>
      <c r="H381" s="2018"/>
      <c r="J381" s="2019"/>
      <c r="K381" s="2021"/>
      <c r="L381" s="2018"/>
      <c r="N381" s="2019"/>
      <c r="O381" s="2021"/>
      <c r="P381" s="2018"/>
      <c r="R381" s="2019"/>
      <c r="S381" s="2021"/>
      <c r="T381" s="2018"/>
      <c r="V381" s="2019"/>
      <c r="W381" s="2021"/>
      <c r="X381" s="2018"/>
      <c r="Z381" s="2019"/>
      <c r="AA381" s="2021"/>
      <c r="AB381" s="2018"/>
      <c r="AD381" s="2019"/>
      <c r="AE381" s="2021"/>
      <c r="AF381" s="2018"/>
      <c r="AH381" s="2019"/>
      <c r="AI381" s="2021"/>
      <c r="AJ381" s="2018"/>
      <c r="AL381" s="2019"/>
      <c r="AM381" s="2021"/>
      <c r="AN381" s="2018"/>
      <c r="AP381" s="477"/>
      <c r="AQ381" s="477"/>
    </row>
    <row r="382" spans="2:43" ht="15">
      <c r="B382" s="2019"/>
      <c r="C382" s="2021"/>
      <c r="D382" s="2018"/>
      <c r="F382" s="2019"/>
      <c r="G382" s="2021"/>
      <c r="H382" s="2018"/>
      <c r="J382" s="2019"/>
      <c r="K382" s="2021"/>
      <c r="L382" s="2018"/>
      <c r="N382" s="2019"/>
      <c r="O382" s="2021"/>
      <c r="P382" s="2018"/>
      <c r="R382" s="2019"/>
      <c r="S382" s="2021"/>
      <c r="T382" s="2018"/>
      <c r="V382" s="2019"/>
      <c r="W382" s="2021"/>
      <c r="X382" s="2018"/>
      <c r="Z382" s="2019"/>
      <c r="AA382" s="2021"/>
      <c r="AB382" s="2018"/>
      <c r="AD382" s="2019"/>
      <c r="AE382" s="2021"/>
      <c r="AF382" s="2018"/>
      <c r="AH382" s="2019"/>
      <c r="AI382" s="2021"/>
      <c r="AJ382" s="2018"/>
      <c r="AL382" s="2019"/>
      <c r="AM382" s="2021"/>
      <c r="AN382" s="2018"/>
      <c r="AP382" s="477"/>
      <c r="AQ382" s="477"/>
    </row>
    <row r="383" spans="2:43" ht="15">
      <c r="B383" s="2019"/>
      <c r="C383" s="2021"/>
      <c r="D383" s="2018"/>
      <c r="F383" s="2019"/>
      <c r="G383" s="2021"/>
      <c r="H383" s="2018"/>
      <c r="J383" s="2019"/>
      <c r="K383" s="2021"/>
      <c r="L383" s="2018"/>
      <c r="N383" s="2019"/>
      <c r="O383" s="2021"/>
      <c r="P383" s="2018"/>
      <c r="R383" s="2019"/>
      <c r="S383" s="2021"/>
      <c r="T383" s="2018"/>
      <c r="V383" s="2019"/>
      <c r="W383" s="2021"/>
      <c r="X383" s="2018"/>
      <c r="Z383" s="2019"/>
      <c r="AA383" s="2021"/>
      <c r="AB383" s="2018"/>
      <c r="AD383" s="2019"/>
      <c r="AE383" s="2021"/>
      <c r="AF383" s="2018"/>
      <c r="AH383" s="2019"/>
      <c r="AI383" s="2021"/>
      <c r="AJ383" s="2018"/>
      <c r="AL383" s="2019"/>
      <c r="AM383" s="2021"/>
      <c r="AN383" s="2018"/>
      <c r="AP383" s="477"/>
      <c r="AQ383" s="477"/>
    </row>
    <row r="384" spans="2:43" ht="15">
      <c r="B384" s="2019"/>
      <c r="C384" s="2021"/>
      <c r="D384" s="2018"/>
      <c r="F384" s="2019"/>
      <c r="G384" s="2021"/>
      <c r="H384" s="2018"/>
      <c r="J384" s="2019"/>
      <c r="K384" s="2021"/>
      <c r="L384" s="2018"/>
      <c r="N384" s="2019"/>
      <c r="O384" s="2021"/>
      <c r="P384" s="2018"/>
      <c r="R384" s="2019"/>
      <c r="S384" s="2021"/>
      <c r="T384" s="2018"/>
      <c r="V384" s="2019"/>
      <c r="W384" s="2021"/>
      <c r="X384" s="2018"/>
      <c r="Z384" s="2019"/>
      <c r="AA384" s="2021"/>
      <c r="AB384" s="2018"/>
      <c r="AD384" s="2019"/>
      <c r="AE384" s="2021"/>
      <c r="AF384" s="2018"/>
      <c r="AH384" s="2019"/>
      <c r="AI384" s="2021"/>
      <c r="AJ384" s="2018"/>
      <c r="AL384" s="2019"/>
      <c r="AM384" s="2021"/>
      <c r="AN384" s="2018"/>
      <c r="AP384" s="477"/>
      <c r="AQ384" s="477"/>
    </row>
    <row r="385" spans="2:43" ht="15">
      <c r="B385" s="2019"/>
      <c r="C385" s="2021"/>
      <c r="D385" s="2018"/>
      <c r="F385" s="2019"/>
      <c r="G385" s="2021"/>
      <c r="H385" s="2018"/>
      <c r="J385" s="2019"/>
      <c r="K385" s="2021"/>
      <c r="L385" s="2018"/>
      <c r="N385" s="2019"/>
      <c r="O385" s="2021"/>
      <c r="P385" s="2018"/>
      <c r="R385" s="2019"/>
      <c r="S385" s="2021"/>
      <c r="T385" s="2018"/>
      <c r="V385" s="2019"/>
      <c r="W385" s="2021"/>
      <c r="X385" s="2018"/>
      <c r="Z385" s="2019"/>
      <c r="AA385" s="2021"/>
      <c r="AB385" s="2018"/>
      <c r="AD385" s="2019"/>
      <c r="AE385" s="2021"/>
      <c r="AF385" s="2018"/>
      <c r="AH385" s="2019"/>
      <c r="AI385" s="2021"/>
      <c r="AJ385" s="2018"/>
      <c r="AL385" s="2019"/>
      <c r="AM385" s="2021"/>
      <c r="AN385" s="2018"/>
      <c r="AP385" s="477"/>
      <c r="AQ385" s="477"/>
    </row>
    <row r="386" spans="2:43" ht="15">
      <c r="B386" s="2019"/>
      <c r="C386" s="2021"/>
      <c r="D386" s="2018"/>
      <c r="F386" s="2019"/>
      <c r="G386" s="2021"/>
      <c r="H386" s="2018"/>
      <c r="J386" s="2019"/>
      <c r="K386" s="2021"/>
      <c r="L386" s="2018"/>
      <c r="N386" s="2019"/>
      <c r="O386" s="2021"/>
      <c r="P386" s="2018"/>
      <c r="R386" s="2019"/>
      <c r="S386" s="2021"/>
      <c r="T386" s="2018"/>
      <c r="V386" s="2019"/>
      <c r="W386" s="2021"/>
      <c r="X386" s="2018"/>
      <c r="Z386" s="2019"/>
      <c r="AA386" s="2021"/>
      <c r="AB386" s="2018"/>
      <c r="AD386" s="2019"/>
      <c r="AE386" s="2021"/>
      <c r="AF386" s="2018"/>
      <c r="AH386" s="2019"/>
      <c r="AI386" s="2021"/>
      <c r="AJ386" s="2018"/>
      <c r="AL386" s="2019"/>
      <c r="AM386" s="2021"/>
      <c r="AN386" s="2018"/>
      <c r="AP386" s="477"/>
      <c r="AQ386" s="477"/>
    </row>
    <row r="387" spans="2:43" ht="15">
      <c r="B387" s="2019"/>
      <c r="C387" s="2021"/>
      <c r="D387" s="2018"/>
      <c r="F387" s="2019"/>
      <c r="G387" s="2021"/>
      <c r="H387" s="2018"/>
      <c r="J387" s="2019"/>
      <c r="K387" s="2021"/>
      <c r="L387" s="2018"/>
      <c r="N387" s="2019"/>
      <c r="O387" s="2021"/>
      <c r="P387" s="2018"/>
      <c r="R387" s="2019"/>
      <c r="S387" s="2021"/>
      <c r="T387" s="2018"/>
      <c r="V387" s="2019"/>
      <c r="W387" s="2021"/>
      <c r="X387" s="2018"/>
      <c r="Z387" s="2019"/>
      <c r="AA387" s="2021"/>
      <c r="AB387" s="2018"/>
      <c r="AD387" s="2019"/>
      <c r="AE387" s="2021"/>
      <c r="AF387" s="2018"/>
      <c r="AH387" s="2019"/>
      <c r="AI387" s="2021"/>
      <c r="AJ387" s="2018"/>
      <c r="AL387" s="2019"/>
      <c r="AM387" s="2021"/>
      <c r="AN387" s="2018"/>
      <c r="AP387" s="477"/>
      <c r="AQ387" s="477"/>
    </row>
    <row r="388" spans="2:43" ht="15">
      <c r="B388" s="2019"/>
      <c r="C388" s="2021"/>
      <c r="D388" s="2018"/>
      <c r="F388" s="2019"/>
      <c r="G388" s="2021"/>
      <c r="H388" s="2018"/>
      <c r="J388" s="2019"/>
      <c r="K388" s="2021"/>
      <c r="L388" s="2018"/>
      <c r="N388" s="2019"/>
      <c r="O388" s="2021"/>
      <c r="P388" s="2018"/>
      <c r="R388" s="2019"/>
      <c r="S388" s="2021"/>
      <c r="T388" s="2018"/>
      <c r="V388" s="2019"/>
      <c r="W388" s="2021"/>
      <c r="X388" s="2018"/>
      <c r="Z388" s="2019"/>
      <c r="AA388" s="2021"/>
      <c r="AB388" s="2018"/>
      <c r="AD388" s="2019"/>
      <c r="AE388" s="2021"/>
      <c r="AF388" s="2018"/>
      <c r="AH388" s="2019"/>
      <c r="AI388" s="2021"/>
      <c r="AJ388" s="2018"/>
      <c r="AL388" s="2019"/>
      <c r="AM388" s="2021"/>
      <c r="AN388" s="2018"/>
      <c r="AP388" s="477"/>
      <c r="AQ388" s="477"/>
    </row>
    <row r="389" spans="2:43" ht="15">
      <c r="B389" s="2019"/>
      <c r="C389" s="2021"/>
      <c r="D389" s="2018"/>
      <c r="F389" s="2019"/>
      <c r="G389" s="2021"/>
      <c r="H389" s="2018"/>
      <c r="J389" s="2019"/>
      <c r="K389" s="2021"/>
      <c r="L389" s="2018"/>
      <c r="N389" s="2019"/>
      <c r="O389" s="2021"/>
      <c r="P389" s="2018"/>
      <c r="R389" s="2019"/>
      <c r="S389" s="2021"/>
      <c r="T389" s="2018"/>
      <c r="V389" s="2019"/>
      <c r="W389" s="2021"/>
      <c r="X389" s="2018"/>
      <c r="Z389" s="2019"/>
      <c r="AA389" s="2021"/>
      <c r="AB389" s="2018"/>
      <c r="AD389" s="2019"/>
      <c r="AE389" s="2021"/>
      <c r="AF389" s="2018"/>
      <c r="AH389" s="2019"/>
      <c r="AI389" s="2021"/>
      <c r="AJ389" s="2018"/>
      <c r="AL389" s="2019"/>
      <c r="AM389" s="2021"/>
      <c r="AN389" s="2018"/>
      <c r="AP389" s="477"/>
      <c r="AQ389" s="477"/>
    </row>
    <row r="390" spans="2:43" ht="15">
      <c r="B390" s="2019"/>
      <c r="C390" s="2021"/>
      <c r="D390" s="2018"/>
      <c r="F390" s="2019"/>
      <c r="G390" s="2021"/>
      <c r="H390" s="2018"/>
      <c r="J390" s="2019"/>
      <c r="K390" s="2021"/>
      <c r="L390" s="2018"/>
      <c r="N390" s="2019"/>
      <c r="O390" s="2021"/>
      <c r="P390" s="2018"/>
      <c r="R390" s="2019"/>
      <c r="S390" s="2021"/>
      <c r="T390" s="2018"/>
      <c r="V390" s="2019"/>
      <c r="W390" s="2021"/>
      <c r="X390" s="2018"/>
      <c r="Z390" s="2019"/>
      <c r="AA390" s="2021"/>
      <c r="AB390" s="2018"/>
      <c r="AD390" s="2019"/>
      <c r="AE390" s="2021"/>
      <c r="AF390" s="2018"/>
      <c r="AH390" s="2019"/>
      <c r="AI390" s="2021"/>
      <c r="AJ390" s="2018"/>
      <c r="AL390" s="2019"/>
      <c r="AM390" s="2021"/>
      <c r="AN390" s="2018"/>
      <c r="AP390" s="477"/>
      <c r="AQ390" s="477"/>
    </row>
    <row r="391" spans="2:43" ht="15">
      <c r="B391" s="2019"/>
      <c r="C391" s="2021"/>
      <c r="D391" s="2018"/>
      <c r="F391" s="2019"/>
      <c r="G391" s="2021"/>
      <c r="H391" s="2018"/>
      <c r="J391" s="2019"/>
      <c r="K391" s="2021"/>
      <c r="L391" s="2018"/>
      <c r="N391" s="2019"/>
      <c r="O391" s="2021"/>
      <c r="P391" s="2018"/>
      <c r="R391" s="2019"/>
      <c r="S391" s="2021"/>
      <c r="T391" s="2018"/>
      <c r="V391" s="2019"/>
      <c r="W391" s="2021"/>
      <c r="X391" s="2018"/>
      <c r="Z391" s="2019"/>
      <c r="AA391" s="2021"/>
      <c r="AB391" s="2018"/>
      <c r="AD391" s="2019"/>
      <c r="AE391" s="2021"/>
      <c r="AF391" s="2018"/>
      <c r="AH391" s="2019"/>
      <c r="AI391" s="2021"/>
      <c r="AJ391" s="2018"/>
      <c r="AL391" s="2019"/>
      <c r="AM391" s="2021"/>
      <c r="AN391" s="2018"/>
      <c r="AP391" s="477"/>
      <c r="AQ391" s="477"/>
    </row>
    <row r="392" spans="2:43" ht="15">
      <c r="B392" s="2019"/>
      <c r="C392" s="2021"/>
      <c r="D392" s="2018"/>
      <c r="F392" s="2019"/>
      <c r="G392" s="2021"/>
      <c r="H392" s="2018"/>
      <c r="J392" s="2019"/>
      <c r="K392" s="2021"/>
      <c r="L392" s="2018"/>
      <c r="N392" s="2019"/>
      <c r="O392" s="2021"/>
      <c r="P392" s="2018"/>
      <c r="R392" s="2019"/>
      <c r="S392" s="2021"/>
      <c r="T392" s="2018"/>
      <c r="V392" s="2019"/>
      <c r="W392" s="2021"/>
      <c r="X392" s="2018"/>
      <c r="Z392" s="2019"/>
      <c r="AA392" s="2021"/>
      <c r="AB392" s="2018"/>
      <c r="AD392" s="2019"/>
      <c r="AE392" s="2021"/>
      <c r="AF392" s="2018"/>
      <c r="AH392" s="2019"/>
      <c r="AI392" s="2021"/>
      <c r="AJ392" s="2018"/>
      <c r="AL392" s="2019"/>
      <c r="AM392" s="2021"/>
      <c r="AN392" s="2018"/>
      <c r="AP392" s="477"/>
      <c r="AQ392" s="477"/>
    </row>
    <row r="393" spans="2:43" ht="15">
      <c r="B393" s="2019"/>
      <c r="C393" s="2021"/>
      <c r="D393" s="2018"/>
      <c r="F393" s="2019"/>
      <c r="G393" s="2021"/>
      <c r="H393" s="2018"/>
      <c r="J393" s="2019"/>
      <c r="K393" s="2021"/>
      <c r="L393" s="2018"/>
      <c r="N393" s="2019"/>
      <c r="O393" s="2021"/>
      <c r="P393" s="2018"/>
      <c r="R393" s="2019"/>
      <c r="S393" s="2021"/>
      <c r="T393" s="2018"/>
      <c r="V393" s="2019"/>
      <c r="W393" s="2021"/>
      <c r="X393" s="2018"/>
      <c r="Z393" s="2019"/>
      <c r="AA393" s="2021"/>
      <c r="AB393" s="2018"/>
      <c r="AD393" s="2019"/>
      <c r="AE393" s="2021"/>
      <c r="AF393" s="2018"/>
      <c r="AH393" s="2019"/>
      <c r="AI393" s="2021"/>
      <c r="AJ393" s="2018"/>
      <c r="AL393" s="2019"/>
      <c r="AM393" s="2021"/>
      <c r="AN393" s="2018"/>
      <c r="AP393" s="477"/>
      <c r="AQ393" s="477"/>
    </row>
    <row r="394" spans="2:43" ht="15">
      <c r="B394" s="2019"/>
      <c r="C394" s="2021"/>
      <c r="D394" s="2018"/>
      <c r="F394" s="2019"/>
      <c r="G394" s="2021"/>
      <c r="H394" s="2018"/>
      <c r="J394" s="2019"/>
      <c r="K394" s="2021"/>
      <c r="L394" s="2018"/>
      <c r="N394" s="2019"/>
      <c r="O394" s="2021"/>
      <c r="P394" s="2018"/>
      <c r="R394" s="2019"/>
      <c r="S394" s="2021"/>
      <c r="T394" s="2018"/>
      <c r="V394" s="2019"/>
      <c r="W394" s="2021"/>
      <c r="X394" s="2018"/>
      <c r="Z394" s="2019"/>
      <c r="AA394" s="2021"/>
      <c r="AB394" s="2018"/>
      <c r="AD394" s="2019"/>
      <c r="AE394" s="2021"/>
      <c r="AF394" s="2018"/>
      <c r="AH394" s="2019"/>
      <c r="AI394" s="2021"/>
      <c r="AJ394" s="2018"/>
      <c r="AL394" s="2019"/>
      <c r="AM394" s="2021"/>
      <c r="AN394" s="2018"/>
      <c r="AP394" s="477"/>
      <c r="AQ394" s="477"/>
    </row>
    <row r="395" spans="2:43" ht="15">
      <c r="B395" s="2019"/>
      <c r="C395" s="2021"/>
      <c r="D395" s="2018"/>
      <c r="F395" s="2019"/>
      <c r="G395" s="2021"/>
      <c r="H395" s="2018"/>
      <c r="J395" s="2019"/>
      <c r="K395" s="2021"/>
      <c r="L395" s="2018"/>
      <c r="N395" s="2019"/>
      <c r="O395" s="2021"/>
      <c r="P395" s="2018"/>
      <c r="R395" s="2019"/>
      <c r="S395" s="2021"/>
      <c r="T395" s="2018"/>
      <c r="V395" s="2019"/>
      <c r="W395" s="2021"/>
      <c r="X395" s="2018"/>
      <c r="Z395" s="2019"/>
      <c r="AA395" s="2021"/>
      <c r="AB395" s="2018"/>
      <c r="AD395" s="2019"/>
      <c r="AE395" s="2021"/>
      <c r="AF395" s="2018"/>
      <c r="AH395" s="2019"/>
      <c r="AI395" s="2021"/>
      <c r="AJ395" s="2018"/>
      <c r="AL395" s="2019"/>
      <c r="AM395" s="2021"/>
      <c r="AN395" s="2018"/>
      <c r="AP395" s="477"/>
      <c r="AQ395" s="477"/>
    </row>
    <row r="396" spans="2:43" ht="15">
      <c r="B396" s="2019"/>
      <c r="C396" s="2021"/>
      <c r="D396" s="2018"/>
      <c r="F396" s="2019"/>
      <c r="G396" s="2021"/>
      <c r="H396" s="2018"/>
      <c r="J396" s="2019"/>
      <c r="K396" s="2021"/>
      <c r="L396" s="2018"/>
      <c r="N396" s="2019"/>
      <c r="O396" s="2021"/>
      <c r="P396" s="2018"/>
      <c r="R396" s="2019"/>
      <c r="S396" s="2021"/>
      <c r="T396" s="2018"/>
      <c r="V396" s="2019"/>
      <c r="W396" s="2021"/>
      <c r="X396" s="2018"/>
      <c r="Z396" s="2019"/>
      <c r="AA396" s="2021"/>
      <c r="AB396" s="2018"/>
      <c r="AD396" s="2019"/>
      <c r="AE396" s="2021"/>
      <c r="AF396" s="2018"/>
      <c r="AH396" s="2019"/>
      <c r="AI396" s="2021"/>
      <c r="AJ396" s="2018"/>
      <c r="AL396" s="2019"/>
      <c r="AM396" s="2021"/>
      <c r="AN396" s="2018"/>
      <c r="AP396" s="477"/>
      <c r="AQ396" s="477"/>
    </row>
    <row r="397" spans="2:43" ht="15">
      <c r="B397" s="2019"/>
      <c r="C397" s="2021"/>
      <c r="D397" s="2018"/>
      <c r="F397" s="2019"/>
      <c r="G397" s="2021"/>
      <c r="H397" s="2018"/>
      <c r="J397" s="2019"/>
      <c r="K397" s="2021"/>
      <c r="L397" s="2018"/>
      <c r="N397" s="2019"/>
      <c r="O397" s="2021"/>
      <c r="P397" s="2018"/>
      <c r="R397" s="2019"/>
      <c r="S397" s="2021"/>
      <c r="T397" s="2018"/>
      <c r="V397" s="2019"/>
      <c r="W397" s="2021"/>
      <c r="X397" s="2018"/>
      <c r="Z397" s="2019"/>
      <c r="AA397" s="2021"/>
      <c r="AB397" s="2018"/>
      <c r="AD397" s="2019"/>
      <c r="AE397" s="2021"/>
      <c r="AF397" s="2018"/>
      <c r="AH397" s="2019"/>
      <c r="AI397" s="2021"/>
      <c r="AJ397" s="2018"/>
      <c r="AL397" s="2019"/>
      <c r="AM397" s="2021"/>
      <c r="AN397" s="2018"/>
      <c r="AP397" s="477"/>
      <c r="AQ397" s="477"/>
    </row>
    <row r="398" spans="2:43" ht="15">
      <c r="B398" s="2019"/>
      <c r="C398" s="2021"/>
      <c r="D398" s="2018"/>
      <c r="F398" s="2019"/>
      <c r="G398" s="2021"/>
      <c r="H398" s="2018"/>
      <c r="J398" s="2019"/>
      <c r="K398" s="2021"/>
      <c r="L398" s="2018"/>
      <c r="N398" s="2019"/>
      <c r="O398" s="2021"/>
      <c r="P398" s="2018"/>
      <c r="R398" s="2019"/>
      <c r="S398" s="2021"/>
      <c r="T398" s="2018"/>
      <c r="V398" s="2019"/>
      <c r="W398" s="2021"/>
      <c r="X398" s="2018"/>
      <c r="Z398" s="2019"/>
      <c r="AA398" s="2021"/>
      <c r="AB398" s="2018"/>
      <c r="AD398" s="2019"/>
      <c r="AE398" s="2021"/>
      <c r="AF398" s="2018"/>
      <c r="AH398" s="2019"/>
      <c r="AI398" s="2021"/>
      <c r="AJ398" s="2018"/>
      <c r="AL398" s="2019"/>
      <c r="AM398" s="2021"/>
      <c r="AN398" s="2018"/>
      <c r="AP398" s="477"/>
      <c r="AQ398" s="477"/>
    </row>
    <row r="399" spans="2:43" ht="15">
      <c r="B399" s="2019"/>
      <c r="C399" s="2021"/>
      <c r="D399" s="2018"/>
      <c r="F399" s="2019"/>
      <c r="G399" s="2021"/>
      <c r="H399" s="2018"/>
      <c r="J399" s="2019"/>
      <c r="K399" s="2021"/>
      <c r="L399" s="2018"/>
      <c r="N399" s="2019"/>
      <c r="O399" s="2021"/>
      <c r="P399" s="2018"/>
      <c r="R399" s="2019"/>
      <c r="S399" s="2021"/>
      <c r="T399" s="2018"/>
      <c r="V399" s="2019"/>
      <c r="W399" s="2021"/>
      <c r="X399" s="2018"/>
      <c r="Z399" s="2019"/>
      <c r="AA399" s="2021"/>
      <c r="AB399" s="2018"/>
      <c r="AD399" s="2019"/>
      <c r="AE399" s="2021"/>
      <c r="AF399" s="2018"/>
      <c r="AH399" s="2019"/>
      <c r="AI399" s="2021"/>
      <c r="AJ399" s="2018"/>
      <c r="AL399" s="2019"/>
      <c r="AM399" s="2021"/>
      <c r="AN399" s="2018"/>
      <c r="AP399" s="477"/>
      <c r="AQ399" s="477"/>
    </row>
    <row r="400" spans="2:43" ht="15">
      <c r="B400" s="2019"/>
      <c r="C400" s="2021"/>
      <c r="D400" s="2018"/>
      <c r="F400" s="2019"/>
      <c r="G400" s="2021"/>
      <c r="H400" s="2018"/>
      <c r="J400" s="2019"/>
      <c r="K400" s="2021"/>
      <c r="L400" s="2018"/>
      <c r="N400" s="2019"/>
      <c r="O400" s="2021"/>
      <c r="P400" s="2018"/>
      <c r="R400" s="2019"/>
      <c r="S400" s="2021"/>
      <c r="T400" s="2018"/>
      <c r="V400" s="2019"/>
      <c r="W400" s="2021"/>
      <c r="X400" s="2018"/>
      <c r="Z400" s="2019"/>
      <c r="AA400" s="2021"/>
      <c r="AB400" s="2018"/>
      <c r="AD400" s="2019"/>
      <c r="AE400" s="2021"/>
      <c r="AF400" s="2018"/>
      <c r="AH400" s="2019"/>
      <c r="AI400" s="2021"/>
      <c r="AJ400" s="2018"/>
      <c r="AL400" s="2019"/>
      <c r="AM400" s="2021"/>
      <c r="AN400" s="2018"/>
      <c r="AP400" s="477"/>
      <c r="AQ400" s="477"/>
    </row>
    <row r="401" spans="1:43" ht="15">
      <c r="B401" s="2019"/>
      <c r="C401" s="2021"/>
      <c r="D401" s="2018"/>
      <c r="F401" s="2019"/>
      <c r="G401" s="2021"/>
      <c r="H401" s="2018"/>
      <c r="J401" s="2019"/>
      <c r="K401" s="2021"/>
      <c r="L401" s="2018"/>
      <c r="N401" s="2019"/>
      <c r="O401" s="2021"/>
      <c r="P401" s="2018"/>
      <c r="R401" s="2019"/>
      <c r="S401" s="2021"/>
      <c r="T401" s="2018"/>
      <c r="V401" s="2019"/>
      <c r="W401" s="2021"/>
      <c r="X401" s="2018"/>
      <c r="Z401" s="2019"/>
      <c r="AA401" s="2021"/>
      <c r="AB401" s="2018"/>
      <c r="AD401" s="2019"/>
      <c r="AE401" s="2021"/>
      <c r="AF401" s="2018"/>
      <c r="AH401" s="2019"/>
      <c r="AI401" s="2021"/>
      <c r="AJ401" s="2018"/>
      <c r="AL401" s="2019"/>
      <c r="AM401" s="2021"/>
      <c r="AN401" s="2018"/>
      <c r="AP401" s="477"/>
      <c r="AQ401" s="477"/>
    </row>
    <row r="402" spans="1:43" ht="15">
      <c r="B402" s="2019"/>
      <c r="C402" s="2021"/>
      <c r="D402" s="2018"/>
      <c r="F402" s="2019"/>
      <c r="G402" s="2021"/>
      <c r="H402" s="2018"/>
      <c r="J402" s="2019"/>
      <c r="K402" s="2021"/>
      <c r="L402" s="2018"/>
      <c r="N402" s="2019"/>
      <c r="O402" s="2021"/>
      <c r="P402" s="2018"/>
      <c r="R402" s="2019"/>
      <c r="S402" s="2021"/>
      <c r="T402" s="2018"/>
      <c r="V402" s="2019"/>
      <c r="W402" s="2021"/>
      <c r="X402" s="2018"/>
      <c r="Z402" s="2019"/>
      <c r="AA402" s="2021"/>
      <c r="AB402" s="2018"/>
      <c r="AD402" s="2019"/>
      <c r="AE402" s="2021"/>
      <c r="AF402" s="2018"/>
      <c r="AH402" s="2019"/>
      <c r="AI402" s="2021"/>
      <c r="AJ402" s="2018"/>
      <c r="AL402" s="2019"/>
      <c r="AM402" s="2021"/>
      <c r="AN402" s="2018"/>
      <c r="AP402" s="477"/>
      <c r="AQ402" s="477"/>
    </row>
    <row r="403" spans="1:43" ht="15">
      <c r="B403" s="2019"/>
      <c r="C403" s="2021"/>
      <c r="D403" s="2018"/>
      <c r="F403" s="2019"/>
      <c r="G403" s="2021"/>
      <c r="H403" s="2018"/>
      <c r="J403" s="2019"/>
      <c r="K403" s="2021"/>
      <c r="L403" s="2018"/>
      <c r="N403" s="2019"/>
      <c r="O403" s="2021"/>
      <c r="P403" s="2018"/>
      <c r="R403" s="2019"/>
      <c r="S403" s="2021"/>
      <c r="T403" s="2018"/>
      <c r="V403" s="2019"/>
      <c r="W403" s="2021"/>
      <c r="X403" s="2018"/>
      <c r="Z403" s="2019"/>
      <c r="AA403" s="2021"/>
      <c r="AB403" s="2018"/>
      <c r="AD403" s="2019"/>
      <c r="AE403" s="2021"/>
      <c r="AF403" s="2018"/>
      <c r="AH403" s="2019"/>
      <c r="AI403" s="2021"/>
      <c r="AJ403" s="2018"/>
      <c r="AL403" s="2019"/>
      <c r="AM403" s="2021"/>
      <c r="AN403" s="2018"/>
      <c r="AP403" s="477"/>
      <c r="AQ403" s="477"/>
    </row>
    <row r="404" spans="1:43" ht="15">
      <c r="B404" s="2019"/>
      <c r="C404" s="2021"/>
      <c r="D404" s="2018"/>
      <c r="F404" s="2019"/>
      <c r="G404" s="2021"/>
      <c r="H404" s="2018"/>
      <c r="J404" s="2019"/>
      <c r="K404" s="2021"/>
      <c r="L404" s="2018"/>
      <c r="N404" s="2019"/>
      <c r="O404" s="2021"/>
      <c r="P404" s="2018"/>
      <c r="R404" s="2019"/>
      <c r="S404" s="2021"/>
      <c r="T404" s="2018"/>
      <c r="V404" s="2019"/>
      <c r="W404" s="2021"/>
      <c r="X404" s="2018"/>
      <c r="Z404" s="2019"/>
      <c r="AA404" s="2021"/>
      <c r="AB404" s="2018"/>
      <c r="AD404" s="2019"/>
      <c r="AE404" s="2021"/>
      <c r="AF404" s="2018"/>
      <c r="AH404" s="2019"/>
      <c r="AI404" s="2021"/>
      <c r="AJ404" s="2018"/>
      <c r="AL404" s="2019"/>
      <c r="AM404" s="2021"/>
      <c r="AN404" s="2018"/>
      <c r="AP404" s="477"/>
      <c r="AQ404" s="477"/>
    </row>
    <row r="405" spans="1:43" ht="15">
      <c r="B405" s="2019"/>
      <c r="C405" s="2021"/>
      <c r="D405" s="2018"/>
      <c r="F405" s="2019"/>
      <c r="G405" s="2021"/>
      <c r="H405" s="2018"/>
      <c r="J405" s="2019"/>
      <c r="K405" s="2021"/>
      <c r="L405" s="2018"/>
      <c r="N405" s="2019"/>
      <c r="O405" s="2021"/>
      <c r="P405" s="2018"/>
      <c r="R405" s="2019"/>
      <c r="S405" s="2021"/>
      <c r="T405" s="2018"/>
      <c r="V405" s="2019"/>
      <c r="W405" s="2021"/>
      <c r="X405" s="2018"/>
      <c r="Z405" s="2019"/>
      <c r="AA405" s="2021"/>
      <c r="AB405" s="2018"/>
      <c r="AD405" s="2019"/>
      <c r="AE405" s="2021"/>
      <c r="AF405" s="2018"/>
      <c r="AH405" s="2019"/>
      <c r="AI405" s="2021"/>
      <c r="AJ405" s="2018"/>
      <c r="AL405" s="2019"/>
      <c r="AM405" s="2021"/>
      <c r="AN405" s="2018"/>
      <c r="AP405" s="477"/>
      <c r="AQ405" s="477"/>
    </row>
    <row r="406" spans="1:43" ht="15">
      <c r="B406" s="2019"/>
      <c r="C406" s="2021"/>
      <c r="D406" s="2018"/>
      <c r="F406" s="2019"/>
      <c r="G406" s="2021"/>
      <c r="H406" s="2018"/>
      <c r="J406" s="2019"/>
      <c r="K406" s="2021"/>
      <c r="L406" s="2018"/>
      <c r="N406" s="2019"/>
      <c r="O406" s="2021"/>
      <c r="P406" s="2018"/>
      <c r="R406" s="2019"/>
      <c r="S406" s="2021"/>
      <c r="T406" s="2018"/>
      <c r="V406" s="2019"/>
      <c r="W406" s="2021"/>
      <c r="X406" s="2018"/>
      <c r="Z406" s="2019"/>
      <c r="AA406" s="2021"/>
      <c r="AB406" s="2018"/>
      <c r="AD406" s="2019"/>
      <c r="AE406" s="2021"/>
      <c r="AF406" s="2018"/>
      <c r="AH406" s="2019"/>
      <c r="AI406" s="2021"/>
      <c r="AJ406" s="2018"/>
      <c r="AL406" s="2019"/>
      <c r="AM406" s="2021"/>
      <c r="AN406" s="2018"/>
      <c r="AP406" s="477"/>
      <c r="AQ406" s="477"/>
    </row>
    <row r="407" spans="1:43" ht="15">
      <c r="A407" s="477"/>
      <c r="B407" s="2022"/>
      <c r="C407" s="2026"/>
      <c r="D407" s="2024"/>
      <c r="F407" s="2022"/>
      <c r="G407" s="2026"/>
      <c r="H407" s="2024"/>
      <c r="J407" s="2022"/>
      <c r="K407" s="2026"/>
      <c r="L407" s="2024"/>
      <c r="N407" s="2022"/>
      <c r="O407" s="2026"/>
      <c r="P407" s="2024"/>
      <c r="R407" s="2022"/>
      <c r="S407" s="2026"/>
      <c r="T407" s="2024"/>
      <c r="V407" s="2022"/>
      <c r="W407" s="2026"/>
      <c r="X407" s="2024"/>
      <c r="Z407" s="2022"/>
      <c r="AA407" s="2026"/>
      <c r="AB407" s="2024"/>
      <c r="AD407" s="2022"/>
      <c r="AE407" s="2026"/>
      <c r="AF407" s="2024"/>
      <c r="AH407" s="2022"/>
      <c r="AI407" s="2026"/>
      <c r="AJ407" s="2024"/>
      <c r="AL407" s="2022"/>
      <c r="AM407" s="2026"/>
      <c r="AN407" s="2024"/>
      <c r="AP407" s="477"/>
      <c r="AQ407" s="477"/>
    </row>
    <row r="408" spans="1:43" ht="15">
      <c r="A408" s="477"/>
      <c r="B408" s="2022"/>
      <c r="C408" s="2026"/>
      <c r="D408" s="2024"/>
      <c r="F408" s="2022"/>
      <c r="G408" s="2026"/>
      <c r="H408" s="2024"/>
      <c r="J408" s="2022"/>
      <c r="K408" s="2026"/>
      <c r="L408" s="2024"/>
      <c r="N408" s="2022"/>
      <c r="O408" s="2026"/>
      <c r="P408" s="2024"/>
      <c r="R408" s="2022"/>
      <c r="S408" s="2026"/>
      <c r="T408" s="2024"/>
      <c r="V408" s="2022"/>
      <c r="W408" s="2026"/>
      <c r="X408" s="2024"/>
      <c r="Z408" s="2022"/>
      <c r="AA408" s="2026"/>
      <c r="AB408" s="2024"/>
      <c r="AD408" s="2022"/>
      <c r="AE408" s="2026"/>
      <c r="AF408" s="2024"/>
      <c r="AH408" s="2022"/>
      <c r="AI408" s="2026"/>
      <c r="AJ408" s="2024"/>
      <c r="AL408" s="2022"/>
      <c r="AM408" s="2026"/>
      <c r="AN408" s="2024"/>
      <c r="AP408" s="477"/>
      <c r="AQ408" s="477"/>
    </row>
    <row r="409" spans="1:43" ht="15">
      <c r="A409" s="477"/>
      <c r="B409" s="2022"/>
      <c r="C409" s="2026"/>
      <c r="D409" s="2024"/>
      <c r="F409" s="2022"/>
      <c r="G409" s="2026"/>
      <c r="H409" s="2024"/>
      <c r="J409" s="2022"/>
      <c r="K409" s="2026"/>
      <c r="L409" s="2024"/>
      <c r="N409" s="2022"/>
      <c r="O409" s="2026"/>
      <c r="P409" s="2024"/>
      <c r="R409" s="2022"/>
      <c r="S409" s="2026"/>
      <c r="T409" s="2024"/>
      <c r="V409" s="2022"/>
      <c r="W409" s="2026"/>
      <c r="X409" s="2024"/>
      <c r="Z409" s="2022"/>
      <c r="AA409" s="2026"/>
      <c r="AB409" s="2024"/>
      <c r="AD409" s="2022"/>
      <c r="AE409" s="2026"/>
      <c r="AF409" s="2024"/>
      <c r="AH409" s="2022"/>
      <c r="AI409" s="2026"/>
      <c r="AJ409" s="2024"/>
      <c r="AL409" s="2022"/>
      <c r="AM409" s="2026"/>
      <c r="AN409" s="2024"/>
      <c r="AP409" s="477"/>
      <c r="AQ409" s="477"/>
    </row>
    <row r="410" spans="1:43" ht="15">
      <c r="A410" s="477"/>
      <c r="B410" s="2022"/>
      <c r="C410" s="2026"/>
      <c r="D410" s="2024"/>
      <c r="F410" s="2022"/>
      <c r="G410" s="2026"/>
      <c r="H410" s="2024"/>
      <c r="J410" s="2022"/>
      <c r="K410" s="2026"/>
      <c r="L410" s="2024"/>
      <c r="N410" s="2022"/>
      <c r="O410" s="2026"/>
      <c r="P410" s="2024"/>
      <c r="R410" s="2022"/>
      <c r="S410" s="2026"/>
      <c r="T410" s="2024"/>
      <c r="V410" s="2022"/>
      <c r="W410" s="2026"/>
      <c r="X410" s="2024"/>
      <c r="Z410" s="2022"/>
      <c r="AA410" s="2026"/>
      <c r="AB410" s="2024"/>
      <c r="AD410" s="2022"/>
      <c r="AE410" s="2026"/>
      <c r="AF410" s="2024"/>
      <c r="AH410" s="2022"/>
      <c r="AI410" s="2026"/>
      <c r="AJ410" s="2024"/>
      <c r="AL410" s="2022"/>
      <c r="AM410" s="2026"/>
      <c r="AN410" s="2024"/>
      <c r="AP410" s="477"/>
      <c r="AQ410" s="477"/>
    </row>
    <row r="411" spans="1:43" ht="15">
      <c r="A411" s="477"/>
      <c r="B411" s="2022"/>
      <c r="C411" s="2026"/>
      <c r="D411" s="2024"/>
      <c r="F411" s="2022"/>
      <c r="G411" s="2026"/>
      <c r="H411" s="2024"/>
      <c r="J411" s="2022"/>
      <c r="K411" s="2026"/>
      <c r="L411" s="2024"/>
      <c r="N411" s="2022"/>
      <c r="O411" s="2026"/>
      <c r="P411" s="2024"/>
      <c r="R411" s="2022"/>
      <c r="S411" s="2026"/>
      <c r="T411" s="2024"/>
      <c r="V411" s="2022"/>
      <c r="W411" s="2026"/>
      <c r="X411" s="2024"/>
      <c r="Z411" s="2022"/>
      <c r="AA411" s="2026"/>
      <c r="AB411" s="2024"/>
      <c r="AD411" s="2022"/>
      <c r="AE411" s="2026"/>
      <c r="AF411" s="2024"/>
      <c r="AH411" s="2022"/>
      <c r="AI411" s="2026"/>
      <c r="AJ411" s="2024"/>
      <c r="AL411" s="2022"/>
      <c r="AM411" s="2026"/>
      <c r="AN411" s="2024"/>
      <c r="AP411" s="477"/>
      <c r="AQ411" s="477"/>
    </row>
    <row r="412" spans="1:43" ht="15">
      <c r="A412" s="477"/>
      <c r="B412" s="2022"/>
      <c r="C412" s="2026"/>
      <c r="D412" s="2024"/>
      <c r="F412" s="2022"/>
      <c r="G412" s="2026"/>
      <c r="H412" s="2024"/>
      <c r="J412" s="2022"/>
      <c r="K412" s="2026"/>
      <c r="L412" s="2024"/>
      <c r="N412" s="2022"/>
      <c r="O412" s="2026"/>
      <c r="P412" s="2024"/>
      <c r="R412" s="2022"/>
      <c r="S412" s="2026"/>
      <c r="T412" s="2024"/>
      <c r="V412" s="2022"/>
      <c r="W412" s="2026"/>
      <c r="X412" s="2024"/>
      <c r="Z412" s="2022"/>
      <c r="AA412" s="2026"/>
      <c r="AB412" s="2024"/>
      <c r="AD412" s="2022"/>
      <c r="AE412" s="2026"/>
      <c r="AF412" s="2024"/>
      <c r="AH412" s="2022"/>
      <c r="AI412" s="2026"/>
      <c r="AJ412" s="2024"/>
      <c r="AL412" s="2022"/>
      <c r="AM412" s="2026"/>
      <c r="AN412" s="2024"/>
      <c r="AP412" s="477"/>
      <c r="AQ412" s="477"/>
    </row>
    <row r="413" spans="1:43" ht="12.75" customHeight="1">
      <c r="A413" s="477"/>
      <c r="B413" s="2022"/>
      <c r="C413" s="2026"/>
      <c r="D413" s="2024"/>
      <c r="F413" s="2022"/>
      <c r="G413" s="2026"/>
      <c r="H413" s="2024"/>
      <c r="J413" s="2022"/>
      <c r="K413" s="2026"/>
      <c r="L413" s="2024"/>
      <c r="N413" s="2022"/>
      <c r="O413" s="2026"/>
      <c r="P413" s="2024"/>
      <c r="R413" s="2022"/>
      <c r="S413" s="2026"/>
      <c r="T413" s="2024"/>
      <c r="V413" s="2022"/>
      <c r="W413" s="2026"/>
      <c r="X413" s="2024"/>
      <c r="Z413" s="2022"/>
      <c r="AA413" s="2026"/>
      <c r="AB413" s="2024"/>
      <c r="AD413" s="2022"/>
      <c r="AE413" s="2026"/>
      <c r="AF413" s="2024"/>
      <c r="AH413" s="2022"/>
      <c r="AI413" s="2026"/>
      <c r="AJ413" s="2024"/>
      <c r="AL413" s="2022"/>
      <c r="AM413" s="2026"/>
      <c r="AN413" s="2024"/>
      <c r="AP413" s="477"/>
      <c r="AQ413" s="477"/>
    </row>
    <row r="414" spans="1:43" ht="12.75" customHeight="1">
      <c r="A414" s="477"/>
      <c r="B414" s="2022"/>
      <c r="C414" s="2026"/>
      <c r="D414" s="2024"/>
      <c r="F414" s="2022"/>
      <c r="G414" s="2026"/>
      <c r="H414" s="2024"/>
      <c r="J414" s="2022"/>
      <c r="K414" s="2026"/>
      <c r="L414" s="2024"/>
      <c r="N414" s="2022"/>
      <c r="O414" s="2026"/>
      <c r="P414" s="2024"/>
      <c r="R414" s="2022"/>
      <c r="S414" s="2026"/>
      <c r="T414" s="2024"/>
      <c r="V414" s="2022"/>
      <c r="W414" s="2026"/>
      <c r="X414" s="2024"/>
      <c r="Z414" s="2022"/>
      <c r="AA414" s="2026"/>
      <c r="AB414" s="2024"/>
      <c r="AD414" s="2022"/>
      <c r="AE414" s="2026"/>
      <c r="AF414" s="2024"/>
      <c r="AH414" s="2022"/>
      <c r="AI414" s="2026"/>
      <c r="AJ414" s="2024"/>
      <c r="AL414" s="2022"/>
      <c r="AM414" s="2026"/>
      <c r="AN414" s="2024"/>
      <c r="AP414" s="477"/>
      <c r="AQ414" s="477"/>
    </row>
    <row r="415" spans="1:43" ht="12.75" customHeight="1">
      <c r="A415" s="477"/>
      <c r="B415" s="2022"/>
      <c r="C415" s="2026"/>
      <c r="D415" s="2024"/>
      <c r="F415" s="2022"/>
      <c r="G415" s="2026"/>
      <c r="H415" s="2024"/>
      <c r="J415" s="2022"/>
      <c r="K415" s="2026"/>
      <c r="L415" s="2024"/>
      <c r="N415" s="2022"/>
      <c r="O415" s="2026"/>
      <c r="P415" s="2024"/>
      <c r="R415" s="2022"/>
      <c r="S415" s="2026"/>
      <c r="T415" s="2024"/>
      <c r="V415" s="2022"/>
      <c r="W415" s="2026"/>
      <c r="X415" s="2024"/>
      <c r="Z415" s="2022"/>
      <c r="AA415" s="2026"/>
      <c r="AB415" s="2024"/>
      <c r="AD415" s="2022"/>
      <c r="AE415" s="2026"/>
      <c r="AF415" s="2024"/>
      <c r="AH415" s="2022"/>
      <c r="AI415" s="2026"/>
      <c r="AJ415" s="2024"/>
      <c r="AL415" s="2022"/>
      <c r="AM415" s="2026"/>
      <c r="AN415" s="2024"/>
      <c r="AP415" s="477"/>
      <c r="AQ415" s="477"/>
    </row>
    <row r="416" spans="1:43" ht="12.75" customHeight="1">
      <c r="A416" s="477"/>
      <c r="B416" s="2022"/>
      <c r="C416" s="2026"/>
      <c r="D416" s="2024"/>
      <c r="F416" s="2022"/>
      <c r="G416" s="2026"/>
      <c r="H416" s="2024"/>
      <c r="J416" s="2022"/>
      <c r="K416" s="2026"/>
      <c r="L416" s="2024"/>
      <c r="N416" s="2022"/>
      <c r="O416" s="2026"/>
      <c r="P416" s="2024"/>
      <c r="R416" s="2022"/>
      <c r="S416" s="2026"/>
      <c r="T416" s="2024"/>
      <c r="V416" s="2022"/>
      <c r="W416" s="2026"/>
      <c r="X416" s="2024"/>
      <c r="Z416" s="2022"/>
      <c r="AA416" s="2026"/>
      <c r="AB416" s="2024"/>
      <c r="AD416" s="2022"/>
      <c r="AE416" s="2026"/>
      <c r="AF416" s="2024"/>
      <c r="AH416" s="2022"/>
      <c r="AI416" s="2026"/>
      <c r="AJ416" s="2024"/>
      <c r="AL416" s="2022"/>
      <c r="AM416" s="2026"/>
      <c r="AN416" s="2024"/>
      <c r="AP416" s="477"/>
      <c r="AQ416" s="477"/>
    </row>
    <row r="417" spans="1:43" ht="12.75" customHeight="1">
      <c r="A417" s="477"/>
      <c r="B417" s="2022"/>
      <c r="C417" s="2026"/>
      <c r="D417" s="2024"/>
      <c r="F417" s="2022"/>
      <c r="G417" s="2026"/>
      <c r="H417" s="2024"/>
      <c r="J417" s="2022"/>
      <c r="K417" s="2026"/>
      <c r="L417" s="2024"/>
      <c r="N417" s="2022"/>
      <c r="O417" s="2026"/>
      <c r="P417" s="2024"/>
      <c r="R417" s="2022"/>
      <c r="S417" s="2026"/>
      <c r="T417" s="2024"/>
      <c r="V417" s="2022"/>
      <c r="W417" s="2026"/>
      <c r="X417" s="2024"/>
      <c r="Z417" s="2022"/>
      <c r="AA417" s="2026"/>
      <c r="AB417" s="2024"/>
      <c r="AD417" s="2022"/>
      <c r="AE417" s="2026"/>
      <c r="AF417" s="2024"/>
      <c r="AH417" s="2022"/>
      <c r="AI417" s="2026"/>
      <c r="AJ417" s="2024"/>
      <c r="AL417" s="2022"/>
      <c r="AM417" s="2026"/>
      <c r="AN417" s="2024"/>
      <c r="AP417" s="477"/>
      <c r="AQ417" s="477"/>
    </row>
    <row r="418" spans="1:43" ht="12.75" customHeight="1">
      <c r="A418" s="477"/>
      <c r="B418" s="2022"/>
      <c r="C418" s="2026"/>
      <c r="D418" s="2024"/>
      <c r="F418" s="2022"/>
      <c r="G418" s="2026"/>
      <c r="H418" s="2024"/>
      <c r="J418" s="2022"/>
      <c r="K418" s="2026"/>
      <c r="L418" s="2024"/>
      <c r="N418" s="2022"/>
      <c r="O418" s="2026"/>
      <c r="P418" s="2024"/>
      <c r="R418" s="2022"/>
      <c r="S418" s="2026"/>
      <c r="T418" s="2024"/>
      <c r="V418" s="2022"/>
      <c r="W418" s="2026"/>
      <c r="X418" s="2024"/>
      <c r="Z418" s="2022"/>
      <c r="AA418" s="2026"/>
      <c r="AB418" s="2024"/>
      <c r="AD418" s="2022"/>
      <c r="AE418" s="2026"/>
      <c r="AF418" s="2024"/>
      <c r="AH418" s="2022"/>
      <c r="AI418" s="2026"/>
      <c r="AJ418" s="2024"/>
      <c r="AL418" s="2022"/>
      <c r="AM418" s="2026"/>
      <c r="AN418" s="2024"/>
      <c r="AP418" s="477"/>
      <c r="AQ418" s="477"/>
    </row>
    <row r="419" spans="1:43" ht="12.75" customHeight="1">
      <c r="A419" s="477"/>
      <c r="B419" s="2022"/>
      <c r="C419" s="2026"/>
      <c r="D419" s="2024"/>
      <c r="F419" s="2022"/>
      <c r="G419" s="2026"/>
      <c r="H419" s="2024"/>
      <c r="J419" s="2022"/>
      <c r="K419" s="2026"/>
      <c r="L419" s="2024"/>
      <c r="N419" s="2022"/>
      <c r="O419" s="2026"/>
      <c r="P419" s="2024"/>
      <c r="R419" s="2022"/>
      <c r="S419" s="2026"/>
      <c r="T419" s="2024"/>
      <c r="V419" s="2022"/>
      <c r="W419" s="2026"/>
      <c r="X419" s="2024"/>
      <c r="Z419" s="2022"/>
      <c r="AA419" s="2026"/>
      <c r="AB419" s="2024"/>
      <c r="AD419" s="2022"/>
      <c r="AE419" s="2026"/>
      <c r="AF419" s="2024"/>
      <c r="AH419" s="2022"/>
      <c r="AI419" s="2026"/>
      <c r="AJ419" s="2024"/>
      <c r="AL419" s="2022"/>
      <c r="AM419" s="2026"/>
      <c r="AN419" s="2024"/>
      <c r="AP419" s="477"/>
      <c r="AQ419" s="477"/>
    </row>
    <row r="420" spans="1:43" ht="12.75" customHeight="1">
      <c r="A420" s="477"/>
      <c r="B420" s="2022"/>
      <c r="C420" s="2026"/>
      <c r="D420" s="2024"/>
      <c r="F420" s="2022"/>
      <c r="G420" s="2026"/>
      <c r="H420" s="2024"/>
      <c r="J420" s="2022"/>
      <c r="K420" s="2026"/>
      <c r="L420" s="2024"/>
      <c r="N420" s="2022"/>
      <c r="O420" s="2026"/>
      <c r="P420" s="2024"/>
      <c r="R420" s="2022"/>
      <c r="S420" s="2026"/>
      <c r="T420" s="2024"/>
      <c r="V420" s="2022"/>
      <c r="W420" s="2026"/>
      <c r="X420" s="2024"/>
      <c r="Z420" s="2022"/>
      <c r="AA420" s="2026"/>
      <c r="AB420" s="2024"/>
      <c r="AD420" s="2022"/>
      <c r="AE420" s="2026"/>
      <c r="AF420" s="2024"/>
      <c r="AH420" s="2022"/>
      <c r="AI420" s="2026"/>
      <c r="AJ420" s="2024"/>
      <c r="AL420" s="2022"/>
      <c r="AM420" s="2026"/>
      <c r="AN420" s="2024"/>
      <c r="AP420" s="477"/>
      <c r="AQ420" s="477"/>
    </row>
    <row r="421" spans="1:43" ht="12.75" customHeight="1">
      <c r="A421" s="477"/>
      <c r="B421" s="2022"/>
      <c r="C421" s="2026"/>
      <c r="D421" s="2024"/>
      <c r="F421" s="2022"/>
      <c r="G421" s="2026"/>
      <c r="H421" s="2024"/>
      <c r="J421" s="2022"/>
      <c r="K421" s="2026"/>
      <c r="L421" s="2024"/>
      <c r="N421" s="2022"/>
      <c r="O421" s="2026"/>
      <c r="P421" s="2024"/>
      <c r="R421" s="2022"/>
      <c r="S421" s="2026"/>
      <c r="T421" s="2024"/>
      <c r="V421" s="2022"/>
      <c r="W421" s="2026"/>
      <c r="X421" s="2024"/>
      <c r="Z421" s="2022"/>
      <c r="AA421" s="2026"/>
      <c r="AB421" s="2024"/>
      <c r="AD421" s="2022"/>
      <c r="AE421" s="2026"/>
      <c r="AF421" s="2024"/>
      <c r="AH421" s="2022"/>
      <c r="AI421" s="2026"/>
      <c r="AJ421" s="2024"/>
      <c r="AL421" s="2022"/>
      <c r="AM421" s="2026"/>
      <c r="AN421" s="2024"/>
      <c r="AP421" s="477"/>
      <c r="AQ421" s="477"/>
    </row>
    <row r="422" spans="1:43" ht="12.75" customHeight="1">
      <c r="A422" s="477"/>
      <c r="B422" s="2022"/>
      <c r="C422" s="2026"/>
      <c r="D422" s="2024"/>
      <c r="F422" s="2022"/>
      <c r="G422" s="2026"/>
      <c r="H422" s="2024"/>
      <c r="J422" s="2022"/>
      <c r="K422" s="2026"/>
      <c r="L422" s="2024"/>
      <c r="N422" s="2022"/>
      <c r="O422" s="2026"/>
      <c r="P422" s="2024"/>
      <c r="R422" s="2022"/>
      <c r="S422" s="2026"/>
      <c r="T422" s="2024"/>
      <c r="V422" s="2022"/>
      <c r="W422" s="2026"/>
      <c r="X422" s="2024"/>
      <c r="Z422" s="2022"/>
      <c r="AA422" s="2026"/>
      <c r="AB422" s="2024"/>
      <c r="AD422" s="2022"/>
      <c r="AE422" s="2026"/>
      <c r="AF422" s="2024"/>
      <c r="AH422" s="2022"/>
      <c r="AI422" s="2026"/>
      <c r="AJ422" s="2024"/>
      <c r="AL422" s="2022"/>
      <c r="AM422" s="2026"/>
      <c r="AN422" s="2024"/>
      <c r="AP422" s="477"/>
      <c r="AQ422" s="477"/>
    </row>
    <row r="423" spans="1:43" ht="12.75" customHeight="1">
      <c r="A423" s="477"/>
      <c r="B423" s="2022"/>
      <c r="C423" s="2026"/>
      <c r="D423" s="2024"/>
      <c r="F423" s="2022"/>
      <c r="G423" s="2026"/>
      <c r="H423" s="2024"/>
      <c r="J423" s="2022"/>
      <c r="K423" s="2026"/>
      <c r="L423" s="2024"/>
      <c r="N423" s="2022"/>
      <c r="O423" s="2026"/>
      <c r="P423" s="2024"/>
      <c r="R423" s="2022"/>
      <c r="S423" s="2026"/>
      <c r="T423" s="2024"/>
      <c r="V423" s="2022"/>
      <c r="W423" s="2026"/>
      <c r="X423" s="2024"/>
      <c r="Z423" s="2022"/>
      <c r="AA423" s="2026"/>
      <c r="AB423" s="2024"/>
      <c r="AD423" s="2022"/>
      <c r="AE423" s="2026"/>
      <c r="AF423" s="2024"/>
      <c r="AH423" s="2022"/>
      <c r="AI423" s="2026"/>
      <c r="AJ423" s="2024"/>
      <c r="AL423" s="2022"/>
      <c r="AM423" s="2026"/>
      <c r="AN423" s="2024"/>
      <c r="AP423" s="477"/>
      <c r="AQ423" s="477"/>
    </row>
    <row r="424" spans="1:43" ht="15">
      <c r="A424" s="477"/>
      <c r="B424" s="2022"/>
      <c r="C424" s="2026"/>
      <c r="D424" s="2024"/>
      <c r="F424" s="2022"/>
      <c r="G424" s="2026"/>
      <c r="H424" s="2024"/>
      <c r="J424" s="2022"/>
      <c r="K424" s="2026"/>
      <c r="L424" s="2024"/>
      <c r="N424" s="2022"/>
      <c r="O424" s="2026"/>
      <c r="P424" s="2024"/>
      <c r="R424" s="2022"/>
      <c r="S424" s="2026"/>
      <c r="T424" s="2024"/>
      <c r="V424" s="2022"/>
      <c r="W424" s="2026"/>
      <c r="X424" s="2024"/>
      <c r="Z424" s="2022"/>
      <c r="AA424" s="2026"/>
      <c r="AB424" s="2024"/>
      <c r="AD424" s="2022"/>
      <c r="AE424" s="2026"/>
      <c r="AF424" s="2024"/>
      <c r="AH424" s="2022"/>
      <c r="AI424" s="2026"/>
      <c r="AJ424" s="2024"/>
      <c r="AL424" s="2022"/>
      <c r="AM424" s="2026"/>
      <c r="AN424" s="2024"/>
      <c r="AP424" s="477"/>
      <c r="AQ424" s="477"/>
    </row>
    <row r="425" spans="1:43" ht="15">
      <c r="A425" s="477"/>
      <c r="B425" s="2022"/>
      <c r="C425" s="2026"/>
      <c r="D425" s="2024"/>
      <c r="F425" s="2022"/>
      <c r="G425" s="2026"/>
      <c r="H425" s="2024"/>
      <c r="J425" s="2022"/>
      <c r="K425" s="2026"/>
      <c r="L425" s="2024"/>
      <c r="N425" s="2022"/>
      <c r="O425" s="2026"/>
      <c r="P425" s="2024"/>
      <c r="R425" s="2022"/>
      <c r="S425" s="2026"/>
      <c r="T425" s="2024"/>
      <c r="V425" s="2022"/>
      <c r="W425" s="2026"/>
      <c r="X425" s="2024"/>
      <c r="Z425" s="2022"/>
      <c r="AA425" s="2026"/>
      <c r="AB425" s="2024"/>
      <c r="AD425" s="2022"/>
      <c r="AE425" s="2026"/>
      <c r="AF425" s="2024"/>
      <c r="AH425" s="2022"/>
      <c r="AI425" s="2026"/>
      <c r="AJ425" s="2024"/>
      <c r="AL425" s="2022"/>
      <c r="AM425" s="2026"/>
      <c r="AN425" s="2024"/>
      <c r="AP425" s="477"/>
      <c r="AQ425" s="477"/>
    </row>
    <row r="426" spans="1:43" ht="15">
      <c r="A426" s="477"/>
      <c r="B426" s="2022"/>
      <c r="C426" s="2026"/>
      <c r="D426" s="2024"/>
      <c r="F426" s="2022"/>
      <c r="G426" s="2026"/>
      <c r="H426" s="2024"/>
      <c r="J426" s="2022"/>
      <c r="K426" s="2026"/>
      <c r="L426" s="2024"/>
      <c r="N426" s="2022"/>
      <c r="O426" s="2026"/>
      <c r="P426" s="2024"/>
      <c r="R426" s="2022"/>
      <c r="S426" s="2026"/>
      <c r="T426" s="2024"/>
      <c r="V426" s="2022"/>
      <c r="W426" s="2026"/>
      <c r="X426" s="2024"/>
      <c r="Z426" s="2022"/>
      <c r="AA426" s="2026"/>
      <c r="AB426" s="2024"/>
      <c r="AD426" s="2022"/>
      <c r="AE426" s="2026"/>
      <c r="AF426" s="2024"/>
      <c r="AH426" s="2022"/>
      <c r="AI426" s="2026"/>
      <c r="AJ426" s="2024"/>
      <c r="AL426" s="2022"/>
      <c r="AM426" s="2026"/>
      <c r="AN426" s="2024"/>
      <c r="AP426" s="477"/>
      <c r="AQ426" s="477"/>
    </row>
    <row r="427" spans="1:43" ht="15">
      <c r="A427" s="477"/>
      <c r="B427" s="2022"/>
      <c r="C427" s="2026"/>
      <c r="D427" s="2024"/>
      <c r="F427" s="2022"/>
      <c r="G427" s="2026"/>
      <c r="H427" s="2024"/>
      <c r="J427" s="2022"/>
      <c r="K427" s="2026"/>
      <c r="L427" s="2024"/>
      <c r="N427" s="2022"/>
      <c r="O427" s="2026"/>
      <c r="P427" s="2024"/>
      <c r="R427" s="2022"/>
      <c r="S427" s="2026"/>
      <c r="T427" s="2024"/>
      <c r="V427" s="2022"/>
      <c r="W427" s="2026"/>
      <c r="X427" s="2024"/>
      <c r="Z427" s="2022"/>
      <c r="AA427" s="2026"/>
      <c r="AB427" s="2024"/>
      <c r="AD427" s="2022"/>
      <c r="AE427" s="2026"/>
      <c r="AF427" s="2024"/>
      <c r="AH427" s="2022"/>
      <c r="AI427" s="2026"/>
      <c r="AJ427" s="2024"/>
      <c r="AL427" s="2022"/>
      <c r="AM427" s="2026"/>
      <c r="AN427" s="2024"/>
      <c r="AP427" s="477"/>
      <c r="AQ427" s="477"/>
    </row>
    <row r="428" spans="1:43" ht="15">
      <c r="A428" s="477"/>
      <c r="B428" s="2022"/>
      <c r="C428" s="2026"/>
      <c r="D428" s="2024"/>
      <c r="F428" s="2022"/>
      <c r="G428" s="2026"/>
      <c r="H428" s="2024"/>
      <c r="J428" s="2022"/>
      <c r="K428" s="2026"/>
      <c r="L428" s="2024"/>
      <c r="N428" s="2022"/>
      <c r="O428" s="2026"/>
      <c r="P428" s="2024"/>
      <c r="R428" s="2022"/>
      <c r="S428" s="2026"/>
      <c r="T428" s="2024"/>
      <c r="V428" s="2022"/>
      <c r="W428" s="2026"/>
      <c r="X428" s="2024"/>
      <c r="Z428" s="2022"/>
      <c r="AA428" s="2026"/>
      <c r="AB428" s="2024"/>
      <c r="AD428" s="2022"/>
      <c r="AE428" s="2026"/>
      <c r="AF428" s="2024"/>
      <c r="AH428" s="2022"/>
      <c r="AI428" s="2026"/>
      <c r="AJ428" s="2024"/>
      <c r="AL428" s="2022"/>
      <c r="AM428" s="2026"/>
      <c r="AN428" s="2024"/>
      <c r="AP428" s="477"/>
      <c r="AQ428" s="477"/>
    </row>
    <row r="429" spans="1:43" ht="15">
      <c r="A429" s="477"/>
      <c r="B429" s="2022"/>
      <c r="C429" s="2026"/>
      <c r="D429" s="2024"/>
      <c r="F429" s="2022"/>
      <c r="G429" s="2026"/>
      <c r="H429" s="2024"/>
      <c r="J429" s="2022"/>
      <c r="K429" s="2026"/>
      <c r="L429" s="2024"/>
      <c r="N429" s="2022"/>
      <c r="O429" s="2026"/>
      <c r="P429" s="2024"/>
      <c r="R429" s="2022"/>
      <c r="S429" s="2026"/>
      <c r="T429" s="2024"/>
      <c r="V429" s="2022"/>
      <c r="W429" s="2026"/>
      <c r="X429" s="2024"/>
      <c r="Z429" s="2022"/>
      <c r="AA429" s="2026"/>
      <c r="AB429" s="2024"/>
      <c r="AD429" s="2022"/>
      <c r="AE429" s="2026"/>
      <c r="AF429" s="2024"/>
      <c r="AH429" s="2022"/>
      <c r="AI429" s="2026"/>
      <c r="AJ429" s="2024"/>
      <c r="AL429" s="2022"/>
      <c r="AM429" s="2026"/>
      <c r="AN429" s="2024"/>
      <c r="AP429" s="477"/>
      <c r="AQ429" s="477"/>
    </row>
    <row r="430" spans="1:43" ht="15">
      <c r="A430" s="477"/>
      <c r="B430" s="2022"/>
      <c r="C430" s="2026"/>
      <c r="D430" s="2024"/>
      <c r="F430" s="2022"/>
      <c r="G430" s="2026"/>
      <c r="H430" s="2024"/>
      <c r="J430" s="2022"/>
      <c r="K430" s="2026"/>
      <c r="L430" s="2024"/>
      <c r="N430" s="2022"/>
      <c r="O430" s="2026"/>
      <c r="P430" s="2024"/>
      <c r="R430" s="2022"/>
      <c r="S430" s="2026"/>
      <c r="T430" s="2024"/>
      <c r="V430" s="2022"/>
      <c r="W430" s="2026"/>
      <c r="X430" s="2024"/>
      <c r="Z430" s="2022"/>
      <c r="AA430" s="2026"/>
      <c r="AB430" s="2024"/>
      <c r="AD430" s="2022"/>
      <c r="AE430" s="2026"/>
      <c r="AF430" s="2024"/>
      <c r="AH430" s="2022"/>
      <c r="AI430" s="2026"/>
      <c r="AJ430" s="2024"/>
      <c r="AL430" s="2022"/>
      <c r="AM430" s="2026"/>
      <c r="AN430" s="2024"/>
      <c r="AP430" s="477"/>
      <c r="AQ430" s="477"/>
    </row>
    <row r="431" spans="1:43" ht="15">
      <c r="A431" s="477"/>
      <c r="B431" s="2022"/>
      <c r="C431" s="2026"/>
      <c r="D431" s="2024"/>
      <c r="F431" s="2022"/>
      <c r="G431" s="2026"/>
      <c r="H431" s="2024"/>
      <c r="J431" s="2022"/>
      <c r="K431" s="2026"/>
      <c r="L431" s="2024"/>
      <c r="N431" s="2022"/>
      <c r="O431" s="2026"/>
      <c r="P431" s="2024"/>
      <c r="R431" s="2022"/>
      <c r="S431" s="2026"/>
      <c r="T431" s="2024"/>
      <c r="V431" s="2022"/>
      <c r="W431" s="2026"/>
      <c r="X431" s="2024"/>
      <c r="Z431" s="2022"/>
      <c r="AA431" s="2026"/>
      <c r="AB431" s="2024"/>
      <c r="AD431" s="2022"/>
      <c r="AE431" s="2026"/>
      <c r="AF431" s="2024"/>
      <c r="AH431" s="2022"/>
      <c r="AI431" s="2026"/>
      <c r="AJ431" s="2024"/>
      <c r="AL431" s="2022"/>
      <c r="AM431" s="2026"/>
      <c r="AN431" s="2024"/>
      <c r="AP431" s="477"/>
      <c r="AQ431" s="477"/>
    </row>
    <row r="432" spans="1:43" ht="15">
      <c r="A432" s="477"/>
      <c r="B432" s="2022"/>
      <c r="C432" s="2026"/>
      <c r="D432" s="2024"/>
      <c r="F432" s="2022"/>
      <c r="G432" s="2026"/>
      <c r="H432" s="2024"/>
      <c r="J432" s="2022"/>
      <c r="K432" s="2026"/>
      <c r="L432" s="2024"/>
      <c r="N432" s="2022"/>
      <c r="O432" s="2026"/>
      <c r="P432" s="2024"/>
      <c r="R432" s="2022"/>
      <c r="S432" s="2026"/>
      <c r="T432" s="2024"/>
      <c r="V432" s="2022"/>
      <c r="W432" s="2026"/>
      <c r="X432" s="2024"/>
      <c r="Z432" s="2022"/>
      <c r="AA432" s="2026"/>
      <c r="AB432" s="2024"/>
      <c r="AD432" s="2022"/>
      <c r="AE432" s="2026"/>
      <c r="AF432" s="2024"/>
      <c r="AH432" s="2022"/>
      <c r="AI432" s="2026"/>
      <c r="AJ432" s="2024"/>
      <c r="AL432" s="2022"/>
      <c r="AM432" s="2026"/>
      <c r="AN432" s="2024"/>
      <c r="AP432" s="477"/>
      <c r="AQ432" s="477"/>
    </row>
    <row r="433" spans="1:43" ht="15">
      <c r="A433" s="477"/>
      <c r="B433" s="2022"/>
      <c r="C433" s="2026"/>
      <c r="D433" s="2024"/>
      <c r="F433" s="2022"/>
      <c r="G433" s="2026"/>
      <c r="H433" s="2024"/>
      <c r="J433" s="2022"/>
      <c r="K433" s="2026"/>
      <c r="L433" s="2024"/>
      <c r="N433" s="2022"/>
      <c r="O433" s="2026"/>
      <c r="P433" s="2024"/>
      <c r="R433" s="2022"/>
      <c r="S433" s="2026"/>
      <c r="T433" s="2024"/>
      <c r="V433" s="2022"/>
      <c r="W433" s="2026"/>
      <c r="X433" s="2024"/>
      <c r="Z433" s="2022"/>
      <c r="AA433" s="2026"/>
      <c r="AB433" s="2024"/>
      <c r="AD433" s="2022"/>
      <c r="AE433" s="2026"/>
      <c r="AF433" s="2024"/>
      <c r="AH433" s="2022"/>
      <c r="AI433" s="2026"/>
      <c r="AJ433" s="2024"/>
      <c r="AL433" s="2022"/>
      <c r="AM433" s="2026"/>
      <c r="AN433" s="2024"/>
      <c r="AP433" s="477"/>
      <c r="AQ433" s="477"/>
    </row>
    <row r="434" spans="1:43" ht="15">
      <c r="A434" s="477"/>
      <c r="B434" s="2022"/>
      <c r="C434" s="2026"/>
      <c r="D434" s="2024"/>
      <c r="F434" s="2022"/>
      <c r="G434" s="2026"/>
      <c r="H434" s="2024"/>
      <c r="J434" s="2022"/>
      <c r="K434" s="2026"/>
      <c r="L434" s="2024"/>
      <c r="N434" s="2022"/>
      <c r="O434" s="2026"/>
      <c r="P434" s="2024"/>
      <c r="R434" s="2022"/>
      <c r="S434" s="2026"/>
      <c r="T434" s="2024"/>
      <c r="V434" s="2022"/>
      <c r="W434" s="2026"/>
      <c r="X434" s="2024"/>
      <c r="Z434" s="2022"/>
      <c r="AA434" s="2026"/>
      <c r="AB434" s="2024"/>
      <c r="AD434" s="2022"/>
      <c r="AE434" s="2026"/>
      <c r="AF434" s="2024"/>
      <c r="AH434" s="2022"/>
      <c r="AI434" s="2026"/>
      <c r="AJ434" s="2024"/>
      <c r="AL434" s="2022"/>
      <c r="AM434" s="2026"/>
      <c r="AN434" s="2024"/>
      <c r="AP434" s="477"/>
      <c r="AQ434" s="477"/>
    </row>
    <row r="435" spans="1:43" ht="15">
      <c r="A435" s="477"/>
      <c r="B435" s="2022"/>
      <c r="C435" s="2026"/>
      <c r="D435" s="2024"/>
      <c r="F435" s="2022"/>
      <c r="G435" s="2026"/>
      <c r="H435" s="2024"/>
      <c r="J435" s="2022"/>
      <c r="K435" s="2026"/>
      <c r="L435" s="2024"/>
      <c r="N435" s="2022"/>
      <c r="O435" s="2026"/>
      <c r="P435" s="2024"/>
      <c r="R435" s="2022"/>
      <c r="S435" s="2026"/>
      <c r="T435" s="2024"/>
      <c r="V435" s="2022"/>
      <c r="W435" s="2026"/>
      <c r="X435" s="2024"/>
      <c r="Z435" s="2022"/>
      <c r="AA435" s="2026"/>
      <c r="AB435" s="2024"/>
      <c r="AD435" s="2022"/>
      <c r="AE435" s="2026"/>
      <c r="AF435" s="2024"/>
      <c r="AH435" s="2022"/>
      <c r="AI435" s="2026"/>
      <c r="AJ435" s="2024"/>
      <c r="AL435" s="2022"/>
      <c r="AM435" s="2026"/>
      <c r="AN435" s="2024"/>
      <c r="AP435" s="477"/>
      <c r="AQ435" s="477"/>
    </row>
    <row r="436" spans="1:43" ht="15">
      <c r="A436" s="477"/>
      <c r="B436" s="2022"/>
      <c r="C436" s="2026"/>
      <c r="D436" s="2024"/>
      <c r="F436" s="2022"/>
      <c r="G436" s="2026"/>
      <c r="H436" s="2024"/>
      <c r="J436" s="2022"/>
      <c r="K436" s="2026"/>
      <c r="L436" s="2024"/>
      <c r="N436" s="2022"/>
      <c r="O436" s="2026"/>
      <c r="P436" s="2024"/>
      <c r="R436" s="2022"/>
      <c r="S436" s="2026"/>
      <c r="T436" s="2024"/>
      <c r="V436" s="2022"/>
      <c r="W436" s="2026"/>
      <c r="X436" s="2024"/>
      <c r="Z436" s="2022"/>
      <c r="AA436" s="2026"/>
      <c r="AB436" s="2024"/>
      <c r="AD436" s="2022"/>
      <c r="AE436" s="2026"/>
      <c r="AF436" s="2024"/>
      <c r="AH436" s="2022"/>
      <c r="AI436" s="2026"/>
      <c r="AJ436" s="2024"/>
      <c r="AL436" s="2022"/>
      <c r="AM436" s="2026"/>
      <c r="AN436" s="2024"/>
      <c r="AP436" s="477"/>
      <c r="AQ436" s="477"/>
    </row>
    <row r="437" spans="1:43" ht="15.75" thickBot="1">
      <c r="A437" s="477"/>
      <c r="B437" s="2027"/>
      <c r="C437" s="2028"/>
      <c r="D437" s="2029"/>
      <c r="F437" s="2027"/>
      <c r="G437" s="2028"/>
      <c r="H437" s="2029"/>
      <c r="J437" s="2027"/>
      <c r="K437" s="2028"/>
      <c r="L437" s="2029"/>
      <c r="N437" s="2027"/>
      <c r="O437" s="2028"/>
      <c r="P437" s="2029"/>
      <c r="R437" s="2027"/>
      <c r="S437" s="2028"/>
      <c r="T437" s="2029"/>
      <c r="V437" s="2027"/>
      <c r="W437" s="2028"/>
      <c r="X437" s="2029"/>
      <c r="Z437" s="2027"/>
      <c r="AA437" s="2028"/>
      <c r="AB437" s="2029"/>
      <c r="AD437" s="2027"/>
      <c r="AE437" s="2028"/>
      <c r="AF437" s="2029"/>
      <c r="AH437" s="2027"/>
      <c r="AI437" s="2028"/>
      <c r="AJ437" s="2029"/>
      <c r="AL437" s="2027"/>
      <c r="AM437" s="2028"/>
      <c r="AN437" s="2029"/>
      <c r="AP437" s="477"/>
      <c r="AQ437" s="477"/>
    </row>
    <row r="438" spans="1:43" ht="15">
      <c r="A438" s="477"/>
      <c r="B438" s="321" t="s">
        <v>34</v>
      </c>
      <c r="F438" s="321" t="s">
        <v>34</v>
      </c>
      <c r="J438" s="321" t="s">
        <v>34</v>
      </c>
      <c r="N438" s="321" t="s">
        <v>34</v>
      </c>
      <c r="R438" s="321" t="s">
        <v>34</v>
      </c>
      <c r="V438" s="321" t="s">
        <v>34</v>
      </c>
      <c r="Z438" s="321" t="s">
        <v>34</v>
      </c>
      <c r="AD438" s="321" t="s">
        <v>34</v>
      </c>
      <c r="AH438" s="321" t="s">
        <v>34</v>
      </c>
      <c r="AL438" s="321" t="s">
        <v>34</v>
      </c>
      <c r="AP438" s="477"/>
      <c r="AQ438" s="477"/>
    </row>
    <row r="439" spans="1:43" ht="15.75" thickBot="1">
      <c r="B439" s="321" t="s">
        <v>130</v>
      </c>
      <c r="F439" s="321" t="s">
        <v>130</v>
      </c>
      <c r="J439" s="321" t="s">
        <v>130</v>
      </c>
      <c r="N439" s="321" t="s">
        <v>130</v>
      </c>
      <c r="R439" s="321" t="s">
        <v>130</v>
      </c>
      <c r="V439" s="321" t="s">
        <v>130</v>
      </c>
      <c r="Z439" s="321" t="s">
        <v>130</v>
      </c>
      <c r="AD439" s="321" t="s">
        <v>130</v>
      </c>
      <c r="AH439" s="321" t="s">
        <v>130</v>
      </c>
      <c r="AL439" s="321" t="s">
        <v>130</v>
      </c>
      <c r="AP439" s="477"/>
      <c r="AQ439" s="477"/>
    </row>
    <row r="440" spans="1:43" ht="200.1" customHeight="1" thickBot="1">
      <c r="B440" s="2045"/>
      <c r="C440" s="2046"/>
      <c r="D440" s="2047"/>
      <c r="E440" s="245"/>
      <c r="F440" s="2045"/>
      <c r="G440" s="2046"/>
      <c r="H440" s="2047"/>
      <c r="I440" s="245"/>
      <c r="J440" s="2045"/>
      <c r="K440" s="2046"/>
      <c r="L440" s="2047"/>
      <c r="M440" s="245"/>
      <c r="N440" s="2045"/>
      <c r="O440" s="2046"/>
      <c r="P440" s="2047"/>
      <c r="Q440" s="245"/>
      <c r="R440" s="2045"/>
      <c r="S440" s="2046"/>
      <c r="T440" s="2047"/>
      <c r="U440" s="245"/>
      <c r="V440" s="2045"/>
      <c r="W440" s="2046"/>
      <c r="X440" s="2047"/>
      <c r="Y440" s="245"/>
      <c r="Z440" s="2045"/>
      <c r="AA440" s="2046"/>
      <c r="AB440" s="2047"/>
      <c r="AC440" s="245"/>
      <c r="AD440" s="2045"/>
      <c r="AE440" s="2046"/>
      <c r="AF440" s="2047"/>
      <c r="AG440" s="245"/>
      <c r="AH440" s="2045"/>
      <c r="AI440" s="2046"/>
      <c r="AJ440" s="2047"/>
      <c r="AK440" s="245"/>
      <c r="AL440" s="2045"/>
      <c r="AM440" s="2046"/>
      <c r="AN440" s="2047"/>
      <c r="AO440" s="245"/>
      <c r="AP440" s="477"/>
      <c r="AQ440" s="477"/>
    </row>
    <row r="441" spans="1:43" ht="15">
      <c r="AA441" s="2030"/>
      <c r="AB441" s="2030"/>
      <c r="AC441" s="2030"/>
      <c r="AD441" s="477"/>
      <c r="AE441" s="477"/>
      <c r="AF441" s="477"/>
      <c r="AG441" s="477"/>
      <c r="AH441" s="477"/>
      <c r="AI441" s="477"/>
      <c r="AJ441" s="477"/>
      <c r="AK441" s="477"/>
      <c r="AL441" s="477"/>
      <c r="AM441" s="477"/>
      <c r="AN441" s="477"/>
      <c r="AO441" s="477"/>
      <c r="AP441" s="477"/>
      <c r="AQ441" s="477"/>
    </row>
    <row r="442" spans="1:43" ht="18.75">
      <c r="A442" s="474"/>
      <c r="B442" s="495" t="s">
        <v>11</v>
      </c>
      <c r="C442" s="477"/>
      <c r="D442" s="477"/>
      <c r="E442" s="477"/>
      <c r="F442" s="477"/>
      <c r="G442" s="477"/>
      <c r="H442" s="477"/>
      <c r="I442" s="477"/>
      <c r="J442" s="477"/>
      <c r="K442" s="477"/>
      <c r="L442" s="477"/>
      <c r="M442" s="477"/>
      <c r="N442" s="477"/>
      <c r="O442" s="477"/>
      <c r="P442" s="477"/>
      <c r="Q442" s="477"/>
      <c r="R442" s="477"/>
      <c r="S442" s="477"/>
      <c r="T442" s="477"/>
      <c r="U442" s="477"/>
      <c r="V442" s="477"/>
      <c r="W442" s="477"/>
      <c r="X442" s="477"/>
      <c r="Y442" s="477"/>
      <c r="Z442" s="477"/>
      <c r="AA442" s="477"/>
      <c r="AB442" s="477"/>
      <c r="AC442" s="477"/>
      <c r="AD442" s="477"/>
      <c r="AE442" s="477"/>
      <c r="AF442" s="477"/>
      <c r="AG442" s="477"/>
      <c r="AH442" s="477"/>
      <c r="AI442" s="477"/>
      <c r="AJ442" s="477"/>
      <c r="AK442" s="477"/>
      <c r="AL442" s="477"/>
      <c r="AM442" s="477"/>
      <c r="AN442" s="477"/>
      <c r="AO442" s="477"/>
      <c r="AP442" s="477"/>
      <c r="AQ442" s="477"/>
    </row>
    <row r="443" spans="1:43" ht="15.75" thickBot="1">
      <c r="A443" s="474"/>
      <c r="B443" s="474"/>
      <c r="C443" s="477"/>
      <c r="D443" s="477"/>
      <c r="E443" s="477"/>
      <c r="F443" s="477"/>
      <c r="G443" s="477"/>
      <c r="H443" s="477"/>
      <c r="I443" s="477"/>
      <c r="J443" s="477"/>
      <c r="K443" s="477"/>
      <c r="L443" s="477"/>
      <c r="M443" s="477"/>
      <c r="N443" s="477"/>
      <c r="O443" s="477"/>
      <c r="P443" s="477"/>
      <c r="Q443" s="477"/>
      <c r="R443" s="477"/>
      <c r="S443" s="477"/>
      <c r="T443" s="477"/>
      <c r="U443" s="477"/>
      <c r="V443" s="477"/>
      <c r="W443" s="477"/>
      <c r="X443" s="477"/>
      <c r="Y443" s="477"/>
      <c r="Z443" s="477"/>
      <c r="AA443" s="477"/>
      <c r="AB443" s="477"/>
      <c r="AC443" s="477"/>
      <c r="AD443" s="477"/>
      <c r="AE443" s="477"/>
      <c r="AF443" s="477"/>
      <c r="AG443" s="477"/>
      <c r="AH443" s="477"/>
      <c r="AI443" s="477"/>
      <c r="AJ443" s="477"/>
      <c r="AK443" s="477"/>
      <c r="AL443" s="477"/>
      <c r="AM443" s="477"/>
      <c r="AN443" s="477"/>
      <c r="AO443" s="477"/>
      <c r="AP443" s="477"/>
      <c r="AQ443" s="477"/>
    </row>
    <row r="444" spans="1:43" ht="15.75" thickBot="1">
      <c r="A444" s="474"/>
      <c r="B444" s="2055" t="s">
        <v>216</v>
      </c>
      <c r="C444" s="2056"/>
      <c r="D444" s="2056"/>
      <c r="E444" s="2057"/>
      <c r="F444" s="2031"/>
      <c r="G444" s="477"/>
      <c r="H444" s="477"/>
      <c r="I444" s="477"/>
      <c r="J444" s="477"/>
      <c r="K444" s="477"/>
      <c r="L444" s="477"/>
      <c r="M444" s="477"/>
      <c r="N444" s="477"/>
      <c r="O444" s="477"/>
      <c r="P444" s="477"/>
      <c r="Q444" s="477"/>
      <c r="R444" s="477"/>
      <c r="S444" s="477"/>
      <c r="T444" s="477"/>
      <c r="U444" s="477"/>
      <c r="V444" s="477"/>
      <c r="W444" s="477"/>
      <c r="X444" s="477"/>
      <c r="Y444" s="477"/>
      <c r="Z444" s="477"/>
      <c r="AA444" s="477"/>
      <c r="AB444" s="477"/>
      <c r="AC444" s="477"/>
      <c r="AD444" s="477"/>
      <c r="AE444" s="477"/>
      <c r="AF444" s="477"/>
      <c r="AG444" s="477"/>
      <c r="AH444" s="477"/>
      <c r="AI444" s="477"/>
      <c r="AJ444" s="477"/>
      <c r="AK444" s="477"/>
      <c r="AL444" s="477"/>
      <c r="AM444" s="477"/>
      <c r="AN444" s="477"/>
      <c r="AO444" s="477"/>
      <c r="AP444" s="477"/>
      <c r="AQ444" s="477"/>
    </row>
    <row r="445" spans="1:43" ht="15">
      <c r="A445" s="475"/>
      <c r="B445" s="475"/>
      <c r="C445" s="477"/>
      <c r="D445" s="477"/>
      <c r="E445" s="477"/>
      <c r="F445" s="477"/>
      <c r="G445" s="477"/>
      <c r="H445" s="477"/>
      <c r="I445" s="477"/>
      <c r="J445" s="477"/>
      <c r="K445" s="477"/>
      <c r="L445" s="477"/>
      <c r="M445" s="477"/>
      <c r="N445" s="477"/>
      <c r="O445" s="477"/>
      <c r="P445" s="477"/>
      <c r="Q445" s="477"/>
      <c r="R445" s="477"/>
      <c r="S445" s="477"/>
      <c r="T445" s="477"/>
      <c r="U445" s="477"/>
      <c r="V445" s="477"/>
      <c r="W445" s="477"/>
      <c r="X445" s="477"/>
      <c r="Y445" s="477"/>
      <c r="Z445" s="477"/>
      <c r="AA445" s="477"/>
      <c r="AB445" s="477"/>
      <c r="AC445" s="477"/>
      <c r="AD445" s="477"/>
      <c r="AE445" s="477"/>
      <c r="AF445" s="477"/>
      <c r="AG445" s="477"/>
      <c r="AH445" s="477"/>
      <c r="AI445" s="477"/>
      <c r="AJ445" s="477"/>
      <c r="AK445" s="477"/>
      <c r="AL445" s="477"/>
      <c r="AM445" s="477"/>
      <c r="AN445" s="477"/>
      <c r="AO445" s="477"/>
      <c r="AP445" s="477"/>
      <c r="AQ445" s="477"/>
    </row>
    <row r="446" spans="1:43" ht="15">
      <c r="A446" s="475"/>
      <c r="B446" s="321" t="s">
        <v>40</v>
      </c>
      <c r="C446" s="477"/>
      <c r="D446" s="477"/>
      <c r="E446" s="477"/>
      <c r="F446" s="477"/>
      <c r="G446" s="477"/>
      <c r="H446" s="477"/>
      <c r="I446" s="477"/>
      <c r="J446" s="477"/>
      <c r="K446" s="477"/>
      <c r="L446" s="477"/>
      <c r="M446" s="477"/>
      <c r="N446" s="477"/>
      <c r="O446" s="477"/>
      <c r="P446" s="477"/>
      <c r="Q446" s="477"/>
      <c r="R446" s="477"/>
      <c r="S446" s="477"/>
      <c r="T446" s="477"/>
      <c r="U446" s="477"/>
      <c r="V446" s="477"/>
      <c r="W446" s="477"/>
      <c r="X446" s="477"/>
      <c r="Y446" s="477"/>
      <c r="Z446" s="477"/>
      <c r="AA446" s="477"/>
      <c r="AB446" s="477"/>
      <c r="AC446" s="477"/>
      <c r="AD446" s="477"/>
      <c r="AE446" s="477"/>
      <c r="AF446" s="477"/>
      <c r="AG446" s="477"/>
      <c r="AH446" s="477"/>
      <c r="AI446" s="477"/>
      <c r="AJ446" s="477"/>
      <c r="AK446" s="477"/>
      <c r="AL446" s="477"/>
      <c r="AM446" s="477"/>
      <c r="AN446" s="477"/>
      <c r="AO446" s="477"/>
      <c r="AP446" s="477"/>
      <c r="AQ446" s="477"/>
    </row>
    <row r="447" spans="1:43" ht="15.75" thickBot="1">
      <c r="A447" s="475"/>
      <c r="B447" s="477"/>
      <c r="C447" s="477"/>
      <c r="D447" s="477"/>
      <c r="E447" s="477"/>
      <c r="F447" s="477"/>
      <c r="G447" s="477"/>
      <c r="H447" s="477"/>
      <c r="I447" s="477"/>
      <c r="J447" s="477"/>
      <c r="K447" s="477"/>
      <c r="L447" s="477"/>
      <c r="M447" s="477"/>
      <c r="N447" s="477"/>
      <c r="O447" s="477"/>
      <c r="P447" s="477"/>
      <c r="Q447" s="477"/>
      <c r="R447" s="477"/>
      <c r="S447" s="477"/>
      <c r="T447" s="477"/>
      <c r="U447" s="477"/>
      <c r="V447" s="477"/>
      <c r="W447" s="477"/>
      <c r="X447" s="477"/>
      <c r="Y447" s="477"/>
      <c r="Z447" s="477"/>
      <c r="AA447" s="477"/>
      <c r="AB447" s="477"/>
      <c r="AC447" s="477"/>
      <c r="AD447" s="477"/>
      <c r="AE447" s="477"/>
      <c r="AF447" s="477"/>
      <c r="AG447" s="477"/>
      <c r="AH447" s="477"/>
      <c r="AI447" s="477"/>
      <c r="AJ447" s="477"/>
      <c r="AK447" s="477"/>
      <c r="AL447" s="477"/>
      <c r="AM447" s="477"/>
      <c r="AN447" s="477"/>
      <c r="AO447" s="477"/>
      <c r="AP447" s="477"/>
      <c r="AQ447" s="477"/>
    </row>
    <row r="448" spans="1:43" ht="15">
      <c r="B448" s="2042" t="s">
        <v>564</v>
      </c>
      <c r="C448" s="2050" t="s">
        <v>708</v>
      </c>
      <c r="D448" s="1007"/>
      <c r="F448" s="2042" t="s">
        <v>564</v>
      </c>
      <c r="G448" s="2050" t="s">
        <v>709</v>
      </c>
      <c r="H448" s="1007"/>
      <c r="J448" s="2042" t="s">
        <v>564</v>
      </c>
      <c r="K448" s="2050" t="s">
        <v>710</v>
      </c>
      <c r="L448" s="1007"/>
      <c r="M448" s="474"/>
      <c r="N448" s="2042" t="s">
        <v>564</v>
      </c>
      <c r="O448" s="2050" t="s">
        <v>711</v>
      </c>
      <c r="P448" s="1007"/>
      <c r="R448" s="2042" t="s">
        <v>564</v>
      </c>
      <c r="S448" s="2050" t="s">
        <v>712</v>
      </c>
      <c r="T448" s="1007"/>
      <c r="V448" s="2042" t="s">
        <v>564</v>
      </c>
      <c r="W448" s="2050" t="s">
        <v>713</v>
      </c>
      <c r="X448" s="1007"/>
      <c r="Z448" s="2042" t="s">
        <v>564</v>
      </c>
      <c r="AA448" s="2050" t="s">
        <v>714</v>
      </c>
      <c r="AB448" s="1007"/>
      <c r="AC448" s="474"/>
      <c r="AD448" s="2042" t="s">
        <v>564</v>
      </c>
      <c r="AE448" s="2050" t="s">
        <v>715</v>
      </c>
      <c r="AF448" s="1007"/>
      <c r="AH448" s="2042" t="s">
        <v>564</v>
      </c>
      <c r="AI448" s="2050" t="s">
        <v>716</v>
      </c>
      <c r="AJ448" s="1007"/>
      <c r="AL448" s="2042" t="s">
        <v>564</v>
      </c>
      <c r="AM448" s="2050" t="s">
        <v>717</v>
      </c>
      <c r="AN448" s="1007"/>
      <c r="AP448" s="477"/>
      <c r="AQ448" s="477"/>
    </row>
    <row r="449" spans="1:43" ht="15">
      <c r="B449" s="2043" t="s">
        <v>45</v>
      </c>
      <c r="C449" s="2051"/>
      <c r="D449" s="2005"/>
      <c r="F449" s="2043" t="s">
        <v>45</v>
      </c>
      <c r="G449" s="2051"/>
      <c r="H449" s="2005"/>
      <c r="J449" s="2043" t="s">
        <v>45</v>
      </c>
      <c r="K449" s="2051"/>
      <c r="L449" s="2005"/>
      <c r="M449" s="474"/>
      <c r="N449" s="2043" t="s">
        <v>45</v>
      </c>
      <c r="O449" s="2051"/>
      <c r="P449" s="2005"/>
      <c r="R449" s="2043" t="s">
        <v>45</v>
      </c>
      <c r="S449" s="2051"/>
      <c r="T449" s="2005"/>
      <c r="V449" s="2043" t="s">
        <v>45</v>
      </c>
      <c r="W449" s="2051"/>
      <c r="X449" s="2005"/>
      <c r="Z449" s="2043" t="s">
        <v>45</v>
      </c>
      <c r="AA449" s="2051"/>
      <c r="AB449" s="2005"/>
      <c r="AC449" s="474"/>
      <c r="AD449" s="2043" t="s">
        <v>45</v>
      </c>
      <c r="AE449" s="2051"/>
      <c r="AF449" s="2005"/>
      <c r="AH449" s="2043" t="s">
        <v>45</v>
      </c>
      <c r="AI449" s="2051"/>
      <c r="AJ449" s="2005"/>
      <c r="AL449" s="2043" t="s">
        <v>45</v>
      </c>
      <c r="AM449" s="2051"/>
      <c r="AN449" s="2005"/>
      <c r="AP449" s="477"/>
      <c r="AQ449" s="477"/>
    </row>
    <row r="450" spans="1:43" ht="15">
      <c r="B450" s="2043" t="s">
        <v>568</v>
      </c>
      <c r="C450" s="2052"/>
      <c r="D450" s="2007"/>
      <c r="F450" s="2043" t="s">
        <v>568</v>
      </c>
      <c r="G450" s="2052"/>
      <c r="H450" s="2007"/>
      <c r="J450" s="2043" t="s">
        <v>568</v>
      </c>
      <c r="K450" s="2052"/>
      <c r="L450" s="2007"/>
      <c r="M450" s="474"/>
      <c r="N450" s="2043" t="s">
        <v>568</v>
      </c>
      <c r="O450" s="2052"/>
      <c r="P450" s="2007"/>
      <c r="R450" s="2043" t="s">
        <v>568</v>
      </c>
      <c r="S450" s="2052"/>
      <c r="T450" s="2007"/>
      <c r="V450" s="2043" t="s">
        <v>568</v>
      </c>
      <c r="W450" s="2052"/>
      <c r="X450" s="2007"/>
      <c r="Z450" s="2043" t="s">
        <v>568</v>
      </c>
      <c r="AA450" s="2052"/>
      <c r="AB450" s="2007"/>
      <c r="AC450" s="474"/>
      <c r="AD450" s="2043" t="s">
        <v>568</v>
      </c>
      <c r="AE450" s="2052"/>
      <c r="AF450" s="2007"/>
      <c r="AH450" s="2043" t="s">
        <v>568</v>
      </c>
      <c r="AI450" s="2052"/>
      <c r="AJ450" s="2007"/>
      <c r="AL450" s="2043" t="s">
        <v>568</v>
      </c>
      <c r="AM450" s="2052"/>
      <c r="AN450" s="2007"/>
      <c r="AP450" s="477"/>
      <c r="AQ450" s="477"/>
    </row>
    <row r="451" spans="1:43" ht="15.75" thickBot="1">
      <c r="B451" s="2044" t="s">
        <v>569</v>
      </c>
      <c r="C451" s="2053"/>
      <c r="D451" s="2009"/>
      <c r="F451" s="2044" t="s">
        <v>569</v>
      </c>
      <c r="G451" s="2053"/>
      <c r="H451" s="2009"/>
      <c r="J451" s="2044" t="s">
        <v>569</v>
      </c>
      <c r="K451" s="2053"/>
      <c r="L451" s="2009"/>
      <c r="M451" s="474"/>
      <c r="N451" s="2044" t="s">
        <v>569</v>
      </c>
      <c r="O451" s="2053"/>
      <c r="P451" s="2009"/>
      <c r="R451" s="2044" t="s">
        <v>569</v>
      </c>
      <c r="S451" s="2053"/>
      <c r="T451" s="2009"/>
      <c r="V451" s="2044" t="s">
        <v>569</v>
      </c>
      <c r="W451" s="2053"/>
      <c r="X451" s="2009"/>
      <c r="Z451" s="2044" t="s">
        <v>569</v>
      </c>
      <c r="AA451" s="2053"/>
      <c r="AB451" s="2009"/>
      <c r="AC451" s="474"/>
      <c r="AD451" s="2044" t="s">
        <v>569</v>
      </c>
      <c r="AE451" s="2053"/>
      <c r="AF451" s="2009"/>
      <c r="AH451" s="2044" t="s">
        <v>569</v>
      </c>
      <c r="AI451" s="2053"/>
      <c r="AJ451" s="2009"/>
      <c r="AL451" s="2044" t="s">
        <v>569</v>
      </c>
      <c r="AM451" s="2053"/>
      <c r="AN451" s="2009"/>
      <c r="AP451" s="477"/>
      <c r="AQ451" s="477"/>
    </row>
    <row r="452" spans="1:43" ht="15.75" thickBot="1">
      <c r="B452" s="475"/>
      <c r="C452" s="476"/>
      <c r="D452" s="476"/>
      <c r="F452" s="475"/>
      <c r="G452" s="476"/>
      <c r="H452" s="476"/>
      <c r="J452" s="475"/>
      <c r="K452" s="476"/>
      <c r="L452" s="476"/>
      <c r="N452" s="475"/>
      <c r="O452" s="476"/>
      <c r="P452" s="476"/>
      <c r="R452" s="475"/>
      <c r="S452" s="476"/>
      <c r="T452" s="476"/>
      <c r="V452" s="475"/>
      <c r="W452" s="476"/>
      <c r="X452" s="476"/>
      <c r="Z452" s="475"/>
      <c r="AA452" s="476"/>
      <c r="AB452" s="476"/>
      <c r="AD452" s="475"/>
      <c r="AE452" s="476"/>
      <c r="AF452" s="476"/>
      <c r="AH452" s="475"/>
      <c r="AI452" s="476"/>
      <c r="AJ452" s="476"/>
      <c r="AL452" s="475"/>
      <c r="AM452" s="476"/>
      <c r="AN452" s="476"/>
      <c r="AO452" s="477"/>
      <c r="AP452" s="477"/>
      <c r="AQ452" s="477"/>
    </row>
    <row r="453" spans="1:43" s="902" customFormat="1" ht="74.25" customHeight="1" thickBot="1">
      <c r="A453" s="2035"/>
      <c r="B453" s="2039" t="s">
        <v>562</v>
      </c>
      <c r="C453" s="2040" t="s">
        <v>563</v>
      </c>
      <c r="D453" s="2041" t="s">
        <v>620</v>
      </c>
      <c r="F453" s="2039" t="s">
        <v>562</v>
      </c>
      <c r="G453" s="2040" t="s">
        <v>563</v>
      </c>
      <c r="H453" s="2041" t="s">
        <v>620</v>
      </c>
      <c r="J453" s="2039" t="s">
        <v>562</v>
      </c>
      <c r="K453" s="2040" t="s">
        <v>563</v>
      </c>
      <c r="L453" s="2041" t="s">
        <v>620</v>
      </c>
      <c r="M453" s="2035"/>
      <c r="N453" s="2039" t="s">
        <v>562</v>
      </c>
      <c r="O453" s="2040" t="s">
        <v>563</v>
      </c>
      <c r="P453" s="2041" t="s">
        <v>620</v>
      </c>
      <c r="R453" s="2039" t="s">
        <v>562</v>
      </c>
      <c r="S453" s="2040" t="s">
        <v>563</v>
      </c>
      <c r="T453" s="2041" t="s">
        <v>620</v>
      </c>
      <c r="V453" s="2039" t="s">
        <v>562</v>
      </c>
      <c r="W453" s="2040" t="s">
        <v>563</v>
      </c>
      <c r="X453" s="2041" t="s">
        <v>620</v>
      </c>
      <c r="Z453" s="2039" t="s">
        <v>562</v>
      </c>
      <c r="AA453" s="2040" t="s">
        <v>563</v>
      </c>
      <c r="AB453" s="2041" t="s">
        <v>620</v>
      </c>
      <c r="AC453" s="2035"/>
      <c r="AD453" s="2039" t="s">
        <v>562</v>
      </c>
      <c r="AE453" s="2040" t="s">
        <v>563</v>
      </c>
      <c r="AF453" s="2041" t="s">
        <v>620</v>
      </c>
      <c r="AH453" s="2039" t="s">
        <v>562</v>
      </c>
      <c r="AI453" s="2040" t="s">
        <v>563</v>
      </c>
      <c r="AJ453" s="2041" t="s">
        <v>620</v>
      </c>
      <c r="AL453" s="2039" t="s">
        <v>562</v>
      </c>
      <c r="AM453" s="2040" t="s">
        <v>563</v>
      </c>
      <c r="AN453" s="2041" t="s">
        <v>620</v>
      </c>
      <c r="AO453" s="2036"/>
      <c r="AP453" s="2036"/>
      <c r="AQ453" s="2036"/>
    </row>
    <row r="454" spans="1:43" ht="15">
      <c r="B454" s="2019"/>
      <c r="C454" s="2021"/>
      <c r="D454" s="2018"/>
      <c r="F454" s="2019"/>
      <c r="G454" s="2021"/>
      <c r="H454" s="2018"/>
      <c r="J454" s="2019"/>
      <c r="K454" s="2021"/>
      <c r="L454" s="2018"/>
      <c r="N454" s="2019"/>
      <c r="O454" s="2021"/>
      <c r="P454" s="2018"/>
      <c r="R454" s="2019"/>
      <c r="S454" s="2021"/>
      <c r="T454" s="2018"/>
      <c r="V454" s="2013"/>
      <c r="W454" s="2015"/>
      <c r="X454" s="2012"/>
      <c r="Z454" s="2013"/>
      <c r="AA454" s="2015"/>
      <c r="AB454" s="2012"/>
      <c r="AD454" s="2019"/>
      <c r="AE454" s="2021"/>
      <c r="AF454" s="2018"/>
      <c r="AH454" s="2019"/>
      <c r="AI454" s="2021"/>
      <c r="AJ454" s="2018"/>
      <c r="AL454" s="2019"/>
      <c r="AM454" s="2021"/>
      <c r="AN454" s="2018"/>
      <c r="AO454" s="477"/>
      <c r="AP454" s="477"/>
      <c r="AQ454" s="477"/>
    </row>
    <row r="455" spans="1:43" ht="15">
      <c r="B455" s="2019"/>
      <c r="C455" s="2021"/>
      <c r="D455" s="2018"/>
      <c r="F455" s="2019"/>
      <c r="G455" s="2021"/>
      <c r="H455" s="2018"/>
      <c r="J455" s="2019"/>
      <c r="K455" s="2021"/>
      <c r="L455" s="2018"/>
      <c r="N455" s="2019"/>
      <c r="O455" s="2021"/>
      <c r="P455" s="2018"/>
      <c r="R455" s="2019"/>
      <c r="S455" s="2021"/>
      <c r="T455" s="2018"/>
      <c r="V455" s="2019"/>
      <c r="W455" s="2021"/>
      <c r="X455" s="2018"/>
      <c r="Z455" s="2019"/>
      <c r="AA455" s="2021"/>
      <c r="AB455" s="2018"/>
      <c r="AD455" s="2019"/>
      <c r="AE455" s="2021"/>
      <c r="AF455" s="2018"/>
      <c r="AH455" s="2019"/>
      <c r="AI455" s="2021"/>
      <c r="AJ455" s="2018"/>
      <c r="AL455" s="2019"/>
      <c r="AM455" s="2021"/>
      <c r="AN455" s="2018"/>
      <c r="AO455" s="477"/>
      <c r="AP455" s="477"/>
      <c r="AQ455" s="477"/>
    </row>
    <row r="456" spans="1:43" ht="15">
      <c r="B456" s="2019"/>
      <c r="C456" s="2021"/>
      <c r="D456" s="2018"/>
      <c r="F456" s="2019"/>
      <c r="G456" s="2021"/>
      <c r="H456" s="2018"/>
      <c r="J456" s="2019"/>
      <c r="K456" s="2021"/>
      <c r="L456" s="2018"/>
      <c r="N456" s="2019"/>
      <c r="O456" s="2021"/>
      <c r="P456" s="2018"/>
      <c r="R456" s="2019"/>
      <c r="S456" s="2021"/>
      <c r="T456" s="2018"/>
      <c r="V456" s="2019"/>
      <c r="W456" s="2021"/>
      <c r="X456" s="2018"/>
      <c r="Z456" s="2019"/>
      <c r="AA456" s="2021"/>
      <c r="AB456" s="2018"/>
      <c r="AD456" s="2019"/>
      <c r="AE456" s="2021"/>
      <c r="AF456" s="2018"/>
      <c r="AH456" s="2019"/>
      <c r="AI456" s="2021"/>
      <c r="AJ456" s="2018"/>
      <c r="AL456" s="2019"/>
      <c r="AM456" s="2021"/>
      <c r="AN456" s="2018"/>
      <c r="AO456" s="477"/>
      <c r="AP456" s="477"/>
      <c r="AQ456" s="477"/>
    </row>
    <row r="457" spans="1:43" ht="15">
      <c r="B457" s="2019"/>
      <c r="C457" s="2021"/>
      <c r="D457" s="2018"/>
      <c r="F457" s="2019"/>
      <c r="G457" s="2021"/>
      <c r="H457" s="2018"/>
      <c r="J457" s="2019"/>
      <c r="K457" s="2021"/>
      <c r="L457" s="2018"/>
      <c r="N457" s="2019"/>
      <c r="O457" s="2021"/>
      <c r="P457" s="2018"/>
      <c r="R457" s="2019"/>
      <c r="S457" s="2021"/>
      <c r="T457" s="2018"/>
      <c r="V457" s="2019"/>
      <c r="W457" s="2021"/>
      <c r="X457" s="2018"/>
      <c r="Z457" s="2019"/>
      <c r="AA457" s="2021"/>
      <c r="AB457" s="2018"/>
      <c r="AD457" s="2019"/>
      <c r="AE457" s="2021"/>
      <c r="AF457" s="2018"/>
      <c r="AH457" s="2019"/>
      <c r="AI457" s="2021"/>
      <c r="AJ457" s="2018"/>
      <c r="AL457" s="2019"/>
      <c r="AM457" s="2021"/>
      <c r="AN457" s="2018"/>
      <c r="AO457" s="477"/>
      <c r="AP457" s="477"/>
      <c r="AQ457" s="477"/>
    </row>
    <row r="458" spans="1:43" ht="15">
      <c r="B458" s="2019"/>
      <c r="C458" s="2021"/>
      <c r="D458" s="2018"/>
      <c r="F458" s="2019"/>
      <c r="G458" s="2021"/>
      <c r="H458" s="2018"/>
      <c r="J458" s="2019"/>
      <c r="K458" s="2021"/>
      <c r="L458" s="2018"/>
      <c r="N458" s="2019"/>
      <c r="O458" s="2021"/>
      <c r="P458" s="2018"/>
      <c r="R458" s="2019"/>
      <c r="S458" s="2021"/>
      <c r="T458" s="2018"/>
      <c r="V458" s="2019"/>
      <c r="W458" s="2021"/>
      <c r="X458" s="2018"/>
      <c r="Z458" s="2019"/>
      <c r="AA458" s="2021"/>
      <c r="AB458" s="2018"/>
      <c r="AD458" s="2019"/>
      <c r="AE458" s="2021"/>
      <c r="AF458" s="2018"/>
      <c r="AH458" s="2019"/>
      <c r="AI458" s="2021"/>
      <c r="AJ458" s="2018"/>
      <c r="AL458" s="2019"/>
      <c r="AM458" s="2021"/>
      <c r="AN458" s="2018"/>
      <c r="AO458" s="477"/>
      <c r="AP458" s="477"/>
      <c r="AQ458" s="477"/>
    </row>
    <row r="459" spans="1:43" ht="15">
      <c r="B459" s="2019"/>
      <c r="C459" s="2021"/>
      <c r="D459" s="2018"/>
      <c r="F459" s="2019"/>
      <c r="G459" s="2021"/>
      <c r="H459" s="2018"/>
      <c r="J459" s="2019"/>
      <c r="K459" s="2021"/>
      <c r="L459" s="2018"/>
      <c r="N459" s="2019"/>
      <c r="O459" s="2021"/>
      <c r="P459" s="2018"/>
      <c r="R459" s="2019"/>
      <c r="S459" s="2021"/>
      <c r="T459" s="2018"/>
      <c r="V459" s="2019"/>
      <c r="W459" s="2021"/>
      <c r="X459" s="2018"/>
      <c r="Z459" s="2019"/>
      <c r="AA459" s="2021"/>
      <c r="AB459" s="2018"/>
      <c r="AD459" s="2019"/>
      <c r="AE459" s="2021"/>
      <c r="AF459" s="2018"/>
      <c r="AH459" s="2019"/>
      <c r="AI459" s="2021"/>
      <c r="AJ459" s="2018"/>
      <c r="AL459" s="2019"/>
      <c r="AM459" s="2021"/>
      <c r="AN459" s="2018"/>
      <c r="AO459" s="477"/>
      <c r="AP459" s="477"/>
      <c r="AQ459" s="477"/>
    </row>
    <row r="460" spans="1:43" ht="15">
      <c r="B460" s="2019"/>
      <c r="C460" s="2021"/>
      <c r="D460" s="2018"/>
      <c r="F460" s="2019"/>
      <c r="G460" s="2021"/>
      <c r="H460" s="2018"/>
      <c r="J460" s="2019"/>
      <c r="K460" s="2021"/>
      <c r="L460" s="2018"/>
      <c r="N460" s="2019"/>
      <c r="O460" s="2021"/>
      <c r="P460" s="2018"/>
      <c r="R460" s="2019"/>
      <c r="S460" s="2021"/>
      <c r="T460" s="2018"/>
      <c r="V460" s="2019"/>
      <c r="W460" s="2021"/>
      <c r="X460" s="2018"/>
      <c r="Z460" s="2019"/>
      <c r="AA460" s="2021"/>
      <c r="AB460" s="2018"/>
      <c r="AD460" s="2019"/>
      <c r="AE460" s="2021"/>
      <c r="AF460" s="2018"/>
      <c r="AH460" s="2019"/>
      <c r="AI460" s="2021"/>
      <c r="AJ460" s="2018"/>
      <c r="AL460" s="2019"/>
      <c r="AM460" s="2021"/>
      <c r="AN460" s="2018"/>
      <c r="AO460" s="477"/>
      <c r="AP460" s="477"/>
      <c r="AQ460" s="477"/>
    </row>
    <row r="461" spans="1:43" ht="15">
      <c r="B461" s="2019"/>
      <c r="C461" s="2021"/>
      <c r="D461" s="2018"/>
      <c r="F461" s="2019"/>
      <c r="G461" s="2021"/>
      <c r="H461" s="2018"/>
      <c r="J461" s="2019"/>
      <c r="K461" s="2021"/>
      <c r="L461" s="2018"/>
      <c r="N461" s="2019"/>
      <c r="O461" s="2021"/>
      <c r="P461" s="2018"/>
      <c r="R461" s="2019"/>
      <c r="S461" s="2021"/>
      <c r="T461" s="2018"/>
      <c r="V461" s="2019"/>
      <c r="W461" s="2021"/>
      <c r="X461" s="2018"/>
      <c r="Z461" s="2019"/>
      <c r="AA461" s="2021"/>
      <c r="AB461" s="2018"/>
      <c r="AD461" s="2019"/>
      <c r="AE461" s="2021"/>
      <c r="AF461" s="2018"/>
      <c r="AH461" s="2019"/>
      <c r="AI461" s="2021"/>
      <c r="AJ461" s="2018"/>
      <c r="AL461" s="2019"/>
      <c r="AM461" s="2021"/>
      <c r="AN461" s="2018"/>
      <c r="AO461" s="477"/>
      <c r="AP461" s="477"/>
      <c r="AQ461" s="477"/>
    </row>
    <row r="462" spans="1:43" ht="15">
      <c r="B462" s="2019"/>
      <c r="C462" s="2021"/>
      <c r="D462" s="2018"/>
      <c r="F462" s="2019"/>
      <c r="G462" s="2021"/>
      <c r="H462" s="2018"/>
      <c r="J462" s="2019"/>
      <c r="K462" s="2021"/>
      <c r="L462" s="2018"/>
      <c r="N462" s="2019"/>
      <c r="O462" s="2021"/>
      <c r="P462" s="2018"/>
      <c r="R462" s="2019"/>
      <c r="S462" s="2021"/>
      <c r="T462" s="2018"/>
      <c r="V462" s="2019"/>
      <c r="W462" s="2021"/>
      <c r="X462" s="2018"/>
      <c r="Z462" s="2019"/>
      <c r="AA462" s="2021"/>
      <c r="AB462" s="2018"/>
      <c r="AD462" s="2019"/>
      <c r="AE462" s="2021"/>
      <c r="AF462" s="2018"/>
      <c r="AH462" s="2019"/>
      <c r="AI462" s="2021"/>
      <c r="AJ462" s="2018"/>
      <c r="AL462" s="2019"/>
      <c r="AM462" s="2021"/>
      <c r="AN462" s="2018"/>
      <c r="AO462" s="477"/>
      <c r="AP462" s="477"/>
      <c r="AQ462" s="477"/>
    </row>
    <row r="463" spans="1:43" ht="15">
      <c r="B463" s="2019"/>
      <c r="C463" s="2021"/>
      <c r="D463" s="2018"/>
      <c r="F463" s="2019"/>
      <c r="G463" s="2021"/>
      <c r="H463" s="2018"/>
      <c r="J463" s="2019"/>
      <c r="K463" s="2021"/>
      <c r="L463" s="2018"/>
      <c r="N463" s="2019"/>
      <c r="O463" s="2021"/>
      <c r="P463" s="2018"/>
      <c r="R463" s="2019"/>
      <c r="S463" s="2021"/>
      <c r="T463" s="2018"/>
      <c r="V463" s="2019"/>
      <c r="W463" s="2021"/>
      <c r="X463" s="2018"/>
      <c r="Z463" s="2019"/>
      <c r="AA463" s="2021"/>
      <c r="AB463" s="2018"/>
      <c r="AD463" s="2019"/>
      <c r="AE463" s="2021"/>
      <c r="AF463" s="2018"/>
      <c r="AH463" s="2019"/>
      <c r="AI463" s="2021"/>
      <c r="AJ463" s="2018"/>
      <c r="AL463" s="2019"/>
      <c r="AM463" s="2021"/>
      <c r="AN463" s="2018"/>
      <c r="AO463" s="477"/>
      <c r="AP463" s="477"/>
      <c r="AQ463" s="477"/>
    </row>
    <row r="464" spans="1:43" ht="15">
      <c r="B464" s="2019"/>
      <c r="C464" s="2021"/>
      <c r="D464" s="2018"/>
      <c r="F464" s="2019"/>
      <c r="G464" s="2021"/>
      <c r="H464" s="2018"/>
      <c r="J464" s="2019"/>
      <c r="K464" s="2021"/>
      <c r="L464" s="2018"/>
      <c r="N464" s="2019"/>
      <c r="O464" s="2021"/>
      <c r="P464" s="2018"/>
      <c r="R464" s="2019"/>
      <c r="S464" s="2021"/>
      <c r="T464" s="2018"/>
      <c r="V464" s="2019"/>
      <c r="W464" s="2021"/>
      <c r="X464" s="2018"/>
      <c r="Z464" s="2019"/>
      <c r="AA464" s="2021"/>
      <c r="AB464" s="2018"/>
      <c r="AD464" s="2019"/>
      <c r="AE464" s="2021"/>
      <c r="AF464" s="2018"/>
      <c r="AH464" s="2019"/>
      <c r="AI464" s="2021"/>
      <c r="AJ464" s="2018"/>
      <c r="AL464" s="2019"/>
      <c r="AM464" s="2021"/>
      <c r="AN464" s="2018"/>
      <c r="AO464" s="477"/>
      <c r="AP464" s="477"/>
      <c r="AQ464" s="477"/>
    </row>
    <row r="465" spans="2:43" ht="15">
      <c r="B465" s="2019"/>
      <c r="C465" s="2021"/>
      <c r="D465" s="2018"/>
      <c r="F465" s="2019"/>
      <c r="G465" s="2021"/>
      <c r="H465" s="2018"/>
      <c r="J465" s="2019"/>
      <c r="K465" s="2021"/>
      <c r="L465" s="2018"/>
      <c r="N465" s="2019"/>
      <c r="O465" s="2021"/>
      <c r="P465" s="2018"/>
      <c r="R465" s="2019"/>
      <c r="S465" s="2021"/>
      <c r="T465" s="2018"/>
      <c r="V465" s="2019"/>
      <c r="W465" s="2021"/>
      <c r="X465" s="2018"/>
      <c r="Z465" s="2019"/>
      <c r="AA465" s="2021"/>
      <c r="AB465" s="2018"/>
      <c r="AD465" s="2019"/>
      <c r="AE465" s="2021"/>
      <c r="AF465" s="2018"/>
      <c r="AH465" s="2019"/>
      <c r="AI465" s="2021"/>
      <c r="AJ465" s="2018"/>
      <c r="AL465" s="2019"/>
      <c r="AM465" s="2021"/>
      <c r="AN465" s="2018"/>
      <c r="AO465" s="477"/>
      <c r="AP465" s="477"/>
      <c r="AQ465" s="477"/>
    </row>
    <row r="466" spans="2:43" ht="15">
      <c r="B466" s="2019"/>
      <c r="C466" s="2021"/>
      <c r="D466" s="2018"/>
      <c r="F466" s="2019"/>
      <c r="G466" s="2021"/>
      <c r="H466" s="2018"/>
      <c r="J466" s="2019"/>
      <c r="K466" s="2021"/>
      <c r="L466" s="2018"/>
      <c r="N466" s="2019"/>
      <c r="O466" s="2021"/>
      <c r="P466" s="2018"/>
      <c r="R466" s="2019"/>
      <c r="S466" s="2021"/>
      <c r="T466" s="2018"/>
      <c r="V466" s="2019"/>
      <c r="W466" s="2021"/>
      <c r="X466" s="2018"/>
      <c r="Z466" s="2019"/>
      <c r="AA466" s="2021"/>
      <c r="AB466" s="2018"/>
      <c r="AD466" s="2019"/>
      <c r="AE466" s="2021"/>
      <c r="AF466" s="2018"/>
      <c r="AH466" s="2019"/>
      <c r="AI466" s="2021"/>
      <c r="AJ466" s="2018"/>
      <c r="AL466" s="2019"/>
      <c r="AM466" s="2021"/>
      <c r="AN466" s="2018"/>
      <c r="AO466" s="477"/>
      <c r="AP466" s="477"/>
      <c r="AQ466" s="477"/>
    </row>
    <row r="467" spans="2:43" ht="15">
      <c r="B467" s="2019"/>
      <c r="C467" s="2021"/>
      <c r="D467" s="2018"/>
      <c r="F467" s="2019"/>
      <c r="G467" s="2021"/>
      <c r="H467" s="2018"/>
      <c r="J467" s="2019"/>
      <c r="K467" s="2021"/>
      <c r="L467" s="2018"/>
      <c r="N467" s="2019"/>
      <c r="O467" s="2021"/>
      <c r="P467" s="2018"/>
      <c r="R467" s="2019"/>
      <c r="S467" s="2021"/>
      <c r="T467" s="2018"/>
      <c r="V467" s="2019"/>
      <c r="W467" s="2021"/>
      <c r="X467" s="2018"/>
      <c r="Z467" s="2019"/>
      <c r="AA467" s="2021"/>
      <c r="AB467" s="2018"/>
      <c r="AD467" s="2019"/>
      <c r="AE467" s="2021"/>
      <c r="AF467" s="2018"/>
      <c r="AH467" s="2019"/>
      <c r="AI467" s="2021"/>
      <c r="AJ467" s="2018"/>
      <c r="AL467" s="2019"/>
      <c r="AM467" s="2021"/>
      <c r="AN467" s="2018"/>
      <c r="AO467" s="477"/>
      <c r="AP467" s="477"/>
      <c r="AQ467" s="477"/>
    </row>
    <row r="468" spans="2:43" ht="15">
      <c r="B468" s="2019"/>
      <c r="C468" s="2021"/>
      <c r="D468" s="2018"/>
      <c r="F468" s="2019"/>
      <c r="G468" s="2021"/>
      <c r="H468" s="2018"/>
      <c r="J468" s="2019"/>
      <c r="K468" s="2021"/>
      <c r="L468" s="2018"/>
      <c r="N468" s="2019"/>
      <c r="O468" s="2021"/>
      <c r="P468" s="2018"/>
      <c r="R468" s="2019"/>
      <c r="S468" s="2021"/>
      <c r="T468" s="2018"/>
      <c r="V468" s="2019"/>
      <c r="W468" s="2021"/>
      <c r="X468" s="2018"/>
      <c r="Z468" s="2019"/>
      <c r="AA468" s="2021"/>
      <c r="AB468" s="2018"/>
      <c r="AD468" s="2019"/>
      <c r="AE468" s="2021"/>
      <c r="AF468" s="2018"/>
      <c r="AH468" s="2019"/>
      <c r="AI468" s="2021"/>
      <c r="AJ468" s="2018"/>
      <c r="AL468" s="2019"/>
      <c r="AM468" s="2021"/>
      <c r="AN468" s="2018"/>
      <c r="AO468" s="477"/>
      <c r="AP468" s="477"/>
      <c r="AQ468" s="477"/>
    </row>
    <row r="469" spans="2:43" ht="15">
      <c r="B469" s="2019"/>
      <c r="C469" s="2021"/>
      <c r="D469" s="2018"/>
      <c r="F469" s="2019"/>
      <c r="G469" s="2021"/>
      <c r="H469" s="2018"/>
      <c r="J469" s="2019"/>
      <c r="K469" s="2021"/>
      <c r="L469" s="2018"/>
      <c r="N469" s="2019"/>
      <c r="O469" s="2021"/>
      <c r="P469" s="2018"/>
      <c r="R469" s="2019"/>
      <c r="S469" s="2021"/>
      <c r="T469" s="2018"/>
      <c r="V469" s="2019"/>
      <c r="W469" s="2021"/>
      <c r="X469" s="2018"/>
      <c r="Z469" s="2019"/>
      <c r="AA469" s="2021"/>
      <c r="AB469" s="2018"/>
      <c r="AD469" s="2019"/>
      <c r="AE469" s="2021"/>
      <c r="AF469" s="2018"/>
      <c r="AH469" s="2019"/>
      <c r="AI469" s="2021"/>
      <c r="AJ469" s="2018"/>
      <c r="AL469" s="2019"/>
      <c r="AM469" s="2021"/>
      <c r="AN469" s="2018"/>
      <c r="AO469" s="477"/>
      <c r="AP469" s="477"/>
      <c r="AQ469" s="477"/>
    </row>
    <row r="470" spans="2:43" ht="15">
      <c r="B470" s="2019"/>
      <c r="C470" s="2021"/>
      <c r="D470" s="2018"/>
      <c r="F470" s="2019"/>
      <c r="G470" s="2021"/>
      <c r="H470" s="2018"/>
      <c r="J470" s="2019"/>
      <c r="K470" s="2021"/>
      <c r="L470" s="2018"/>
      <c r="N470" s="2019"/>
      <c r="O470" s="2021"/>
      <c r="P470" s="2018"/>
      <c r="R470" s="2019"/>
      <c r="S470" s="2021"/>
      <c r="T470" s="2018"/>
      <c r="V470" s="2019"/>
      <c r="W470" s="2021"/>
      <c r="X470" s="2018"/>
      <c r="Z470" s="2019"/>
      <c r="AA470" s="2021"/>
      <c r="AB470" s="2018"/>
      <c r="AD470" s="2019"/>
      <c r="AE470" s="2021"/>
      <c r="AF470" s="2018"/>
      <c r="AH470" s="2019"/>
      <c r="AI470" s="2021"/>
      <c r="AJ470" s="2018"/>
      <c r="AL470" s="2019"/>
      <c r="AM470" s="2021"/>
      <c r="AN470" s="2018"/>
      <c r="AO470" s="477"/>
      <c r="AP470" s="477"/>
      <c r="AQ470" s="477"/>
    </row>
    <row r="471" spans="2:43" ht="15">
      <c r="B471" s="2019"/>
      <c r="C471" s="2021"/>
      <c r="D471" s="2018"/>
      <c r="F471" s="2019"/>
      <c r="G471" s="2021"/>
      <c r="H471" s="2018"/>
      <c r="J471" s="2019"/>
      <c r="K471" s="2021"/>
      <c r="L471" s="2018"/>
      <c r="N471" s="2019"/>
      <c r="O471" s="2021"/>
      <c r="P471" s="2018"/>
      <c r="R471" s="2019"/>
      <c r="S471" s="2021"/>
      <c r="T471" s="2018"/>
      <c r="V471" s="2019"/>
      <c r="W471" s="2021"/>
      <c r="X471" s="2018"/>
      <c r="Z471" s="2019"/>
      <c r="AA471" s="2021"/>
      <c r="AB471" s="2018"/>
      <c r="AD471" s="2019"/>
      <c r="AE471" s="2021"/>
      <c r="AF471" s="2018"/>
      <c r="AH471" s="2019"/>
      <c r="AI471" s="2021"/>
      <c r="AJ471" s="2018"/>
      <c r="AL471" s="2019"/>
      <c r="AM471" s="2021"/>
      <c r="AN471" s="2018"/>
      <c r="AO471" s="477"/>
      <c r="AP471" s="477"/>
      <c r="AQ471" s="477"/>
    </row>
    <row r="472" spans="2:43" ht="15">
      <c r="B472" s="2019"/>
      <c r="C472" s="2021"/>
      <c r="D472" s="2018"/>
      <c r="F472" s="2019"/>
      <c r="G472" s="2021"/>
      <c r="H472" s="2018"/>
      <c r="J472" s="2019"/>
      <c r="K472" s="2021"/>
      <c r="L472" s="2018"/>
      <c r="N472" s="2019"/>
      <c r="O472" s="2021"/>
      <c r="P472" s="2018"/>
      <c r="R472" s="2019"/>
      <c r="S472" s="2021"/>
      <c r="T472" s="2018"/>
      <c r="V472" s="2019"/>
      <c r="W472" s="2021"/>
      <c r="X472" s="2018"/>
      <c r="Z472" s="2019"/>
      <c r="AA472" s="2021"/>
      <c r="AB472" s="2018"/>
      <c r="AD472" s="2019"/>
      <c r="AE472" s="2021"/>
      <c r="AF472" s="2018"/>
      <c r="AH472" s="2019"/>
      <c r="AI472" s="2021"/>
      <c r="AJ472" s="2018"/>
      <c r="AL472" s="2019"/>
      <c r="AM472" s="2021"/>
      <c r="AN472" s="2018"/>
      <c r="AO472" s="477"/>
      <c r="AP472" s="477"/>
      <c r="AQ472" s="477"/>
    </row>
    <row r="473" spans="2:43" ht="15">
      <c r="B473" s="2019"/>
      <c r="C473" s="2021"/>
      <c r="D473" s="2018"/>
      <c r="F473" s="2019"/>
      <c r="G473" s="2021"/>
      <c r="H473" s="2018"/>
      <c r="J473" s="2019"/>
      <c r="K473" s="2021"/>
      <c r="L473" s="2018"/>
      <c r="N473" s="2019"/>
      <c r="O473" s="2021"/>
      <c r="P473" s="2018"/>
      <c r="R473" s="2019"/>
      <c r="S473" s="2021"/>
      <c r="T473" s="2018"/>
      <c r="V473" s="2019"/>
      <c r="W473" s="2021"/>
      <c r="X473" s="2018"/>
      <c r="Z473" s="2019"/>
      <c r="AA473" s="2021"/>
      <c r="AB473" s="2018"/>
      <c r="AD473" s="2019"/>
      <c r="AE473" s="2021"/>
      <c r="AF473" s="2018"/>
      <c r="AH473" s="2019"/>
      <c r="AI473" s="2021"/>
      <c r="AJ473" s="2018"/>
      <c r="AL473" s="2019"/>
      <c r="AM473" s="2021"/>
      <c r="AN473" s="2018"/>
      <c r="AO473" s="477"/>
      <c r="AP473" s="477"/>
      <c r="AQ473" s="477"/>
    </row>
    <row r="474" spans="2:43" ht="15">
      <c r="B474" s="2019"/>
      <c r="C474" s="2021"/>
      <c r="D474" s="2018"/>
      <c r="F474" s="2019"/>
      <c r="G474" s="2021"/>
      <c r="H474" s="2018"/>
      <c r="J474" s="2019"/>
      <c r="K474" s="2021"/>
      <c r="L474" s="2018"/>
      <c r="N474" s="2019"/>
      <c r="O474" s="2021"/>
      <c r="P474" s="2018"/>
      <c r="R474" s="2019"/>
      <c r="S474" s="2021"/>
      <c r="T474" s="2018"/>
      <c r="V474" s="2019"/>
      <c r="W474" s="2021"/>
      <c r="X474" s="2018"/>
      <c r="Z474" s="2019"/>
      <c r="AA474" s="2021"/>
      <c r="AB474" s="2018"/>
      <c r="AD474" s="2019"/>
      <c r="AE474" s="2021"/>
      <c r="AF474" s="2018"/>
      <c r="AH474" s="2019"/>
      <c r="AI474" s="2021"/>
      <c r="AJ474" s="2018"/>
      <c r="AL474" s="2019"/>
      <c r="AM474" s="2021"/>
      <c r="AN474" s="2018"/>
      <c r="AO474" s="477"/>
      <c r="AP474" s="477"/>
      <c r="AQ474" s="477"/>
    </row>
    <row r="475" spans="2:43" ht="15">
      <c r="B475" s="2019"/>
      <c r="C475" s="2021"/>
      <c r="D475" s="2018"/>
      <c r="F475" s="2019"/>
      <c r="G475" s="2021"/>
      <c r="H475" s="2018"/>
      <c r="J475" s="2019"/>
      <c r="K475" s="2021"/>
      <c r="L475" s="2018"/>
      <c r="N475" s="2019"/>
      <c r="O475" s="2021"/>
      <c r="P475" s="2018"/>
      <c r="R475" s="2019"/>
      <c r="S475" s="2021"/>
      <c r="T475" s="2018"/>
      <c r="V475" s="2019"/>
      <c r="W475" s="2021"/>
      <c r="X475" s="2018"/>
      <c r="Z475" s="2019"/>
      <c r="AA475" s="2021"/>
      <c r="AB475" s="2018"/>
      <c r="AD475" s="2019"/>
      <c r="AE475" s="2021"/>
      <c r="AF475" s="2018"/>
      <c r="AH475" s="2019"/>
      <c r="AI475" s="2021"/>
      <c r="AJ475" s="2018"/>
      <c r="AL475" s="2019"/>
      <c r="AM475" s="2021"/>
      <c r="AN475" s="2018"/>
      <c r="AO475" s="477"/>
      <c r="AP475" s="477"/>
      <c r="AQ475" s="477"/>
    </row>
    <row r="476" spans="2:43" ht="15">
      <c r="B476" s="2019"/>
      <c r="C476" s="2021"/>
      <c r="D476" s="2018"/>
      <c r="F476" s="2019"/>
      <c r="G476" s="2021"/>
      <c r="H476" s="2018"/>
      <c r="J476" s="2019"/>
      <c r="K476" s="2021"/>
      <c r="L476" s="2018"/>
      <c r="N476" s="2019"/>
      <c r="O476" s="2021"/>
      <c r="P476" s="2018"/>
      <c r="R476" s="2019"/>
      <c r="S476" s="2021"/>
      <c r="T476" s="2018"/>
      <c r="V476" s="2019"/>
      <c r="W476" s="2021"/>
      <c r="X476" s="2018"/>
      <c r="Z476" s="2019"/>
      <c r="AA476" s="2021"/>
      <c r="AB476" s="2018"/>
      <c r="AD476" s="2019"/>
      <c r="AE476" s="2021"/>
      <c r="AF476" s="2018"/>
      <c r="AH476" s="2019"/>
      <c r="AI476" s="2021"/>
      <c r="AJ476" s="2018"/>
      <c r="AL476" s="2019"/>
      <c r="AM476" s="2021"/>
      <c r="AN476" s="2018"/>
      <c r="AO476" s="477"/>
      <c r="AP476" s="477"/>
      <c r="AQ476" s="477"/>
    </row>
    <row r="477" spans="2:43" ht="15">
      <c r="B477" s="2019"/>
      <c r="C477" s="2021"/>
      <c r="D477" s="2018"/>
      <c r="F477" s="2019"/>
      <c r="G477" s="2021"/>
      <c r="H477" s="2018"/>
      <c r="J477" s="2019"/>
      <c r="K477" s="2021"/>
      <c r="L477" s="2018"/>
      <c r="N477" s="2019"/>
      <c r="O477" s="2021"/>
      <c r="P477" s="2018"/>
      <c r="R477" s="2019"/>
      <c r="S477" s="2021"/>
      <c r="T477" s="2018"/>
      <c r="V477" s="2019"/>
      <c r="W477" s="2021"/>
      <c r="X477" s="2018"/>
      <c r="Z477" s="2019"/>
      <c r="AA477" s="2021"/>
      <c r="AB477" s="2018"/>
      <c r="AD477" s="2019"/>
      <c r="AE477" s="2021"/>
      <c r="AF477" s="2018"/>
      <c r="AH477" s="2019"/>
      <c r="AI477" s="2021"/>
      <c r="AJ477" s="2018"/>
      <c r="AL477" s="2019"/>
      <c r="AM477" s="2021"/>
      <c r="AN477" s="2018"/>
      <c r="AO477" s="477"/>
      <c r="AP477" s="477"/>
      <c r="AQ477" s="477"/>
    </row>
    <row r="478" spans="2:43" ht="15">
      <c r="B478" s="2019"/>
      <c r="C478" s="2021"/>
      <c r="D478" s="2018"/>
      <c r="F478" s="2019"/>
      <c r="G478" s="2021"/>
      <c r="H478" s="2018"/>
      <c r="J478" s="2019"/>
      <c r="K478" s="2021"/>
      <c r="L478" s="2018"/>
      <c r="N478" s="2019"/>
      <c r="O478" s="2021"/>
      <c r="P478" s="2018"/>
      <c r="R478" s="2019"/>
      <c r="S478" s="2021"/>
      <c r="T478" s="2018"/>
      <c r="V478" s="2019"/>
      <c r="W478" s="2021"/>
      <c r="X478" s="2018"/>
      <c r="Z478" s="2019"/>
      <c r="AA478" s="2021"/>
      <c r="AB478" s="2018"/>
      <c r="AD478" s="2019"/>
      <c r="AE478" s="2021"/>
      <c r="AF478" s="2018"/>
      <c r="AH478" s="2019"/>
      <c r="AI478" s="2021"/>
      <c r="AJ478" s="2018"/>
      <c r="AL478" s="2019"/>
      <c r="AM478" s="2021"/>
      <c r="AN478" s="2018"/>
      <c r="AO478" s="477"/>
      <c r="AP478" s="477"/>
      <c r="AQ478" s="477"/>
    </row>
    <row r="479" spans="2:43" ht="15">
      <c r="B479" s="2019"/>
      <c r="C479" s="2021"/>
      <c r="D479" s="2018"/>
      <c r="F479" s="2019"/>
      <c r="G479" s="2021"/>
      <c r="H479" s="2018"/>
      <c r="J479" s="2019"/>
      <c r="K479" s="2021"/>
      <c r="L479" s="2018"/>
      <c r="N479" s="2019"/>
      <c r="O479" s="2021"/>
      <c r="P479" s="2018"/>
      <c r="R479" s="2019"/>
      <c r="S479" s="2021"/>
      <c r="T479" s="2018"/>
      <c r="V479" s="2019"/>
      <c r="W479" s="2021"/>
      <c r="X479" s="2018"/>
      <c r="Z479" s="2019"/>
      <c r="AA479" s="2021"/>
      <c r="AB479" s="2018"/>
      <c r="AD479" s="2019"/>
      <c r="AE479" s="2021"/>
      <c r="AF479" s="2018"/>
      <c r="AH479" s="2019"/>
      <c r="AI479" s="2021"/>
      <c r="AJ479" s="2018"/>
      <c r="AL479" s="2019"/>
      <c r="AM479" s="2021"/>
      <c r="AN479" s="2018"/>
      <c r="AO479" s="477"/>
      <c r="AP479" s="477"/>
      <c r="AQ479" s="477"/>
    </row>
    <row r="480" spans="2:43" ht="15">
      <c r="B480" s="2019"/>
      <c r="C480" s="2021"/>
      <c r="D480" s="2018"/>
      <c r="F480" s="2019"/>
      <c r="G480" s="2021"/>
      <c r="H480" s="2018"/>
      <c r="J480" s="2019"/>
      <c r="K480" s="2021"/>
      <c r="L480" s="2018"/>
      <c r="N480" s="2019"/>
      <c r="O480" s="2021"/>
      <c r="P480" s="2018"/>
      <c r="R480" s="2019"/>
      <c r="S480" s="2021"/>
      <c r="T480" s="2018"/>
      <c r="V480" s="2019"/>
      <c r="W480" s="2021"/>
      <c r="X480" s="2018"/>
      <c r="Z480" s="2019"/>
      <c r="AA480" s="2021"/>
      <c r="AB480" s="2018"/>
      <c r="AD480" s="2019"/>
      <c r="AE480" s="2021"/>
      <c r="AF480" s="2018"/>
      <c r="AH480" s="2019"/>
      <c r="AI480" s="2021"/>
      <c r="AJ480" s="2018"/>
      <c r="AL480" s="2019"/>
      <c r="AM480" s="2021"/>
      <c r="AN480" s="2018"/>
      <c r="AO480" s="477"/>
      <c r="AP480" s="477"/>
      <c r="AQ480" s="477"/>
    </row>
    <row r="481" spans="2:43" ht="15">
      <c r="B481" s="2019"/>
      <c r="C481" s="2021"/>
      <c r="D481" s="2018"/>
      <c r="F481" s="2019"/>
      <c r="G481" s="2021"/>
      <c r="H481" s="2018"/>
      <c r="J481" s="2019"/>
      <c r="K481" s="2021"/>
      <c r="L481" s="2018"/>
      <c r="N481" s="2019"/>
      <c r="O481" s="2021"/>
      <c r="P481" s="2018"/>
      <c r="R481" s="2019"/>
      <c r="S481" s="2021"/>
      <c r="T481" s="2018"/>
      <c r="V481" s="2019"/>
      <c r="W481" s="2021"/>
      <c r="X481" s="2018"/>
      <c r="Z481" s="2019"/>
      <c r="AA481" s="2021"/>
      <c r="AB481" s="2018"/>
      <c r="AD481" s="2019"/>
      <c r="AE481" s="2021"/>
      <c r="AF481" s="2018"/>
      <c r="AH481" s="2019"/>
      <c r="AI481" s="2021"/>
      <c r="AJ481" s="2018"/>
      <c r="AL481" s="2019"/>
      <c r="AM481" s="2021"/>
      <c r="AN481" s="2018"/>
      <c r="AO481" s="477"/>
      <c r="AP481" s="477"/>
      <c r="AQ481" s="477"/>
    </row>
    <row r="482" spans="2:43" ht="15">
      <c r="B482" s="2019"/>
      <c r="C482" s="2021"/>
      <c r="D482" s="2018"/>
      <c r="F482" s="2019"/>
      <c r="G482" s="2021"/>
      <c r="H482" s="2018"/>
      <c r="J482" s="2019"/>
      <c r="K482" s="2021"/>
      <c r="L482" s="2018"/>
      <c r="N482" s="2019"/>
      <c r="O482" s="2021"/>
      <c r="P482" s="2018"/>
      <c r="R482" s="2019"/>
      <c r="S482" s="2021"/>
      <c r="T482" s="2018"/>
      <c r="V482" s="2019"/>
      <c r="W482" s="2021"/>
      <c r="X482" s="2018"/>
      <c r="Z482" s="2019"/>
      <c r="AA482" s="2021"/>
      <c r="AB482" s="2018"/>
      <c r="AD482" s="2019"/>
      <c r="AE482" s="2021"/>
      <c r="AF482" s="2018"/>
      <c r="AH482" s="2019"/>
      <c r="AI482" s="2021"/>
      <c r="AJ482" s="2018"/>
      <c r="AL482" s="2019"/>
      <c r="AM482" s="2021"/>
      <c r="AN482" s="2018"/>
      <c r="AO482" s="477"/>
      <c r="AP482" s="477"/>
      <c r="AQ482" s="477"/>
    </row>
    <row r="483" spans="2:43" ht="15">
      <c r="B483" s="2019"/>
      <c r="C483" s="2021"/>
      <c r="D483" s="2018"/>
      <c r="F483" s="2019"/>
      <c r="G483" s="2021"/>
      <c r="H483" s="2018"/>
      <c r="J483" s="2019"/>
      <c r="K483" s="2021"/>
      <c r="L483" s="2018"/>
      <c r="N483" s="2019"/>
      <c r="O483" s="2021"/>
      <c r="P483" s="2018"/>
      <c r="R483" s="2019"/>
      <c r="S483" s="2021"/>
      <c r="T483" s="2018"/>
      <c r="V483" s="2019"/>
      <c r="W483" s="2021"/>
      <c r="X483" s="2018"/>
      <c r="Z483" s="2019"/>
      <c r="AA483" s="2021"/>
      <c r="AB483" s="2018"/>
      <c r="AD483" s="2019"/>
      <c r="AE483" s="2021"/>
      <c r="AF483" s="2018"/>
      <c r="AH483" s="2019"/>
      <c r="AI483" s="2021"/>
      <c r="AJ483" s="2018"/>
      <c r="AL483" s="2019"/>
      <c r="AM483" s="2021"/>
      <c r="AN483" s="2018"/>
      <c r="AO483" s="477"/>
      <c r="AP483" s="477"/>
      <c r="AQ483" s="477"/>
    </row>
    <row r="484" spans="2:43" ht="15">
      <c r="B484" s="2019"/>
      <c r="C484" s="2021"/>
      <c r="D484" s="2018"/>
      <c r="F484" s="2019"/>
      <c r="G484" s="2021"/>
      <c r="H484" s="2018"/>
      <c r="J484" s="2019"/>
      <c r="K484" s="2021"/>
      <c r="L484" s="2018"/>
      <c r="N484" s="2019"/>
      <c r="O484" s="2021"/>
      <c r="P484" s="2018"/>
      <c r="R484" s="2019"/>
      <c r="S484" s="2021"/>
      <c r="T484" s="2018"/>
      <c r="V484" s="2019"/>
      <c r="W484" s="2021"/>
      <c r="X484" s="2018"/>
      <c r="Z484" s="2019"/>
      <c r="AA484" s="2021"/>
      <c r="AB484" s="2018"/>
      <c r="AD484" s="2019"/>
      <c r="AE484" s="2021"/>
      <c r="AF484" s="2018"/>
      <c r="AH484" s="2019"/>
      <c r="AI484" s="2021"/>
      <c r="AJ484" s="2018"/>
      <c r="AL484" s="2019"/>
      <c r="AM484" s="2021"/>
      <c r="AN484" s="2018"/>
      <c r="AO484" s="477"/>
      <c r="AP484" s="477"/>
      <c r="AQ484" s="477"/>
    </row>
    <row r="485" spans="2:43" ht="15">
      <c r="B485" s="2019"/>
      <c r="C485" s="2021"/>
      <c r="D485" s="2018"/>
      <c r="F485" s="2019"/>
      <c r="G485" s="2021"/>
      <c r="H485" s="2018"/>
      <c r="J485" s="2019"/>
      <c r="K485" s="2021"/>
      <c r="L485" s="2018"/>
      <c r="N485" s="2019"/>
      <c r="O485" s="2021"/>
      <c r="P485" s="2018"/>
      <c r="R485" s="2019"/>
      <c r="S485" s="2021"/>
      <c r="T485" s="2018"/>
      <c r="V485" s="2019"/>
      <c r="W485" s="2021"/>
      <c r="X485" s="2018"/>
      <c r="Z485" s="2019"/>
      <c r="AA485" s="2021"/>
      <c r="AB485" s="2018"/>
      <c r="AD485" s="2019"/>
      <c r="AE485" s="2021"/>
      <c r="AF485" s="2018"/>
      <c r="AH485" s="2019"/>
      <c r="AI485" s="2021"/>
      <c r="AJ485" s="2018"/>
      <c r="AL485" s="2019"/>
      <c r="AM485" s="2021"/>
      <c r="AN485" s="2018"/>
      <c r="AO485" s="477"/>
      <c r="AP485" s="477"/>
      <c r="AQ485" s="477"/>
    </row>
    <row r="486" spans="2:43" ht="15">
      <c r="B486" s="2019"/>
      <c r="C486" s="2021"/>
      <c r="D486" s="2018"/>
      <c r="F486" s="2019"/>
      <c r="G486" s="2021"/>
      <c r="H486" s="2018"/>
      <c r="J486" s="2019"/>
      <c r="K486" s="2021"/>
      <c r="L486" s="2018"/>
      <c r="N486" s="2019"/>
      <c r="O486" s="2021"/>
      <c r="P486" s="2018"/>
      <c r="R486" s="2019"/>
      <c r="S486" s="2021"/>
      <c r="T486" s="2018"/>
      <c r="V486" s="2019"/>
      <c r="W486" s="2021"/>
      <c r="X486" s="2018"/>
      <c r="Z486" s="2019"/>
      <c r="AA486" s="2021"/>
      <c r="AB486" s="2018"/>
      <c r="AD486" s="2019"/>
      <c r="AE486" s="2021"/>
      <c r="AF486" s="2018"/>
      <c r="AH486" s="2019"/>
      <c r="AI486" s="2021"/>
      <c r="AJ486" s="2018"/>
      <c r="AL486" s="2019"/>
      <c r="AM486" s="2021"/>
      <c r="AN486" s="2018"/>
      <c r="AO486" s="477"/>
      <c r="AP486" s="477"/>
      <c r="AQ486" s="477"/>
    </row>
    <row r="487" spans="2:43" ht="15">
      <c r="B487" s="2019"/>
      <c r="C487" s="2021"/>
      <c r="D487" s="2018"/>
      <c r="F487" s="2019"/>
      <c r="G487" s="2021"/>
      <c r="H487" s="2018"/>
      <c r="J487" s="2019"/>
      <c r="K487" s="2021"/>
      <c r="L487" s="2018"/>
      <c r="N487" s="2019"/>
      <c r="O487" s="2021"/>
      <c r="P487" s="2018"/>
      <c r="R487" s="2019"/>
      <c r="S487" s="2021"/>
      <c r="T487" s="2018"/>
      <c r="V487" s="2019"/>
      <c r="W487" s="2021"/>
      <c r="X487" s="2018"/>
      <c r="Z487" s="2019"/>
      <c r="AA487" s="2021"/>
      <c r="AB487" s="2018"/>
      <c r="AD487" s="2019"/>
      <c r="AE487" s="2021"/>
      <c r="AF487" s="2018"/>
      <c r="AH487" s="2019"/>
      <c r="AI487" s="2021"/>
      <c r="AJ487" s="2018"/>
      <c r="AL487" s="2019"/>
      <c r="AM487" s="2021"/>
      <c r="AN487" s="2018"/>
      <c r="AO487" s="477"/>
      <c r="AP487" s="477"/>
      <c r="AQ487" s="477"/>
    </row>
    <row r="488" spans="2:43" ht="15">
      <c r="B488" s="2019"/>
      <c r="C488" s="2021"/>
      <c r="D488" s="2018"/>
      <c r="F488" s="2019"/>
      <c r="G488" s="2021"/>
      <c r="H488" s="2018"/>
      <c r="J488" s="2019"/>
      <c r="K488" s="2021"/>
      <c r="L488" s="2018"/>
      <c r="N488" s="2019"/>
      <c r="O488" s="2021"/>
      <c r="P488" s="2018"/>
      <c r="R488" s="2019"/>
      <c r="S488" s="2021"/>
      <c r="T488" s="2018"/>
      <c r="V488" s="2019"/>
      <c r="W488" s="2021"/>
      <c r="X488" s="2018"/>
      <c r="Z488" s="2019"/>
      <c r="AA488" s="2021"/>
      <c r="AB488" s="2018"/>
      <c r="AD488" s="2019"/>
      <c r="AE488" s="2021"/>
      <c r="AF488" s="2018"/>
      <c r="AH488" s="2019"/>
      <c r="AI488" s="2021"/>
      <c r="AJ488" s="2018"/>
      <c r="AL488" s="2019"/>
      <c r="AM488" s="2021"/>
      <c r="AN488" s="2018"/>
      <c r="AO488" s="477"/>
      <c r="AP488" s="477"/>
      <c r="AQ488" s="477"/>
    </row>
    <row r="489" spans="2:43" ht="15">
      <c r="B489" s="2019"/>
      <c r="C489" s="2021"/>
      <c r="D489" s="2018"/>
      <c r="F489" s="2019"/>
      <c r="G489" s="2021"/>
      <c r="H489" s="2018"/>
      <c r="J489" s="2019"/>
      <c r="K489" s="2021"/>
      <c r="L489" s="2018"/>
      <c r="N489" s="2019"/>
      <c r="O489" s="2021"/>
      <c r="P489" s="2018"/>
      <c r="R489" s="2019"/>
      <c r="S489" s="2021"/>
      <c r="T489" s="2018"/>
      <c r="V489" s="2019"/>
      <c r="W489" s="2021"/>
      <c r="X489" s="2018"/>
      <c r="Z489" s="2019"/>
      <c r="AA489" s="2021"/>
      <c r="AB489" s="2018"/>
      <c r="AD489" s="2019"/>
      <c r="AE489" s="2021"/>
      <c r="AF489" s="2018"/>
      <c r="AH489" s="2019"/>
      <c r="AI489" s="2021"/>
      <c r="AJ489" s="2018"/>
      <c r="AL489" s="2019"/>
      <c r="AM489" s="2021"/>
      <c r="AN489" s="2018"/>
      <c r="AO489" s="477"/>
      <c r="AP489" s="477"/>
      <c r="AQ489" s="477"/>
    </row>
    <row r="490" spans="2:43" ht="15">
      <c r="B490" s="2019"/>
      <c r="C490" s="2021"/>
      <c r="D490" s="2018"/>
      <c r="F490" s="2019"/>
      <c r="G490" s="2021"/>
      <c r="H490" s="2018"/>
      <c r="J490" s="2019"/>
      <c r="K490" s="2021"/>
      <c r="L490" s="2018"/>
      <c r="N490" s="2019"/>
      <c r="O490" s="2021"/>
      <c r="P490" s="2018"/>
      <c r="R490" s="2019"/>
      <c r="S490" s="2021"/>
      <c r="T490" s="2018"/>
      <c r="V490" s="2019"/>
      <c r="W490" s="2021"/>
      <c r="X490" s="2018"/>
      <c r="Z490" s="2019"/>
      <c r="AA490" s="2021"/>
      <c r="AB490" s="2018"/>
      <c r="AD490" s="2019"/>
      <c r="AE490" s="2021"/>
      <c r="AF490" s="2018"/>
      <c r="AH490" s="2019"/>
      <c r="AI490" s="2021"/>
      <c r="AJ490" s="2018"/>
      <c r="AL490" s="2019"/>
      <c r="AM490" s="2021"/>
      <c r="AN490" s="2018"/>
      <c r="AO490" s="477"/>
      <c r="AP490" s="477"/>
      <c r="AQ490" s="477"/>
    </row>
    <row r="491" spans="2:43" ht="15">
      <c r="B491" s="2019"/>
      <c r="C491" s="2021"/>
      <c r="D491" s="2018"/>
      <c r="F491" s="2019"/>
      <c r="G491" s="2021"/>
      <c r="H491" s="2018"/>
      <c r="J491" s="2019"/>
      <c r="K491" s="2021"/>
      <c r="L491" s="2018"/>
      <c r="N491" s="2019"/>
      <c r="O491" s="2021"/>
      <c r="P491" s="2018"/>
      <c r="R491" s="2019"/>
      <c r="S491" s="2021"/>
      <c r="T491" s="2018"/>
      <c r="V491" s="2019"/>
      <c r="W491" s="2021"/>
      <c r="X491" s="2018"/>
      <c r="Z491" s="2019"/>
      <c r="AA491" s="2021"/>
      <c r="AB491" s="2018"/>
      <c r="AD491" s="2019"/>
      <c r="AE491" s="2021"/>
      <c r="AF491" s="2018"/>
      <c r="AH491" s="2019"/>
      <c r="AI491" s="2021"/>
      <c r="AJ491" s="2018"/>
      <c r="AL491" s="2019"/>
      <c r="AM491" s="2021"/>
      <c r="AN491" s="2018"/>
      <c r="AO491" s="477"/>
      <c r="AP491" s="477"/>
      <c r="AQ491" s="477"/>
    </row>
    <row r="492" spans="2:43" ht="15">
      <c r="B492" s="2019"/>
      <c r="C492" s="2021"/>
      <c r="D492" s="2018"/>
      <c r="F492" s="2019"/>
      <c r="G492" s="2021"/>
      <c r="H492" s="2018"/>
      <c r="J492" s="2019"/>
      <c r="K492" s="2021"/>
      <c r="L492" s="2018"/>
      <c r="N492" s="2019"/>
      <c r="O492" s="2021"/>
      <c r="P492" s="2018"/>
      <c r="R492" s="2019"/>
      <c r="S492" s="2021"/>
      <c r="T492" s="2018"/>
      <c r="V492" s="2019"/>
      <c r="W492" s="2021"/>
      <c r="X492" s="2018"/>
      <c r="Z492" s="2019"/>
      <c r="AA492" s="2021"/>
      <c r="AB492" s="2018"/>
      <c r="AD492" s="2019"/>
      <c r="AE492" s="2021"/>
      <c r="AF492" s="2018"/>
      <c r="AH492" s="2019"/>
      <c r="AI492" s="2021"/>
      <c r="AJ492" s="2018"/>
      <c r="AL492" s="2019"/>
      <c r="AM492" s="2021"/>
      <c r="AN492" s="2018"/>
      <c r="AO492" s="477"/>
      <c r="AP492" s="477"/>
      <c r="AQ492" s="477"/>
    </row>
    <row r="493" spans="2:43" ht="15">
      <c r="B493" s="2019"/>
      <c r="C493" s="2021"/>
      <c r="D493" s="2018"/>
      <c r="F493" s="2019"/>
      <c r="G493" s="2021"/>
      <c r="H493" s="2018"/>
      <c r="J493" s="2019"/>
      <c r="K493" s="2021"/>
      <c r="L493" s="2018"/>
      <c r="N493" s="2019"/>
      <c r="O493" s="2021"/>
      <c r="P493" s="2018"/>
      <c r="R493" s="2019"/>
      <c r="S493" s="2021"/>
      <c r="T493" s="2018"/>
      <c r="V493" s="2019"/>
      <c r="W493" s="2021"/>
      <c r="X493" s="2018"/>
      <c r="Z493" s="2019"/>
      <c r="AA493" s="2021"/>
      <c r="AB493" s="2018"/>
      <c r="AD493" s="2019"/>
      <c r="AE493" s="2021"/>
      <c r="AF493" s="2018"/>
      <c r="AH493" s="2019"/>
      <c r="AI493" s="2021"/>
      <c r="AJ493" s="2018"/>
      <c r="AL493" s="2019"/>
      <c r="AM493" s="2021"/>
      <c r="AN493" s="2018"/>
      <c r="AO493" s="477"/>
      <c r="AP493" s="477"/>
      <c r="AQ493" s="477"/>
    </row>
    <row r="494" spans="2:43" ht="15">
      <c r="B494" s="2019"/>
      <c r="C494" s="2021"/>
      <c r="D494" s="2018"/>
      <c r="F494" s="2019"/>
      <c r="G494" s="2021"/>
      <c r="H494" s="2018"/>
      <c r="J494" s="2019"/>
      <c r="K494" s="2021"/>
      <c r="L494" s="2018"/>
      <c r="N494" s="2019"/>
      <c r="O494" s="2021"/>
      <c r="P494" s="2018"/>
      <c r="R494" s="2019"/>
      <c r="S494" s="2021"/>
      <c r="T494" s="2018"/>
      <c r="V494" s="2019"/>
      <c r="W494" s="2021"/>
      <c r="X494" s="2018"/>
      <c r="Z494" s="2019"/>
      <c r="AA494" s="2021"/>
      <c r="AB494" s="2018"/>
      <c r="AD494" s="2019"/>
      <c r="AE494" s="2021"/>
      <c r="AF494" s="2018"/>
      <c r="AH494" s="2019"/>
      <c r="AI494" s="2021"/>
      <c r="AJ494" s="2018"/>
      <c r="AL494" s="2019"/>
      <c r="AM494" s="2021"/>
      <c r="AN494" s="2018"/>
      <c r="AO494" s="477"/>
      <c r="AP494" s="477"/>
      <c r="AQ494" s="477"/>
    </row>
    <row r="495" spans="2:43" ht="15">
      <c r="B495" s="2019"/>
      <c r="C495" s="2021"/>
      <c r="D495" s="2018"/>
      <c r="F495" s="2019"/>
      <c r="G495" s="2021"/>
      <c r="H495" s="2018"/>
      <c r="J495" s="2019"/>
      <c r="K495" s="2021"/>
      <c r="L495" s="2018"/>
      <c r="N495" s="2019"/>
      <c r="O495" s="2021"/>
      <c r="P495" s="2018"/>
      <c r="R495" s="2019"/>
      <c r="S495" s="2021"/>
      <c r="T495" s="2018"/>
      <c r="V495" s="2019"/>
      <c r="W495" s="2021"/>
      <c r="X495" s="2018"/>
      <c r="Z495" s="2019"/>
      <c r="AA495" s="2021"/>
      <c r="AB495" s="2018"/>
      <c r="AD495" s="2019"/>
      <c r="AE495" s="2021"/>
      <c r="AF495" s="2018"/>
      <c r="AH495" s="2019"/>
      <c r="AI495" s="2021"/>
      <c r="AJ495" s="2018"/>
      <c r="AL495" s="2019"/>
      <c r="AM495" s="2021"/>
      <c r="AN495" s="2018"/>
      <c r="AO495" s="477"/>
      <c r="AP495" s="477"/>
      <c r="AQ495" s="477"/>
    </row>
    <row r="496" spans="2:43" ht="15">
      <c r="B496" s="2019"/>
      <c r="C496" s="2021"/>
      <c r="D496" s="2018"/>
      <c r="F496" s="2019"/>
      <c r="G496" s="2021"/>
      <c r="H496" s="2018"/>
      <c r="J496" s="2019"/>
      <c r="K496" s="2021"/>
      <c r="L496" s="2018"/>
      <c r="N496" s="2019"/>
      <c r="O496" s="2021"/>
      <c r="P496" s="2018"/>
      <c r="R496" s="2019"/>
      <c r="S496" s="2021"/>
      <c r="T496" s="2018"/>
      <c r="V496" s="2019"/>
      <c r="W496" s="2021"/>
      <c r="X496" s="2018"/>
      <c r="Z496" s="2019"/>
      <c r="AA496" s="2021"/>
      <c r="AB496" s="2018"/>
      <c r="AD496" s="2019"/>
      <c r="AE496" s="2021"/>
      <c r="AF496" s="2018"/>
      <c r="AH496" s="2019"/>
      <c r="AI496" s="2021"/>
      <c r="AJ496" s="2018"/>
      <c r="AL496" s="2019"/>
      <c r="AM496" s="2021"/>
      <c r="AN496" s="2018"/>
      <c r="AO496" s="477"/>
      <c r="AP496" s="477"/>
      <c r="AQ496" s="477"/>
    </row>
    <row r="497" spans="2:43" ht="15">
      <c r="B497" s="2019"/>
      <c r="C497" s="2021"/>
      <c r="D497" s="2018"/>
      <c r="F497" s="2019"/>
      <c r="G497" s="2021"/>
      <c r="H497" s="2018"/>
      <c r="J497" s="2019"/>
      <c r="K497" s="2021"/>
      <c r="L497" s="2018"/>
      <c r="N497" s="2019"/>
      <c r="O497" s="2021"/>
      <c r="P497" s="2018"/>
      <c r="R497" s="2019"/>
      <c r="S497" s="2021"/>
      <c r="T497" s="2018"/>
      <c r="V497" s="2019"/>
      <c r="W497" s="2021"/>
      <c r="X497" s="2018"/>
      <c r="Z497" s="2019"/>
      <c r="AA497" s="2021"/>
      <c r="AB497" s="2018"/>
      <c r="AD497" s="2019"/>
      <c r="AE497" s="2021"/>
      <c r="AF497" s="2018"/>
      <c r="AH497" s="2019"/>
      <c r="AI497" s="2021"/>
      <c r="AJ497" s="2018"/>
      <c r="AL497" s="2019"/>
      <c r="AM497" s="2021"/>
      <c r="AN497" s="2018"/>
      <c r="AO497" s="477"/>
      <c r="AP497" s="477"/>
      <c r="AQ497" s="477"/>
    </row>
    <row r="498" spans="2:43" ht="15">
      <c r="B498" s="2019"/>
      <c r="C498" s="2021"/>
      <c r="D498" s="2018"/>
      <c r="F498" s="2019"/>
      <c r="G498" s="2021"/>
      <c r="H498" s="2018"/>
      <c r="J498" s="2019"/>
      <c r="K498" s="2021"/>
      <c r="L498" s="2018"/>
      <c r="N498" s="2019"/>
      <c r="O498" s="2021"/>
      <c r="P498" s="2018"/>
      <c r="R498" s="2019"/>
      <c r="S498" s="2021"/>
      <c r="T498" s="2018"/>
      <c r="V498" s="2019"/>
      <c r="W498" s="2021"/>
      <c r="X498" s="2018"/>
      <c r="Z498" s="2019"/>
      <c r="AA498" s="2021"/>
      <c r="AB498" s="2018"/>
      <c r="AD498" s="2019"/>
      <c r="AE498" s="2021"/>
      <c r="AF498" s="2018"/>
      <c r="AH498" s="2019"/>
      <c r="AI498" s="2021"/>
      <c r="AJ498" s="2018"/>
      <c r="AL498" s="2019"/>
      <c r="AM498" s="2021"/>
      <c r="AN498" s="2018"/>
      <c r="AO498" s="477"/>
      <c r="AP498" s="477"/>
      <c r="AQ498" s="477"/>
    </row>
    <row r="499" spans="2:43" ht="15">
      <c r="B499" s="2019"/>
      <c r="C499" s="2021"/>
      <c r="D499" s="2018"/>
      <c r="F499" s="2019"/>
      <c r="G499" s="2021"/>
      <c r="H499" s="2018"/>
      <c r="J499" s="2019"/>
      <c r="K499" s="2021"/>
      <c r="L499" s="2018"/>
      <c r="N499" s="2019"/>
      <c r="O499" s="2021"/>
      <c r="P499" s="2018"/>
      <c r="R499" s="2019"/>
      <c r="S499" s="2021"/>
      <c r="T499" s="2018"/>
      <c r="V499" s="2019"/>
      <c r="W499" s="2021"/>
      <c r="X499" s="2018"/>
      <c r="Z499" s="2019"/>
      <c r="AA499" s="2021"/>
      <c r="AB499" s="2018"/>
      <c r="AD499" s="2019"/>
      <c r="AE499" s="2021"/>
      <c r="AF499" s="2018"/>
      <c r="AH499" s="2019"/>
      <c r="AI499" s="2021"/>
      <c r="AJ499" s="2018"/>
      <c r="AL499" s="2019"/>
      <c r="AM499" s="2021"/>
      <c r="AN499" s="2018"/>
      <c r="AO499" s="477"/>
      <c r="AP499" s="477"/>
      <c r="AQ499" s="477"/>
    </row>
    <row r="500" spans="2:43" ht="15">
      <c r="B500" s="2019"/>
      <c r="C500" s="2021"/>
      <c r="D500" s="2018"/>
      <c r="F500" s="2019"/>
      <c r="G500" s="2021"/>
      <c r="H500" s="2018"/>
      <c r="J500" s="2019"/>
      <c r="K500" s="2021"/>
      <c r="L500" s="2018"/>
      <c r="N500" s="2019"/>
      <c r="O500" s="2021"/>
      <c r="P500" s="2018"/>
      <c r="R500" s="2019"/>
      <c r="S500" s="2021"/>
      <c r="T500" s="2018"/>
      <c r="V500" s="2019"/>
      <c r="W500" s="2021"/>
      <c r="X500" s="2018"/>
      <c r="Z500" s="2019"/>
      <c r="AA500" s="2021"/>
      <c r="AB500" s="2018"/>
      <c r="AD500" s="2019"/>
      <c r="AE500" s="2021"/>
      <c r="AF500" s="2018"/>
      <c r="AH500" s="2019"/>
      <c r="AI500" s="2021"/>
      <c r="AJ500" s="2018"/>
      <c r="AL500" s="2019"/>
      <c r="AM500" s="2021"/>
      <c r="AN500" s="2018"/>
      <c r="AO500" s="477"/>
      <c r="AP500" s="477"/>
      <c r="AQ500" s="477"/>
    </row>
    <row r="501" spans="2:43" ht="15">
      <c r="B501" s="2019"/>
      <c r="C501" s="2021"/>
      <c r="D501" s="2018"/>
      <c r="F501" s="2019"/>
      <c r="G501" s="2021"/>
      <c r="H501" s="2018"/>
      <c r="J501" s="2019"/>
      <c r="K501" s="2021"/>
      <c r="L501" s="2018"/>
      <c r="N501" s="2019"/>
      <c r="O501" s="2021"/>
      <c r="P501" s="2018"/>
      <c r="R501" s="2019"/>
      <c r="S501" s="2021"/>
      <c r="T501" s="2018"/>
      <c r="V501" s="2019"/>
      <c r="W501" s="2021"/>
      <c r="X501" s="2018"/>
      <c r="Z501" s="2019"/>
      <c r="AA501" s="2021"/>
      <c r="AB501" s="2018"/>
      <c r="AD501" s="2019"/>
      <c r="AE501" s="2021"/>
      <c r="AF501" s="2018"/>
      <c r="AH501" s="2019"/>
      <c r="AI501" s="2021"/>
      <c r="AJ501" s="2018"/>
      <c r="AL501" s="2019"/>
      <c r="AM501" s="2021"/>
      <c r="AN501" s="2018"/>
      <c r="AO501" s="477"/>
      <c r="AP501" s="477"/>
      <c r="AQ501" s="477"/>
    </row>
    <row r="502" spans="2:43" ht="15">
      <c r="B502" s="2019"/>
      <c r="C502" s="2021"/>
      <c r="D502" s="2018"/>
      <c r="F502" s="2019"/>
      <c r="G502" s="2021"/>
      <c r="H502" s="2018"/>
      <c r="J502" s="2019"/>
      <c r="K502" s="2021"/>
      <c r="L502" s="2018"/>
      <c r="N502" s="2019"/>
      <c r="O502" s="2021"/>
      <c r="P502" s="2018"/>
      <c r="R502" s="2019"/>
      <c r="S502" s="2021"/>
      <c r="T502" s="2018"/>
      <c r="V502" s="2019"/>
      <c r="W502" s="2021"/>
      <c r="X502" s="2018"/>
      <c r="Z502" s="2019"/>
      <c r="AA502" s="2021"/>
      <c r="AB502" s="2018"/>
      <c r="AD502" s="2019"/>
      <c r="AE502" s="2021"/>
      <c r="AF502" s="2018"/>
      <c r="AH502" s="2019"/>
      <c r="AI502" s="2021"/>
      <c r="AJ502" s="2018"/>
      <c r="AL502" s="2019"/>
      <c r="AM502" s="2021"/>
      <c r="AN502" s="2018"/>
      <c r="AO502" s="477"/>
      <c r="AP502" s="477"/>
      <c r="AQ502" s="477"/>
    </row>
    <row r="503" spans="2:43" ht="15">
      <c r="B503" s="2019"/>
      <c r="C503" s="2021"/>
      <c r="D503" s="2018"/>
      <c r="F503" s="2019"/>
      <c r="G503" s="2021"/>
      <c r="H503" s="2018"/>
      <c r="J503" s="2019"/>
      <c r="K503" s="2021"/>
      <c r="L503" s="2018"/>
      <c r="N503" s="2019"/>
      <c r="O503" s="2021"/>
      <c r="P503" s="2018"/>
      <c r="R503" s="2019"/>
      <c r="S503" s="2021"/>
      <c r="T503" s="2018"/>
      <c r="V503" s="2019"/>
      <c r="W503" s="2021"/>
      <c r="X503" s="2018"/>
      <c r="Z503" s="2019"/>
      <c r="AA503" s="2021"/>
      <c r="AB503" s="2018"/>
      <c r="AD503" s="2019"/>
      <c r="AE503" s="2021"/>
      <c r="AF503" s="2018"/>
      <c r="AH503" s="2019"/>
      <c r="AI503" s="2021"/>
      <c r="AJ503" s="2018"/>
      <c r="AL503" s="2019"/>
      <c r="AM503" s="2021"/>
      <c r="AN503" s="2018"/>
      <c r="AO503" s="477"/>
      <c r="AP503" s="477"/>
      <c r="AQ503" s="477"/>
    </row>
    <row r="504" spans="2:43" ht="15">
      <c r="B504" s="2019"/>
      <c r="C504" s="2021"/>
      <c r="D504" s="2018"/>
      <c r="F504" s="2019"/>
      <c r="G504" s="2021"/>
      <c r="H504" s="2018"/>
      <c r="J504" s="2019"/>
      <c r="K504" s="2021"/>
      <c r="L504" s="2018"/>
      <c r="N504" s="2019"/>
      <c r="O504" s="2021"/>
      <c r="P504" s="2018"/>
      <c r="R504" s="2019"/>
      <c r="S504" s="2021"/>
      <c r="T504" s="2018"/>
      <c r="V504" s="2019"/>
      <c r="W504" s="2021"/>
      <c r="X504" s="2018"/>
      <c r="Z504" s="2019"/>
      <c r="AA504" s="2021"/>
      <c r="AB504" s="2018"/>
      <c r="AD504" s="2019"/>
      <c r="AE504" s="2021"/>
      <c r="AF504" s="2018"/>
      <c r="AH504" s="2019"/>
      <c r="AI504" s="2021"/>
      <c r="AJ504" s="2018"/>
      <c r="AL504" s="2019"/>
      <c r="AM504" s="2021"/>
      <c r="AN504" s="2018"/>
      <c r="AO504" s="477"/>
      <c r="AP504" s="477"/>
      <c r="AQ504" s="477"/>
    </row>
    <row r="505" spans="2:43" ht="15">
      <c r="B505" s="2019"/>
      <c r="C505" s="2021"/>
      <c r="D505" s="2018"/>
      <c r="F505" s="2019"/>
      <c r="G505" s="2021"/>
      <c r="H505" s="2018"/>
      <c r="J505" s="2019"/>
      <c r="K505" s="2021"/>
      <c r="L505" s="2018"/>
      <c r="N505" s="2019"/>
      <c r="O505" s="2021"/>
      <c r="P505" s="2018"/>
      <c r="R505" s="2019"/>
      <c r="S505" s="2021"/>
      <c r="T505" s="2018"/>
      <c r="V505" s="2019"/>
      <c r="W505" s="2021"/>
      <c r="X505" s="2018"/>
      <c r="Z505" s="2019"/>
      <c r="AA505" s="2021"/>
      <c r="AB505" s="2018"/>
      <c r="AD505" s="2019"/>
      <c r="AE505" s="2021"/>
      <c r="AF505" s="2018"/>
      <c r="AH505" s="2019"/>
      <c r="AI505" s="2021"/>
      <c r="AJ505" s="2018"/>
      <c r="AL505" s="2019"/>
      <c r="AM505" s="2021"/>
      <c r="AN505" s="2018"/>
      <c r="AO505" s="477"/>
      <c r="AP505" s="477"/>
      <c r="AQ505" s="477"/>
    </row>
    <row r="506" spans="2:43" ht="15">
      <c r="B506" s="2019"/>
      <c r="C506" s="2021"/>
      <c r="D506" s="2018"/>
      <c r="F506" s="2019"/>
      <c r="G506" s="2021"/>
      <c r="H506" s="2018"/>
      <c r="J506" s="2019"/>
      <c r="K506" s="2021"/>
      <c r="L506" s="2018"/>
      <c r="N506" s="2019"/>
      <c r="O506" s="2021"/>
      <c r="P506" s="2018"/>
      <c r="R506" s="2019"/>
      <c r="S506" s="2021"/>
      <c r="T506" s="2018"/>
      <c r="V506" s="2019"/>
      <c r="W506" s="2021"/>
      <c r="X506" s="2018"/>
      <c r="Z506" s="2019"/>
      <c r="AA506" s="2021"/>
      <c r="AB506" s="2018"/>
      <c r="AD506" s="2019"/>
      <c r="AE506" s="2021"/>
      <c r="AF506" s="2018"/>
      <c r="AH506" s="2019"/>
      <c r="AI506" s="2021"/>
      <c r="AJ506" s="2018"/>
      <c r="AL506" s="2019"/>
      <c r="AM506" s="2021"/>
      <c r="AN506" s="2018"/>
      <c r="AO506" s="477"/>
      <c r="AP506" s="477"/>
      <c r="AQ506" s="477"/>
    </row>
    <row r="507" spans="2:43" ht="15">
      <c r="B507" s="2019"/>
      <c r="C507" s="2021"/>
      <c r="D507" s="2018"/>
      <c r="F507" s="2019"/>
      <c r="G507" s="2021"/>
      <c r="H507" s="2018"/>
      <c r="J507" s="2019"/>
      <c r="K507" s="2021"/>
      <c r="L507" s="2018"/>
      <c r="N507" s="2019"/>
      <c r="O507" s="2021"/>
      <c r="P507" s="2018"/>
      <c r="R507" s="2019"/>
      <c r="S507" s="2021"/>
      <c r="T507" s="2018"/>
      <c r="V507" s="2019"/>
      <c r="W507" s="2021"/>
      <c r="X507" s="2018"/>
      <c r="Z507" s="2019"/>
      <c r="AA507" s="2021"/>
      <c r="AB507" s="2018"/>
      <c r="AD507" s="2019"/>
      <c r="AE507" s="2021"/>
      <c r="AF507" s="2018"/>
      <c r="AH507" s="2019"/>
      <c r="AI507" s="2021"/>
      <c r="AJ507" s="2018"/>
      <c r="AL507" s="2019"/>
      <c r="AM507" s="2021"/>
      <c r="AN507" s="2018"/>
      <c r="AO507" s="477"/>
      <c r="AP507" s="477"/>
      <c r="AQ507" s="477"/>
    </row>
    <row r="508" spans="2:43" ht="15">
      <c r="B508" s="2019"/>
      <c r="C508" s="2021"/>
      <c r="D508" s="2018"/>
      <c r="F508" s="2019"/>
      <c r="G508" s="2021"/>
      <c r="H508" s="2018"/>
      <c r="J508" s="2019"/>
      <c r="K508" s="2021"/>
      <c r="L508" s="2018"/>
      <c r="N508" s="2019"/>
      <c r="O508" s="2021"/>
      <c r="P508" s="2018"/>
      <c r="R508" s="2019"/>
      <c r="S508" s="2021"/>
      <c r="T508" s="2018"/>
      <c r="V508" s="2019"/>
      <c r="W508" s="2021"/>
      <c r="X508" s="2018"/>
      <c r="Z508" s="2019"/>
      <c r="AA508" s="2021"/>
      <c r="AB508" s="2018"/>
      <c r="AD508" s="2019"/>
      <c r="AE508" s="2021"/>
      <c r="AF508" s="2018"/>
      <c r="AH508" s="2019"/>
      <c r="AI508" s="2021"/>
      <c r="AJ508" s="2018"/>
      <c r="AL508" s="2019"/>
      <c r="AM508" s="2021"/>
      <c r="AN508" s="2018"/>
      <c r="AO508" s="477"/>
      <c r="AP508" s="477"/>
      <c r="AQ508" s="477"/>
    </row>
    <row r="509" spans="2:43" ht="15">
      <c r="B509" s="2019"/>
      <c r="C509" s="2021"/>
      <c r="D509" s="2018"/>
      <c r="F509" s="2019"/>
      <c r="G509" s="2021"/>
      <c r="H509" s="2018"/>
      <c r="J509" s="2019"/>
      <c r="K509" s="2021"/>
      <c r="L509" s="2018"/>
      <c r="N509" s="2019"/>
      <c r="O509" s="2021"/>
      <c r="P509" s="2018"/>
      <c r="R509" s="2019"/>
      <c r="S509" s="2021"/>
      <c r="T509" s="2018"/>
      <c r="V509" s="2019"/>
      <c r="W509" s="2021"/>
      <c r="X509" s="2018"/>
      <c r="Z509" s="2019"/>
      <c r="AA509" s="2021"/>
      <c r="AB509" s="2018"/>
      <c r="AD509" s="2019"/>
      <c r="AE509" s="2021"/>
      <c r="AF509" s="2018"/>
      <c r="AH509" s="2019"/>
      <c r="AI509" s="2021"/>
      <c r="AJ509" s="2018"/>
      <c r="AL509" s="2019"/>
      <c r="AM509" s="2021"/>
      <c r="AN509" s="2018"/>
      <c r="AO509" s="477"/>
      <c r="AP509" s="477"/>
      <c r="AQ509" s="477"/>
    </row>
    <row r="510" spans="2:43" ht="15">
      <c r="B510" s="2019"/>
      <c r="C510" s="2021"/>
      <c r="D510" s="2018"/>
      <c r="F510" s="2019"/>
      <c r="G510" s="2021"/>
      <c r="H510" s="2018"/>
      <c r="J510" s="2019"/>
      <c r="K510" s="2021"/>
      <c r="L510" s="2018"/>
      <c r="N510" s="2019"/>
      <c r="O510" s="2021"/>
      <c r="P510" s="2018"/>
      <c r="R510" s="2019"/>
      <c r="S510" s="2021"/>
      <c r="T510" s="2018"/>
      <c r="V510" s="2019"/>
      <c r="W510" s="2021"/>
      <c r="X510" s="2018"/>
      <c r="Z510" s="2019"/>
      <c r="AA510" s="2021"/>
      <c r="AB510" s="2018"/>
      <c r="AD510" s="2019"/>
      <c r="AE510" s="2021"/>
      <c r="AF510" s="2018"/>
      <c r="AH510" s="2019"/>
      <c r="AI510" s="2021"/>
      <c r="AJ510" s="2018"/>
      <c r="AL510" s="2019"/>
      <c r="AM510" s="2021"/>
      <c r="AN510" s="2018"/>
      <c r="AO510" s="477"/>
      <c r="AP510" s="477"/>
      <c r="AQ510" s="477"/>
    </row>
    <row r="511" spans="2:43" ht="15">
      <c r="B511" s="2019"/>
      <c r="C511" s="2021"/>
      <c r="D511" s="2018"/>
      <c r="F511" s="2019"/>
      <c r="G511" s="2021"/>
      <c r="H511" s="2018"/>
      <c r="J511" s="2019"/>
      <c r="K511" s="2021"/>
      <c r="L511" s="2018"/>
      <c r="N511" s="2019"/>
      <c r="O511" s="2021"/>
      <c r="P511" s="2018"/>
      <c r="R511" s="2019"/>
      <c r="S511" s="2021"/>
      <c r="T511" s="2018"/>
      <c r="V511" s="2019"/>
      <c r="W511" s="2021"/>
      <c r="X511" s="2018"/>
      <c r="Z511" s="2019"/>
      <c r="AA511" s="2021"/>
      <c r="AB511" s="2018"/>
      <c r="AD511" s="2019"/>
      <c r="AE511" s="2021"/>
      <c r="AF511" s="2018"/>
      <c r="AH511" s="2019"/>
      <c r="AI511" s="2021"/>
      <c r="AJ511" s="2018"/>
      <c r="AL511" s="2019"/>
      <c r="AM511" s="2021"/>
      <c r="AN511" s="2018"/>
      <c r="AO511" s="477"/>
      <c r="AP511" s="477"/>
      <c r="AQ511" s="477"/>
    </row>
    <row r="512" spans="2:43" ht="15">
      <c r="B512" s="2019"/>
      <c r="C512" s="2021"/>
      <c r="D512" s="2018"/>
      <c r="F512" s="2019"/>
      <c r="G512" s="2021"/>
      <c r="H512" s="2018"/>
      <c r="J512" s="2019"/>
      <c r="K512" s="2021"/>
      <c r="L512" s="2018"/>
      <c r="N512" s="2019"/>
      <c r="O512" s="2021"/>
      <c r="P512" s="2018"/>
      <c r="R512" s="2019"/>
      <c r="S512" s="2021"/>
      <c r="T512" s="2018"/>
      <c r="V512" s="2019"/>
      <c r="W512" s="2021"/>
      <c r="X512" s="2018"/>
      <c r="Z512" s="2019"/>
      <c r="AA512" s="2021"/>
      <c r="AB512" s="2018"/>
      <c r="AD512" s="2019"/>
      <c r="AE512" s="2021"/>
      <c r="AF512" s="2018"/>
      <c r="AH512" s="2019"/>
      <c r="AI512" s="2021"/>
      <c r="AJ512" s="2018"/>
      <c r="AL512" s="2019"/>
      <c r="AM512" s="2021"/>
      <c r="AN512" s="2018"/>
      <c r="AO512" s="477"/>
      <c r="AP512" s="477"/>
      <c r="AQ512" s="477"/>
    </row>
    <row r="513" spans="2:43" ht="15">
      <c r="B513" s="2019"/>
      <c r="C513" s="2021"/>
      <c r="D513" s="2018"/>
      <c r="F513" s="2019"/>
      <c r="G513" s="2021"/>
      <c r="H513" s="2018"/>
      <c r="J513" s="2019"/>
      <c r="K513" s="2021"/>
      <c r="L513" s="2018"/>
      <c r="N513" s="2019"/>
      <c r="O513" s="2021"/>
      <c r="P513" s="2018"/>
      <c r="R513" s="2019"/>
      <c r="S513" s="2021"/>
      <c r="T513" s="2018"/>
      <c r="V513" s="2019"/>
      <c r="W513" s="2021"/>
      <c r="X513" s="2018"/>
      <c r="Z513" s="2019"/>
      <c r="AA513" s="2021"/>
      <c r="AB513" s="2018"/>
      <c r="AD513" s="2019"/>
      <c r="AE513" s="2021"/>
      <c r="AF513" s="2018"/>
      <c r="AH513" s="2019"/>
      <c r="AI513" s="2021"/>
      <c r="AJ513" s="2018"/>
      <c r="AL513" s="2019"/>
      <c r="AM513" s="2021"/>
      <c r="AN513" s="2018"/>
      <c r="AO513" s="477"/>
      <c r="AP513" s="477"/>
      <c r="AQ513" s="477"/>
    </row>
    <row r="514" spans="2:43" ht="15">
      <c r="B514" s="2019"/>
      <c r="C514" s="2021"/>
      <c r="D514" s="2018"/>
      <c r="F514" s="2019"/>
      <c r="G514" s="2021"/>
      <c r="H514" s="2018"/>
      <c r="J514" s="2019"/>
      <c r="K514" s="2021"/>
      <c r="L514" s="2018"/>
      <c r="N514" s="2019"/>
      <c r="O514" s="2021"/>
      <c r="P514" s="2018"/>
      <c r="R514" s="2019"/>
      <c r="S514" s="2021"/>
      <c r="T514" s="2018"/>
      <c r="V514" s="2019"/>
      <c r="W514" s="2021"/>
      <c r="X514" s="2018"/>
      <c r="Z514" s="2019"/>
      <c r="AA514" s="2021"/>
      <c r="AB514" s="2018"/>
      <c r="AD514" s="2019"/>
      <c r="AE514" s="2021"/>
      <c r="AF514" s="2018"/>
      <c r="AH514" s="2019"/>
      <c r="AI514" s="2021"/>
      <c r="AJ514" s="2018"/>
      <c r="AL514" s="2019"/>
      <c r="AM514" s="2021"/>
      <c r="AN514" s="2018"/>
      <c r="AO514" s="477"/>
      <c r="AP514" s="477"/>
      <c r="AQ514" s="477"/>
    </row>
    <row r="515" spans="2:43" ht="15">
      <c r="B515" s="2019"/>
      <c r="C515" s="2021"/>
      <c r="D515" s="2018"/>
      <c r="F515" s="2019"/>
      <c r="G515" s="2021"/>
      <c r="H515" s="2018"/>
      <c r="J515" s="2019"/>
      <c r="K515" s="2021"/>
      <c r="L515" s="2018"/>
      <c r="N515" s="2019"/>
      <c r="O515" s="2021"/>
      <c r="P515" s="2018"/>
      <c r="R515" s="2019"/>
      <c r="S515" s="2021"/>
      <c r="T515" s="2018"/>
      <c r="V515" s="2019"/>
      <c r="W515" s="2021"/>
      <c r="X515" s="2018"/>
      <c r="Z515" s="2019"/>
      <c r="AA515" s="2021"/>
      <c r="AB515" s="2018"/>
      <c r="AD515" s="2019"/>
      <c r="AE515" s="2021"/>
      <c r="AF515" s="2018"/>
      <c r="AH515" s="2019"/>
      <c r="AI515" s="2021"/>
      <c r="AJ515" s="2018"/>
      <c r="AL515" s="2019"/>
      <c r="AM515" s="2021"/>
      <c r="AN515" s="2018"/>
      <c r="AO515" s="477"/>
      <c r="AP515" s="477"/>
      <c r="AQ515" s="477"/>
    </row>
    <row r="516" spans="2:43" ht="15">
      <c r="B516" s="2019"/>
      <c r="C516" s="2021"/>
      <c r="D516" s="2018"/>
      <c r="F516" s="2019"/>
      <c r="G516" s="2021"/>
      <c r="H516" s="2018"/>
      <c r="J516" s="2019"/>
      <c r="K516" s="2021"/>
      <c r="L516" s="2018"/>
      <c r="N516" s="2019"/>
      <c r="O516" s="2021"/>
      <c r="P516" s="2018"/>
      <c r="R516" s="2019"/>
      <c r="S516" s="2021"/>
      <c r="T516" s="2018"/>
      <c r="V516" s="2019"/>
      <c r="W516" s="2021"/>
      <c r="X516" s="2018"/>
      <c r="Z516" s="2019"/>
      <c r="AA516" s="2021"/>
      <c r="AB516" s="2018"/>
      <c r="AD516" s="2019"/>
      <c r="AE516" s="2021"/>
      <c r="AF516" s="2018"/>
      <c r="AH516" s="2019"/>
      <c r="AI516" s="2021"/>
      <c r="AJ516" s="2018"/>
      <c r="AL516" s="2019"/>
      <c r="AM516" s="2021"/>
      <c r="AN516" s="2018"/>
      <c r="AO516" s="477"/>
      <c r="AP516" s="477"/>
      <c r="AQ516" s="477"/>
    </row>
    <row r="517" spans="2:43" ht="15">
      <c r="B517" s="2019"/>
      <c r="C517" s="2021"/>
      <c r="D517" s="2018"/>
      <c r="F517" s="2019"/>
      <c r="G517" s="2021"/>
      <c r="H517" s="2018"/>
      <c r="J517" s="2019"/>
      <c r="K517" s="2021"/>
      <c r="L517" s="2018"/>
      <c r="N517" s="2019"/>
      <c r="O517" s="2021"/>
      <c r="P517" s="2018"/>
      <c r="R517" s="2019"/>
      <c r="S517" s="2021"/>
      <c r="T517" s="2018"/>
      <c r="V517" s="2019"/>
      <c r="W517" s="2021"/>
      <c r="X517" s="2018"/>
      <c r="Z517" s="2019"/>
      <c r="AA517" s="2021"/>
      <c r="AB517" s="2018"/>
      <c r="AD517" s="2019"/>
      <c r="AE517" s="2021"/>
      <c r="AF517" s="2018"/>
      <c r="AH517" s="2019"/>
      <c r="AI517" s="2021"/>
      <c r="AJ517" s="2018"/>
      <c r="AL517" s="2019"/>
      <c r="AM517" s="2021"/>
      <c r="AN517" s="2018"/>
      <c r="AO517" s="477"/>
      <c r="AP517" s="477"/>
      <c r="AQ517" s="477"/>
    </row>
    <row r="518" spans="2:43" ht="15">
      <c r="B518" s="2019"/>
      <c r="C518" s="2021"/>
      <c r="D518" s="2018"/>
      <c r="F518" s="2019"/>
      <c r="G518" s="2021"/>
      <c r="H518" s="2018"/>
      <c r="J518" s="2019"/>
      <c r="K518" s="2021"/>
      <c r="L518" s="2018"/>
      <c r="N518" s="2019"/>
      <c r="O518" s="2021"/>
      <c r="P518" s="2018"/>
      <c r="R518" s="2019"/>
      <c r="S518" s="2021"/>
      <c r="T518" s="2018"/>
      <c r="V518" s="2019"/>
      <c r="W518" s="2021"/>
      <c r="X518" s="2018"/>
      <c r="Z518" s="2019"/>
      <c r="AA518" s="2021"/>
      <c r="AB518" s="2018"/>
      <c r="AD518" s="2019"/>
      <c r="AE518" s="2021"/>
      <c r="AF518" s="2018"/>
      <c r="AH518" s="2019"/>
      <c r="AI518" s="2021"/>
      <c r="AJ518" s="2018"/>
      <c r="AL518" s="2019"/>
      <c r="AM518" s="2021"/>
      <c r="AN518" s="2018"/>
      <c r="AO518" s="477"/>
      <c r="AP518" s="477"/>
      <c r="AQ518" s="477"/>
    </row>
    <row r="519" spans="2:43" ht="15">
      <c r="B519" s="2019"/>
      <c r="C519" s="2021"/>
      <c r="D519" s="2018"/>
      <c r="F519" s="2019"/>
      <c r="G519" s="2021"/>
      <c r="H519" s="2018"/>
      <c r="J519" s="2019"/>
      <c r="K519" s="2021"/>
      <c r="L519" s="2018"/>
      <c r="N519" s="2019"/>
      <c r="O519" s="2021"/>
      <c r="P519" s="2018"/>
      <c r="R519" s="2019"/>
      <c r="S519" s="2021"/>
      <c r="T519" s="2018"/>
      <c r="V519" s="2019"/>
      <c r="W519" s="2021"/>
      <c r="X519" s="2018"/>
      <c r="Z519" s="2019"/>
      <c r="AA519" s="2021"/>
      <c r="AB519" s="2018"/>
      <c r="AD519" s="2019"/>
      <c r="AE519" s="2021"/>
      <c r="AF519" s="2018"/>
      <c r="AH519" s="2019"/>
      <c r="AI519" s="2021"/>
      <c r="AJ519" s="2018"/>
      <c r="AL519" s="2019"/>
      <c r="AM519" s="2021"/>
      <c r="AN519" s="2018"/>
      <c r="AO519" s="477"/>
      <c r="AP519" s="477"/>
      <c r="AQ519" s="477"/>
    </row>
    <row r="520" spans="2:43" ht="15">
      <c r="B520" s="2019"/>
      <c r="C520" s="2021"/>
      <c r="D520" s="2018"/>
      <c r="F520" s="2019"/>
      <c r="G520" s="2021"/>
      <c r="H520" s="2018"/>
      <c r="J520" s="2019"/>
      <c r="K520" s="2021"/>
      <c r="L520" s="2018"/>
      <c r="N520" s="2019"/>
      <c r="O520" s="2021"/>
      <c r="P520" s="2018"/>
      <c r="R520" s="2019"/>
      <c r="S520" s="2021"/>
      <c r="T520" s="2018"/>
      <c r="V520" s="2019"/>
      <c r="W520" s="2021"/>
      <c r="X520" s="2018"/>
      <c r="Z520" s="2019"/>
      <c r="AA520" s="2021"/>
      <c r="AB520" s="2018"/>
      <c r="AD520" s="2019"/>
      <c r="AE520" s="2021"/>
      <c r="AF520" s="2018"/>
      <c r="AH520" s="2019"/>
      <c r="AI520" s="2021"/>
      <c r="AJ520" s="2018"/>
      <c r="AL520" s="2019"/>
      <c r="AM520" s="2021"/>
      <c r="AN520" s="2018"/>
      <c r="AO520" s="477"/>
      <c r="AP520" s="477"/>
      <c r="AQ520" s="477"/>
    </row>
    <row r="521" spans="2:43" ht="15">
      <c r="B521" s="2019"/>
      <c r="C521" s="2021"/>
      <c r="D521" s="2018"/>
      <c r="F521" s="2019"/>
      <c r="G521" s="2021"/>
      <c r="H521" s="2018"/>
      <c r="J521" s="2019"/>
      <c r="K521" s="2021"/>
      <c r="L521" s="2018"/>
      <c r="N521" s="2019"/>
      <c r="O521" s="2021"/>
      <c r="P521" s="2018"/>
      <c r="R521" s="2019"/>
      <c r="S521" s="2021"/>
      <c r="T521" s="2018"/>
      <c r="V521" s="2019"/>
      <c r="W521" s="2021"/>
      <c r="X521" s="2018"/>
      <c r="Z521" s="2019"/>
      <c r="AA521" s="2021"/>
      <c r="AB521" s="2018"/>
      <c r="AD521" s="2019"/>
      <c r="AE521" s="2021"/>
      <c r="AF521" s="2018"/>
      <c r="AH521" s="2019"/>
      <c r="AI521" s="2021"/>
      <c r="AJ521" s="2018"/>
      <c r="AL521" s="2019"/>
      <c r="AM521" s="2021"/>
      <c r="AN521" s="2018"/>
      <c r="AO521" s="477"/>
      <c r="AP521" s="477"/>
      <c r="AQ521" s="477"/>
    </row>
    <row r="522" spans="2:43" ht="15">
      <c r="B522" s="2019"/>
      <c r="C522" s="2021"/>
      <c r="D522" s="2018"/>
      <c r="F522" s="2019"/>
      <c r="G522" s="2021"/>
      <c r="H522" s="2018"/>
      <c r="J522" s="2019"/>
      <c r="K522" s="2021"/>
      <c r="L522" s="2018"/>
      <c r="N522" s="2019"/>
      <c r="O522" s="2021"/>
      <c r="P522" s="2018"/>
      <c r="R522" s="2019"/>
      <c r="S522" s="2021"/>
      <c r="T522" s="2018"/>
      <c r="V522" s="2019"/>
      <c r="W522" s="2021"/>
      <c r="X522" s="2018"/>
      <c r="Z522" s="2019"/>
      <c r="AA522" s="2021"/>
      <c r="AB522" s="2018"/>
      <c r="AD522" s="2019"/>
      <c r="AE522" s="2021"/>
      <c r="AF522" s="2018"/>
      <c r="AH522" s="2019"/>
      <c r="AI522" s="2021"/>
      <c r="AJ522" s="2018"/>
      <c r="AL522" s="2019"/>
      <c r="AM522" s="2021"/>
      <c r="AN522" s="2018"/>
      <c r="AO522" s="477"/>
      <c r="AP522" s="477"/>
      <c r="AQ522" s="477"/>
    </row>
    <row r="523" spans="2:43" ht="15">
      <c r="B523" s="2019"/>
      <c r="C523" s="2021"/>
      <c r="D523" s="2018"/>
      <c r="F523" s="2019"/>
      <c r="G523" s="2021"/>
      <c r="H523" s="2018"/>
      <c r="J523" s="2019"/>
      <c r="K523" s="2021"/>
      <c r="L523" s="2018"/>
      <c r="N523" s="2019"/>
      <c r="O523" s="2021"/>
      <c r="P523" s="2018"/>
      <c r="R523" s="2019"/>
      <c r="S523" s="2021"/>
      <c r="T523" s="2018"/>
      <c r="V523" s="2019"/>
      <c r="W523" s="2021"/>
      <c r="X523" s="2018"/>
      <c r="Z523" s="2019"/>
      <c r="AA523" s="2021"/>
      <c r="AB523" s="2018"/>
      <c r="AD523" s="2019"/>
      <c r="AE523" s="2021"/>
      <c r="AF523" s="2018"/>
      <c r="AH523" s="2019"/>
      <c r="AI523" s="2021"/>
      <c r="AJ523" s="2018"/>
      <c r="AL523" s="2019"/>
      <c r="AM523" s="2021"/>
      <c r="AN523" s="2018"/>
      <c r="AO523" s="477"/>
      <c r="AP523" s="477"/>
      <c r="AQ523" s="477"/>
    </row>
    <row r="524" spans="2:43" ht="15">
      <c r="B524" s="2019"/>
      <c r="C524" s="2021"/>
      <c r="D524" s="2018"/>
      <c r="F524" s="2019"/>
      <c r="G524" s="2021"/>
      <c r="H524" s="2018"/>
      <c r="J524" s="2019"/>
      <c r="K524" s="2021"/>
      <c r="L524" s="2018"/>
      <c r="N524" s="2019"/>
      <c r="O524" s="2021"/>
      <c r="P524" s="2018"/>
      <c r="R524" s="2019"/>
      <c r="S524" s="2021"/>
      <c r="T524" s="2018"/>
      <c r="V524" s="2019"/>
      <c r="W524" s="2021"/>
      <c r="X524" s="2018"/>
      <c r="Z524" s="2019"/>
      <c r="AA524" s="2021"/>
      <c r="AB524" s="2018"/>
      <c r="AD524" s="2019"/>
      <c r="AE524" s="2021"/>
      <c r="AF524" s="2018"/>
      <c r="AH524" s="2019"/>
      <c r="AI524" s="2021"/>
      <c r="AJ524" s="2018"/>
      <c r="AL524" s="2019"/>
      <c r="AM524" s="2021"/>
      <c r="AN524" s="2018"/>
      <c r="AO524" s="477"/>
      <c r="AP524" s="477"/>
      <c r="AQ524" s="477"/>
    </row>
    <row r="525" spans="2:43" ht="15">
      <c r="B525" s="2019"/>
      <c r="C525" s="2021"/>
      <c r="D525" s="2018"/>
      <c r="F525" s="2019"/>
      <c r="G525" s="2021"/>
      <c r="H525" s="2018"/>
      <c r="J525" s="2019"/>
      <c r="K525" s="2021"/>
      <c r="L525" s="2018"/>
      <c r="N525" s="2019"/>
      <c r="O525" s="2021"/>
      <c r="P525" s="2018"/>
      <c r="R525" s="2019"/>
      <c r="S525" s="2021"/>
      <c r="T525" s="2018"/>
      <c r="V525" s="2019"/>
      <c r="W525" s="2021"/>
      <c r="X525" s="2018"/>
      <c r="Z525" s="2019"/>
      <c r="AA525" s="2021"/>
      <c r="AB525" s="2018"/>
      <c r="AD525" s="2019"/>
      <c r="AE525" s="2021"/>
      <c r="AF525" s="2018"/>
      <c r="AH525" s="2019"/>
      <c r="AI525" s="2021"/>
      <c r="AJ525" s="2018"/>
      <c r="AL525" s="2019"/>
      <c r="AM525" s="2021"/>
      <c r="AN525" s="2018"/>
      <c r="AO525" s="477"/>
      <c r="AP525" s="477"/>
      <c r="AQ525" s="477"/>
    </row>
    <row r="526" spans="2:43" ht="15">
      <c r="B526" s="2019"/>
      <c r="C526" s="2021"/>
      <c r="D526" s="2018"/>
      <c r="F526" s="2019"/>
      <c r="G526" s="2021"/>
      <c r="H526" s="2018"/>
      <c r="J526" s="2019"/>
      <c r="K526" s="2021"/>
      <c r="L526" s="2018"/>
      <c r="N526" s="2019"/>
      <c r="O526" s="2021"/>
      <c r="P526" s="2018"/>
      <c r="R526" s="2019"/>
      <c r="S526" s="2021"/>
      <c r="T526" s="2018"/>
      <c r="V526" s="2019"/>
      <c r="W526" s="2021"/>
      <c r="X526" s="2018"/>
      <c r="Z526" s="2019"/>
      <c r="AA526" s="2021"/>
      <c r="AB526" s="2018"/>
      <c r="AD526" s="2019"/>
      <c r="AE526" s="2021"/>
      <c r="AF526" s="2018"/>
      <c r="AH526" s="2019"/>
      <c r="AI526" s="2021"/>
      <c r="AJ526" s="2018"/>
      <c r="AL526" s="2019"/>
      <c r="AM526" s="2021"/>
      <c r="AN526" s="2018"/>
      <c r="AO526" s="477"/>
      <c r="AP526" s="477"/>
      <c r="AQ526" s="477"/>
    </row>
    <row r="527" spans="2:43" ht="15">
      <c r="B527" s="2019"/>
      <c r="C527" s="2021"/>
      <c r="D527" s="2018"/>
      <c r="F527" s="2019"/>
      <c r="G527" s="2021"/>
      <c r="H527" s="2018"/>
      <c r="J527" s="2019"/>
      <c r="K527" s="2021"/>
      <c r="L527" s="2018"/>
      <c r="N527" s="2019"/>
      <c r="O527" s="2021"/>
      <c r="P527" s="2018"/>
      <c r="R527" s="2019"/>
      <c r="S527" s="2021"/>
      <c r="T527" s="2018"/>
      <c r="V527" s="2019"/>
      <c r="W527" s="2021"/>
      <c r="X527" s="2018"/>
      <c r="Z527" s="2019"/>
      <c r="AA527" s="2021"/>
      <c r="AB527" s="2018"/>
      <c r="AD527" s="2019"/>
      <c r="AE527" s="2021"/>
      <c r="AF527" s="2018"/>
      <c r="AH527" s="2019"/>
      <c r="AI527" s="2021"/>
      <c r="AJ527" s="2018"/>
      <c r="AL527" s="2019"/>
      <c r="AM527" s="2021"/>
      <c r="AN527" s="2018"/>
      <c r="AO527" s="477"/>
      <c r="AP527" s="477"/>
      <c r="AQ527" s="477"/>
    </row>
    <row r="528" spans="2:43" ht="15">
      <c r="B528" s="2019"/>
      <c r="C528" s="2021"/>
      <c r="D528" s="2018"/>
      <c r="F528" s="2019"/>
      <c r="G528" s="2021"/>
      <c r="H528" s="2018"/>
      <c r="J528" s="2019"/>
      <c r="K528" s="2021"/>
      <c r="L528" s="2018"/>
      <c r="N528" s="2019"/>
      <c r="O528" s="2021"/>
      <c r="P528" s="2018"/>
      <c r="R528" s="2019"/>
      <c r="S528" s="2021"/>
      <c r="T528" s="2018"/>
      <c r="V528" s="2019"/>
      <c r="W528" s="2021"/>
      <c r="X528" s="2018"/>
      <c r="Z528" s="2019"/>
      <c r="AA528" s="2021"/>
      <c r="AB528" s="2018"/>
      <c r="AD528" s="2019"/>
      <c r="AE528" s="2021"/>
      <c r="AF528" s="2018"/>
      <c r="AH528" s="2019"/>
      <c r="AI528" s="2021"/>
      <c r="AJ528" s="2018"/>
      <c r="AL528" s="2019"/>
      <c r="AM528" s="2021"/>
      <c r="AN528" s="2018"/>
      <c r="AO528" s="477"/>
      <c r="AP528" s="477"/>
      <c r="AQ528" s="477"/>
    </row>
    <row r="529" spans="2:43" ht="15">
      <c r="B529" s="2019"/>
      <c r="C529" s="2021"/>
      <c r="D529" s="2018"/>
      <c r="F529" s="2019"/>
      <c r="G529" s="2021"/>
      <c r="H529" s="2018"/>
      <c r="J529" s="2019"/>
      <c r="K529" s="2021"/>
      <c r="L529" s="2018"/>
      <c r="N529" s="2019"/>
      <c r="O529" s="2021"/>
      <c r="P529" s="2018"/>
      <c r="R529" s="2019"/>
      <c r="S529" s="2021"/>
      <c r="T529" s="2018"/>
      <c r="V529" s="2019"/>
      <c r="W529" s="2021"/>
      <c r="X529" s="2018"/>
      <c r="Z529" s="2019"/>
      <c r="AA529" s="2021"/>
      <c r="AB529" s="2018"/>
      <c r="AD529" s="2019"/>
      <c r="AE529" s="2021"/>
      <c r="AF529" s="2018"/>
      <c r="AH529" s="2019"/>
      <c r="AI529" s="2021"/>
      <c r="AJ529" s="2018"/>
      <c r="AL529" s="2019"/>
      <c r="AM529" s="2021"/>
      <c r="AN529" s="2018"/>
      <c r="AO529" s="477"/>
      <c r="AP529" s="477"/>
      <c r="AQ529" s="477"/>
    </row>
    <row r="530" spans="2:43" ht="15">
      <c r="B530" s="2019"/>
      <c r="C530" s="2021"/>
      <c r="D530" s="2018"/>
      <c r="F530" s="2019"/>
      <c r="G530" s="2021"/>
      <c r="H530" s="2018"/>
      <c r="J530" s="2019"/>
      <c r="K530" s="2021"/>
      <c r="L530" s="2018"/>
      <c r="N530" s="2019"/>
      <c r="O530" s="2021"/>
      <c r="P530" s="2018"/>
      <c r="R530" s="2019"/>
      <c r="S530" s="2021"/>
      <c r="T530" s="2018"/>
      <c r="V530" s="2019"/>
      <c r="W530" s="2021"/>
      <c r="X530" s="2018"/>
      <c r="Z530" s="2019"/>
      <c r="AA530" s="2021"/>
      <c r="AB530" s="2018"/>
      <c r="AD530" s="2019"/>
      <c r="AE530" s="2021"/>
      <c r="AF530" s="2018"/>
      <c r="AH530" s="2019"/>
      <c r="AI530" s="2021"/>
      <c r="AJ530" s="2018"/>
      <c r="AL530" s="2019"/>
      <c r="AM530" s="2021"/>
      <c r="AN530" s="2018"/>
      <c r="AO530" s="477"/>
      <c r="AP530" s="477"/>
      <c r="AQ530" s="477"/>
    </row>
    <row r="531" spans="2:43" ht="15">
      <c r="B531" s="2019"/>
      <c r="C531" s="2021"/>
      <c r="D531" s="2018"/>
      <c r="F531" s="2019"/>
      <c r="G531" s="2021"/>
      <c r="H531" s="2018"/>
      <c r="J531" s="2019"/>
      <c r="K531" s="2021"/>
      <c r="L531" s="2018"/>
      <c r="N531" s="2019"/>
      <c r="O531" s="2021"/>
      <c r="P531" s="2018"/>
      <c r="R531" s="2019"/>
      <c r="S531" s="2021"/>
      <c r="T531" s="2018"/>
      <c r="V531" s="2019"/>
      <c r="W531" s="2021"/>
      <c r="X531" s="2018"/>
      <c r="Z531" s="2019"/>
      <c r="AA531" s="2021"/>
      <c r="AB531" s="2018"/>
      <c r="AD531" s="2019"/>
      <c r="AE531" s="2021"/>
      <c r="AF531" s="2018"/>
      <c r="AH531" s="2019"/>
      <c r="AI531" s="2021"/>
      <c r="AJ531" s="2018"/>
      <c r="AL531" s="2019"/>
      <c r="AM531" s="2021"/>
      <c r="AN531" s="2018"/>
      <c r="AO531" s="477"/>
      <c r="AP531" s="477"/>
      <c r="AQ531" s="477"/>
    </row>
    <row r="532" spans="2:43" ht="15">
      <c r="B532" s="2019"/>
      <c r="C532" s="2021"/>
      <c r="D532" s="2018"/>
      <c r="F532" s="2019"/>
      <c r="G532" s="2021"/>
      <c r="H532" s="2018"/>
      <c r="J532" s="2019"/>
      <c r="K532" s="2021"/>
      <c r="L532" s="2018"/>
      <c r="N532" s="2019"/>
      <c r="O532" s="2021"/>
      <c r="P532" s="2018"/>
      <c r="R532" s="2019"/>
      <c r="S532" s="2021"/>
      <c r="T532" s="2018"/>
      <c r="V532" s="2019"/>
      <c r="W532" s="2021"/>
      <c r="X532" s="2018"/>
      <c r="Z532" s="2019"/>
      <c r="AA532" s="2021"/>
      <c r="AB532" s="2018"/>
      <c r="AD532" s="2019"/>
      <c r="AE532" s="2021"/>
      <c r="AF532" s="2018"/>
      <c r="AH532" s="2019"/>
      <c r="AI532" s="2021"/>
      <c r="AJ532" s="2018"/>
      <c r="AL532" s="2019"/>
      <c r="AM532" s="2021"/>
      <c r="AN532" s="2018"/>
      <c r="AO532" s="477"/>
      <c r="AP532" s="477"/>
      <c r="AQ532" s="477"/>
    </row>
    <row r="533" spans="2:43" ht="15">
      <c r="B533" s="2019"/>
      <c r="C533" s="2021"/>
      <c r="D533" s="2018"/>
      <c r="F533" s="2019"/>
      <c r="G533" s="2021"/>
      <c r="H533" s="2018"/>
      <c r="J533" s="2019"/>
      <c r="K533" s="2021"/>
      <c r="L533" s="2018"/>
      <c r="N533" s="2019"/>
      <c r="O533" s="2021"/>
      <c r="P533" s="2018"/>
      <c r="R533" s="2019"/>
      <c r="S533" s="2021"/>
      <c r="T533" s="2018"/>
      <c r="V533" s="2019"/>
      <c r="W533" s="2021"/>
      <c r="X533" s="2018"/>
      <c r="Z533" s="2019"/>
      <c r="AA533" s="2021"/>
      <c r="AB533" s="2018"/>
      <c r="AD533" s="2019"/>
      <c r="AE533" s="2021"/>
      <c r="AF533" s="2018"/>
      <c r="AH533" s="2019"/>
      <c r="AI533" s="2021"/>
      <c r="AJ533" s="2018"/>
      <c r="AL533" s="2019"/>
      <c r="AM533" s="2021"/>
      <c r="AN533" s="2018"/>
      <c r="AO533" s="477"/>
      <c r="AP533" s="477"/>
      <c r="AQ533" s="477"/>
    </row>
    <row r="534" spans="2:43" ht="15">
      <c r="B534" s="2019"/>
      <c r="C534" s="2021"/>
      <c r="D534" s="2018"/>
      <c r="F534" s="2019"/>
      <c r="G534" s="2021"/>
      <c r="H534" s="2018"/>
      <c r="J534" s="2019"/>
      <c r="K534" s="2021"/>
      <c r="L534" s="2018"/>
      <c r="N534" s="2019"/>
      <c r="O534" s="2021"/>
      <c r="P534" s="2018"/>
      <c r="R534" s="2019"/>
      <c r="S534" s="2021"/>
      <c r="T534" s="2018"/>
      <c r="V534" s="2019"/>
      <c r="W534" s="2021"/>
      <c r="X534" s="2018"/>
      <c r="Z534" s="2019"/>
      <c r="AA534" s="2021"/>
      <c r="AB534" s="2018"/>
      <c r="AD534" s="2019"/>
      <c r="AE534" s="2021"/>
      <c r="AF534" s="2018"/>
      <c r="AH534" s="2019"/>
      <c r="AI534" s="2021"/>
      <c r="AJ534" s="2018"/>
      <c r="AL534" s="2019"/>
      <c r="AM534" s="2021"/>
      <c r="AN534" s="2018"/>
      <c r="AO534" s="477"/>
      <c r="AP534" s="477"/>
      <c r="AQ534" s="477"/>
    </row>
    <row r="535" spans="2:43" ht="15">
      <c r="B535" s="2019"/>
      <c r="C535" s="2021"/>
      <c r="D535" s="2018"/>
      <c r="F535" s="2019"/>
      <c r="G535" s="2021"/>
      <c r="H535" s="2018"/>
      <c r="J535" s="2019"/>
      <c r="K535" s="2021"/>
      <c r="L535" s="2018"/>
      <c r="N535" s="2019"/>
      <c r="O535" s="2021"/>
      <c r="P535" s="2018"/>
      <c r="R535" s="2019"/>
      <c r="S535" s="2021"/>
      <c r="T535" s="2018"/>
      <c r="V535" s="2019"/>
      <c r="W535" s="2021"/>
      <c r="X535" s="2018"/>
      <c r="Z535" s="2019"/>
      <c r="AA535" s="2021"/>
      <c r="AB535" s="2018"/>
      <c r="AD535" s="2019"/>
      <c r="AE535" s="2021"/>
      <c r="AF535" s="2018"/>
      <c r="AH535" s="2019"/>
      <c r="AI535" s="2021"/>
      <c r="AJ535" s="2018"/>
      <c r="AL535" s="2019"/>
      <c r="AM535" s="2021"/>
      <c r="AN535" s="2018"/>
      <c r="AO535" s="477"/>
      <c r="AP535" s="477"/>
      <c r="AQ535" s="477"/>
    </row>
    <row r="536" spans="2:43" ht="15">
      <c r="B536" s="2019"/>
      <c r="C536" s="2021"/>
      <c r="D536" s="2018"/>
      <c r="F536" s="2019"/>
      <c r="G536" s="2021"/>
      <c r="H536" s="2018"/>
      <c r="J536" s="2019"/>
      <c r="K536" s="2021"/>
      <c r="L536" s="2018"/>
      <c r="N536" s="2019"/>
      <c r="O536" s="2021"/>
      <c r="P536" s="2018"/>
      <c r="R536" s="2019"/>
      <c r="S536" s="2021"/>
      <c r="T536" s="2018"/>
      <c r="V536" s="2019"/>
      <c r="W536" s="2021"/>
      <c r="X536" s="2018"/>
      <c r="Z536" s="2019"/>
      <c r="AA536" s="2021"/>
      <c r="AB536" s="2018"/>
      <c r="AD536" s="2019"/>
      <c r="AE536" s="2021"/>
      <c r="AF536" s="2018"/>
      <c r="AH536" s="2019"/>
      <c r="AI536" s="2021"/>
      <c r="AJ536" s="2018"/>
      <c r="AL536" s="2019"/>
      <c r="AM536" s="2021"/>
      <c r="AN536" s="2018"/>
      <c r="AO536" s="477"/>
      <c r="AP536" s="477"/>
      <c r="AQ536" s="477"/>
    </row>
    <row r="537" spans="2:43" ht="15">
      <c r="B537" s="2019"/>
      <c r="C537" s="2021"/>
      <c r="D537" s="2018"/>
      <c r="F537" s="2019"/>
      <c r="G537" s="2021"/>
      <c r="H537" s="2018"/>
      <c r="J537" s="2019"/>
      <c r="K537" s="2021"/>
      <c r="L537" s="2018"/>
      <c r="N537" s="2019"/>
      <c r="O537" s="2021"/>
      <c r="P537" s="2018"/>
      <c r="R537" s="2019"/>
      <c r="S537" s="2021"/>
      <c r="T537" s="2018"/>
      <c r="V537" s="2019"/>
      <c r="W537" s="2021"/>
      <c r="X537" s="2018"/>
      <c r="Z537" s="2019"/>
      <c r="AA537" s="2021"/>
      <c r="AB537" s="2018"/>
      <c r="AD537" s="2019"/>
      <c r="AE537" s="2021"/>
      <c r="AF537" s="2018"/>
      <c r="AH537" s="2019"/>
      <c r="AI537" s="2021"/>
      <c r="AJ537" s="2018"/>
      <c r="AL537" s="2019"/>
      <c r="AM537" s="2021"/>
      <c r="AN537" s="2018"/>
      <c r="AO537" s="477"/>
      <c r="AP537" s="477"/>
      <c r="AQ537" s="477"/>
    </row>
    <row r="538" spans="2:43" ht="15">
      <c r="B538" s="2019"/>
      <c r="C538" s="2021"/>
      <c r="D538" s="2018"/>
      <c r="F538" s="2019"/>
      <c r="G538" s="2021"/>
      <c r="H538" s="2018"/>
      <c r="J538" s="2019"/>
      <c r="K538" s="2021"/>
      <c r="L538" s="2018"/>
      <c r="N538" s="2019"/>
      <c r="O538" s="2021"/>
      <c r="P538" s="2018"/>
      <c r="R538" s="2019"/>
      <c r="S538" s="2021"/>
      <c r="T538" s="2018"/>
      <c r="V538" s="2019"/>
      <c r="W538" s="2021"/>
      <c r="X538" s="2018"/>
      <c r="Z538" s="2019"/>
      <c r="AA538" s="2021"/>
      <c r="AB538" s="2018"/>
      <c r="AD538" s="2019"/>
      <c r="AE538" s="2021"/>
      <c r="AF538" s="2018"/>
      <c r="AH538" s="2019"/>
      <c r="AI538" s="2021"/>
      <c r="AJ538" s="2018"/>
      <c r="AL538" s="2019"/>
      <c r="AM538" s="2021"/>
      <c r="AN538" s="2018"/>
      <c r="AO538" s="477"/>
      <c r="AP538" s="477"/>
      <c r="AQ538" s="477"/>
    </row>
    <row r="539" spans="2:43" ht="15">
      <c r="B539" s="2019"/>
      <c r="C539" s="2021"/>
      <c r="D539" s="2018"/>
      <c r="F539" s="2019"/>
      <c r="G539" s="2021"/>
      <c r="H539" s="2018"/>
      <c r="J539" s="2019"/>
      <c r="K539" s="2021"/>
      <c r="L539" s="2018"/>
      <c r="N539" s="2019"/>
      <c r="O539" s="2021"/>
      <c r="P539" s="2018"/>
      <c r="R539" s="2019"/>
      <c r="S539" s="2021"/>
      <c r="T539" s="2018"/>
      <c r="V539" s="2019"/>
      <c r="W539" s="2021"/>
      <c r="X539" s="2018"/>
      <c r="Z539" s="2019"/>
      <c r="AA539" s="2021"/>
      <c r="AB539" s="2018"/>
      <c r="AD539" s="2019"/>
      <c r="AE539" s="2021"/>
      <c r="AF539" s="2018"/>
      <c r="AH539" s="2019"/>
      <c r="AI539" s="2021"/>
      <c r="AJ539" s="2018"/>
      <c r="AL539" s="2019"/>
      <c r="AM539" s="2021"/>
      <c r="AN539" s="2018"/>
      <c r="AO539" s="477"/>
      <c r="AP539" s="477"/>
      <c r="AQ539" s="477"/>
    </row>
    <row r="540" spans="2:43" ht="15">
      <c r="B540" s="2019"/>
      <c r="C540" s="2021"/>
      <c r="D540" s="2018"/>
      <c r="F540" s="2019"/>
      <c r="G540" s="2021"/>
      <c r="H540" s="2018"/>
      <c r="J540" s="2019"/>
      <c r="K540" s="2021"/>
      <c r="L540" s="2018"/>
      <c r="N540" s="2019"/>
      <c r="O540" s="2021"/>
      <c r="P540" s="2018"/>
      <c r="R540" s="2019"/>
      <c r="S540" s="2021"/>
      <c r="T540" s="2018"/>
      <c r="V540" s="2019"/>
      <c r="W540" s="2021"/>
      <c r="X540" s="2018"/>
      <c r="Z540" s="2019"/>
      <c r="AA540" s="2021"/>
      <c r="AB540" s="2018"/>
      <c r="AD540" s="2019"/>
      <c r="AE540" s="2021"/>
      <c r="AF540" s="2018"/>
      <c r="AH540" s="2019"/>
      <c r="AI540" s="2021"/>
      <c r="AJ540" s="2018"/>
      <c r="AL540" s="2019"/>
      <c r="AM540" s="2021"/>
      <c r="AN540" s="2018"/>
      <c r="AO540" s="477"/>
      <c r="AP540" s="477"/>
      <c r="AQ540" s="477"/>
    </row>
    <row r="541" spans="2:43" ht="15">
      <c r="B541" s="2019"/>
      <c r="C541" s="2021"/>
      <c r="D541" s="2018"/>
      <c r="F541" s="2019"/>
      <c r="G541" s="2021"/>
      <c r="H541" s="2018"/>
      <c r="J541" s="2019"/>
      <c r="K541" s="2021"/>
      <c r="L541" s="2018"/>
      <c r="N541" s="2019"/>
      <c r="O541" s="2021"/>
      <c r="P541" s="2018"/>
      <c r="R541" s="2019"/>
      <c r="S541" s="2021"/>
      <c r="T541" s="2018"/>
      <c r="V541" s="2019"/>
      <c r="W541" s="2021"/>
      <c r="X541" s="2018"/>
      <c r="Z541" s="2019"/>
      <c r="AA541" s="2021"/>
      <c r="AB541" s="2018"/>
      <c r="AD541" s="2019"/>
      <c r="AE541" s="2021"/>
      <c r="AF541" s="2018"/>
      <c r="AH541" s="2019"/>
      <c r="AI541" s="2021"/>
      <c r="AJ541" s="2018"/>
      <c r="AL541" s="2019"/>
      <c r="AM541" s="2021"/>
      <c r="AN541" s="2018"/>
      <c r="AO541" s="477"/>
      <c r="AP541" s="477"/>
      <c r="AQ541" s="477"/>
    </row>
    <row r="542" spans="2:43" ht="15">
      <c r="B542" s="2019"/>
      <c r="C542" s="2021"/>
      <c r="D542" s="2018"/>
      <c r="F542" s="2019"/>
      <c r="G542" s="2021"/>
      <c r="H542" s="2018"/>
      <c r="J542" s="2019"/>
      <c r="K542" s="2021"/>
      <c r="L542" s="2018"/>
      <c r="N542" s="2019"/>
      <c r="O542" s="2021"/>
      <c r="P542" s="2018"/>
      <c r="R542" s="2019"/>
      <c r="S542" s="2021"/>
      <c r="T542" s="2018"/>
      <c r="V542" s="2019"/>
      <c r="W542" s="2021"/>
      <c r="X542" s="2018"/>
      <c r="Z542" s="2019"/>
      <c r="AA542" s="2021"/>
      <c r="AB542" s="2018"/>
      <c r="AD542" s="2019"/>
      <c r="AE542" s="2021"/>
      <c r="AF542" s="2018"/>
      <c r="AH542" s="2019"/>
      <c r="AI542" s="2021"/>
      <c r="AJ542" s="2018"/>
      <c r="AL542" s="2019"/>
      <c r="AM542" s="2021"/>
      <c r="AN542" s="2018"/>
      <c r="AO542" s="477"/>
      <c r="AP542" s="477"/>
      <c r="AQ542" s="477"/>
    </row>
    <row r="543" spans="2:43" ht="15">
      <c r="B543" s="2019"/>
      <c r="C543" s="2021"/>
      <c r="D543" s="2018"/>
      <c r="F543" s="2019"/>
      <c r="G543" s="2021"/>
      <c r="H543" s="2018"/>
      <c r="J543" s="2019"/>
      <c r="K543" s="2021"/>
      <c r="L543" s="2018"/>
      <c r="N543" s="2019"/>
      <c r="O543" s="2021"/>
      <c r="P543" s="2018"/>
      <c r="R543" s="2019"/>
      <c r="S543" s="2021"/>
      <c r="T543" s="2018"/>
      <c r="V543" s="2019"/>
      <c r="W543" s="2021"/>
      <c r="X543" s="2018"/>
      <c r="Z543" s="2019"/>
      <c r="AA543" s="2021"/>
      <c r="AB543" s="2018"/>
      <c r="AD543" s="2019"/>
      <c r="AE543" s="2021"/>
      <c r="AF543" s="2018"/>
      <c r="AH543" s="2019"/>
      <c r="AI543" s="2021"/>
      <c r="AJ543" s="2018"/>
      <c r="AL543" s="2019"/>
      <c r="AM543" s="2021"/>
      <c r="AN543" s="2018"/>
      <c r="AO543" s="477"/>
      <c r="AP543" s="477"/>
      <c r="AQ543" s="477"/>
    </row>
    <row r="544" spans="2:43" ht="15">
      <c r="B544" s="2019"/>
      <c r="C544" s="2021"/>
      <c r="D544" s="2018"/>
      <c r="F544" s="2019"/>
      <c r="G544" s="2021"/>
      <c r="H544" s="2018"/>
      <c r="J544" s="2019"/>
      <c r="K544" s="2021"/>
      <c r="L544" s="2018"/>
      <c r="N544" s="2019"/>
      <c r="O544" s="2021"/>
      <c r="P544" s="2018"/>
      <c r="R544" s="2019"/>
      <c r="S544" s="2021"/>
      <c r="T544" s="2018"/>
      <c r="V544" s="2019"/>
      <c r="W544" s="2021"/>
      <c r="X544" s="2018"/>
      <c r="Z544" s="2019"/>
      <c r="AA544" s="2021"/>
      <c r="AB544" s="2018"/>
      <c r="AD544" s="2019"/>
      <c r="AE544" s="2021"/>
      <c r="AF544" s="2018"/>
      <c r="AH544" s="2019"/>
      <c r="AI544" s="2021"/>
      <c r="AJ544" s="2018"/>
      <c r="AL544" s="2019"/>
      <c r="AM544" s="2021"/>
      <c r="AN544" s="2018"/>
      <c r="AO544" s="477"/>
      <c r="AP544" s="477"/>
      <c r="AQ544" s="477"/>
    </row>
    <row r="545" spans="2:43" ht="15">
      <c r="B545" s="2019"/>
      <c r="C545" s="2021"/>
      <c r="D545" s="2018"/>
      <c r="F545" s="2019"/>
      <c r="G545" s="2021"/>
      <c r="H545" s="2018"/>
      <c r="J545" s="2019"/>
      <c r="K545" s="2021"/>
      <c r="L545" s="2018"/>
      <c r="N545" s="2019"/>
      <c r="O545" s="2021"/>
      <c r="P545" s="2018"/>
      <c r="R545" s="2019"/>
      <c r="S545" s="2021"/>
      <c r="T545" s="2018"/>
      <c r="V545" s="2019"/>
      <c r="W545" s="2021"/>
      <c r="X545" s="2018"/>
      <c r="Z545" s="2019"/>
      <c r="AA545" s="2021"/>
      <c r="AB545" s="2018"/>
      <c r="AD545" s="2019"/>
      <c r="AE545" s="2021"/>
      <c r="AF545" s="2018"/>
      <c r="AH545" s="2019"/>
      <c r="AI545" s="2021"/>
      <c r="AJ545" s="2018"/>
      <c r="AL545" s="2019"/>
      <c r="AM545" s="2021"/>
      <c r="AN545" s="2018"/>
      <c r="AO545" s="477"/>
      <c r="AP545" s="477"/>
      <c r="AQ545" s="477"/>
    </row>
    <row r="546" spans="2:43" ht="15">
      <c r="B546" s="2019"/>
      <c r="C546" s="2021"/>
      <c r="D546" s="2018"/>
      <c r="F546" s="2019"/>
      <c r="G546" s="2021"/>
      <c r="H546" s="2018"/>
      <c r="J546" s="2019"/>
      <c r="K546" s="2021"/>
      <c r="L546" s="2018"/>
      <c r="N546" s="2019"/>
      <c r="O546" s="2021"/>
      <c r="P546" s="2018"/>
      <c r="R546" s="2019"/>
      <c r="S546" s="2021"/>
      <c r="T546" s="2018"/>
      <c r="V546" s="2019"/>
      <c r="W546" s="2021"/>
      <c r="X546" s="2018"/>
      <c r="Z546" s="2019"/>
      <c r="AA546" s="2021"/>
      <c r="AB546" s="2018"/>
      <c r="AD546" s="2019"/>
      <c r="AE546" s="2021"/>
      <c r="AF546" s="2018"/>
      <c r="AH546" s="2019"/>
      <c r="AI546" s="2021"/>
      <c r="AJ546" s="2018"/>
      <c r="AL546" s="2019"/>
      <c r="AM546" s="2021"/>
      <c r="AN546" s="2018"/>
      <c r="AO546" s="477"/>
      <c r="AP546" s="477"/>
      <c r="AQ546" s="477"/>
    </row>
    <row r="547" spans="2:43" ht="15">
      <c r="B547" s="2019"/>
      <c r="C547" s="2021"/>
      <c r="D547" s="2018"/>
      <c r="F547" s="2019"/>
      <c r="G547" s="2021"/>
      <c r="H547" s="2018"/>
      <c r="J547" s="2019"/>
      <c r="K547" s="2021"/>
      <c r="L547" s="2018"/>
      <c r="N547" s="2019"/>
      <c r="O547" s="2021"/>
      <c r="P547" s="2018"/>
      <c r="R547" s="2019"/>
      <c r="S547" s="2021"/>
      <c r="T547" s="2018"/>
      <c r="V547" s="2019"/>
      <c r="W547" s="2021"/>
      <c r="X547" s="2018"/>
      <c r="Z547" s="2019"/>
      <c r="AA547" s="2021"/>
      <c r="AB547" s="2018"/>
      <c r="AD547" s="2019"/>
      <c r="AE547" s="2021"/>
      <c r="AF547" s="2018"/>
      <c r="AH547" s="2019"/>
      <c r="AI547" s="2021"/>
      <c r="AJ547" s="2018"/>
      <c r="AL547" s="2019"/>
      <c r="AM547" s="2021"/>
      <c r="AN547" s="2018"/>
      <c r="AO547" s="477"/>
      <c r="AP547" s="477"/>
      <c r="AQ547" s="477"/>
    </row>
    <row r="548" spans="2:43" ht="15">
      <c r="B548" s="2019"/>
      <c r="C548" s="2021"/>
      <c r="D548" s="2018"/>
      <c r="F548" s="2019"/>
      <c r="G548" s="2021"/>
      <c r="H548" s="2018"/>
      <c r="J548" s="2019"/>
      <c r="K548" s="2021"/>
      <c r="L548" s="2018"/>
      <c r="N548" s="2019"/>
      <c r="O548" s="2021"/>
      <c r="P548" s="2018"/>
      <c r="R548" s="2019"/>
      <c r="S548" s="2021"/>
      <c r="T548" s="2018"/>
      <c r="V548" s="2019"/>
      <c r="W548" s="2021"/>
      <c r="X548" s="2018"/>
      <c r="Z548" s="2019"/>
      <c r="AA548" s="2021"/>
      <c r="AB548" s="2018"/>
      <c r="AD548" s="2019"/>
      <c r="AE548" s="2021"/>
      <c r="AF548" s="2018"/>
      <c r="AH548" s="2019"/>
      <c r="AI548" s="2021"/>
      <c r="AJ548" s="2018"/>
      <c r="AL548" s="2019"/>
      <c r="AM548" s="2021"/>
      <c r="AN548" s="2018"/>
      <c r="AO548" s="477"/>
      <c r="AP548" s="477"/>
      <c r="AQ548" s="477"/>
    </row>
    <row r="549" spans="2:43" ht="15">
      <c r="B549" s="2019"/>
      <c r="C549" s="2021"/>
      <c r="D549" s="2018"/>
      <c r="F549" s="2019"/>
      <c r="G549" s="2021"/>
      <c r="H549" s="2018"/>
      <c r="J549" s="2019"/>
      <c r="K549" s="2021"/>
      <c r="L549" s="2018"/>
      <c r="N549" s="2019"/>
      <c r="O549" s="2021"/>
      <c r="P549" s="2018"/>
      <c r="R549" s="2019"/>
      <c r="S549" s="2021"/>
      <c r="T549" s="2018"/>
      <c r="V549" s="2019"/>
      <c r="W549" s="2021"/>
      <c r="X549" s="2018"/>
      <c r="Z549" s="2019"/>
      <c r="AA549" s="2021"/>
      <c r="AB549" s="2018"/>
      <c r="AD549" s="2019"/>
      <c r="AE549" s="2021"/>
      <c r="AF549" s="2018"/>
      <c r="AH549" s="2019"/>
      <c r="AI549" s="2021"/>
      <c r="AJ549" s="2018"/>
      <c r="AL549" s="2019"/>
      <c r="AM549" s="2021"/>
      <c r="AN549" s="2018"/>
      <c r="AO549" s="477"/>
      <c r="AP549" s="477"/>
      <c r="AQ549" s="477"/>
    </row>
    <row r="550" spans="2:43" ht="15">
      <c r="B550" s="2019"/>
      <c r="C550" s="2021"/>
      <c r="D550" s="2018"/>
      <c r="F550" s="2019"/>
      <c r="G550" s="2021"/>
      <c r="H550" s="2018"/>
      <c r="J550" s="2019"/>
      <c r="K550" s="2021"/>
      <c r="L550" s="2018"/>
      <c r="N550" s="2019"/>
      <c r="O550" s="2021"/>
      <c r="P550" s="2018"/>
      <c r="R550" s="2019"/>
      <c r="S550" s="2021"/>
      <c r="T550" s="2018"/>
      <c r="V550" s="2019"/>
      <c r="W550" s="2021"/>
      <c r="X550" s="2018"/>
      <c r="Z550" s="2019"/>
      <c r="AA550" s="2021"/>
      <c r="AB550" s="2018"/>
      <c r="AD550" s="2019"/>
      <c r="AE550" s="2021"/>
      <c r="AF550" s="2018"/>
      <c r="AH550" s="2019"/>
      <c r="AI550" s="2021"/>
      <c r="AJ550" s="2018"/>
      <c r="AL550" s="2019"/>
      <c r="AM550" s="2021"/>
      <c r="AN550" s="2018"/>
      <c r="AO550" s="477"/>
      <c r="AP550" s="477"/>
      <c r="AQ550" s="477"/>
    </row>
    <row r="551" spans="2:43" ht="15">
      <c r="B551" s="2019"/>
      <c r="C551" s="2021"/>
      <c r="D551" s="2018"/>
      <c r="F551" s="2019"/>
      <c r="G551" s="2021"/>
      <c r="H551" s="2018"/>
      <c r="J551" s="2019"/>
      <c r="K551" s="2021"/>
      <c r="L551" s="2018"/>
      <c r="N551" s="2019"/>
      <c r="O551" s="2021"/>
      <c r="P551" s="2018"/>
      <c r="R551" s="2019"/>
      <c r="S551" s="2021"/>
      <c r="T551" s="2018"/>
      <c r="V551" s="2019"/>
      <c r="W551" s="2021"/>
      <c r="X551" s="2018"/>
      <c r="Z551" s="2019"/>
      <c r="AA551" s="2021"/>
      <c r="AB551" s="2018"/>
      <c r="AD551" s="2019"/>
      <c r="AE551" s="2021"/>
      <c r="AF551" s="2018"/>
      <c r="AH551" s="2019"/>
      <c r="AI551" s="2021"/>
      <c r="AJ551" s="2018"/>
      <c r="AL551" s="2019"/>
      <c r="AM551" s="2021"/>
      <c r="AN551" s="2018"/>
      <c r="AO551" s="477"/>
      <c r="AP551" s="477"/>
      <c r="AQ551" s="477"/>
    </row>
    <row r="552" spans="2:43" ht="15">
      <c r="B552" s="2019"/>
      <c r="C552" s="2021"/>
      <c r="D552" s="2018"/>
      <c r="F552" s="2019"/>
      <c r="G552" s="2021"/>
      <c r="H552" s="2018"/>
      <c r="J552" s="2019"/>
      <c r="K552" s="2021"/>
      <c r="L552" s="2018"/>
      <c r="N552" s="2019"/>
      <c r="O552" s="2021"/>
      <c r="P552" s="2018"/>
      <c r="R552" s="2019"/>
      <c r="S552" s="2021"/>
      <c r="T552" s="2018"/>
      <c r="V552" s="2019"/>
      <c r="W552" s="2021"/>
      <c r="X552" s="2018"/>
      <c r="Z552" s="2019"/>
      <c r="AA552" s="2021"/>
      <c r="AB552" s="2018"/>
      <c r="AD552" s="2019"/>
      <c r="AE552" s="2021"/>
      <c r="AF552" s="2018"/>
      <c r="AH552" s="2019"/>
      <c r="AI552" s="2021"/>
      <c r="AJ552" s="2018"/>
      <c r="AL552" s="2019"/>
      <c r="AM552" s="2021"/>
      <c r="AN552" s="2018"/>
      <c r="AO552" s="477"/>
      <c r="AP552" s="477"/>
      <c r="AQ552" s="477"/>
    </row>
    <row r="553" spans="2:43" ht="15">
      <c r="B553" s="2019"/>
      <c r="C553" s="2021"/>
      <c r="D553" s="2018"/>
      <c r="F553" s="2019"/>
      <c r="G553" s="2021"/>
      <c r="H553" s="2018"/>
      <c r="J553" s="2019"/>
      <c r="K553" s="2021"/>
      <c r="L553" s="2018"/>
      <c r="N553" s="2019"/>
      <c r="O553" s="2021"/>
      <c r="P553" s="2018"/>
      <c r="R553" s="2019"/>
      <c r="S553" s="2021"/>
      <c r="T553" s="2018"/>
      <c r="V553" s="2019"/>
      <c r="W553" s="2021"/>
      <c r="X553" s="2018"/>
      <c r="Z553" s="2019"/>
      <c r="AA553" s="2021"/>
      <c r="AB553" s="2018"/>
      <c r="AD553" s="2019"/>
      <c r="AE553" s="2021"/>
      <c r="AF553" s="2018"/>
      <c r="AH553" s="2019"/>
      <c r="AI553" s="2021"/>
      <c r="AJ553" s="2018"/>
      <c r="AL553" s="2019"/>
      <c r="AM553" s="2021"/>
      <c r="AN553" s="2018"/>
      <c r="AO553" s="477"/>
      <c r="AP553" s="477"/>
      <c r="AQ553" s="477"/>
    </row>
    <row r="554" spans="2:43" ht="15">
      <c r="B554" s="2019"/>
      <c r="C554" s="2021"/>
      <c r="D554" s="2018"/>
      <c r="F554" s="2019"/>
      <c r="G554" s="2021"/>
      <c r="H554" s="2018"/>
      <c r="J554" s="2019"/>
      <c r="K554" s="2021"/>
      <c r="L554" s="2018"/>
      <c r="N554" s="2019"/>
      <c r="O554" s="2021"/>
      <c r="P554" s="2018"/>
      <c r="R554" s="2019"/>
      <c r="S554" s="2021"/>
      <c r="T554" s="2018"/>
      <c r="V554" s="2019"/>
      <c r="W554" s="2021"/>
      <c r="X554" s="2018"/>
      <c r="Z554" s="2019"/>
      <c r="AA554" s="2021"/>
      <c r="AB554" s="2018"/>
      <c r="AD554" s="2019"/>
      <c r="AE554" s="2021"/>
      <c r="AF554" s="2018"/>
      <c r="AH554" s="2019"/>
      <c r="AI554" s="2021"/>
      <c r="AJ554" s="2018"/>
      <c r="AL554" s="2019"/>
      <c r="AM554" s="2021"/>
      <c r="AN554" s="2018"/>
      <c r="AO554" s="477"/>
      <c r="AP554" s="477"/>
      <c r="AQ554" s="477"/>
    </row>
    <row r="555" spans="2:43" ht="15">
      <c r="B555" s="2019"/>
      <c r="C555" s="2021"/>
      <c r="D555" s="2018"/>
      <c r="F555" s="2019"/>
      <c r="G555" s="2021"/>
      <c r="H555" s="2018"/>
      <c r="J555" s="2019"/>
      <c r="K555" s="2021"/>
      <c r="L555" s="2018"/>
      <c r="N555" s="2019"/>
      <c r="O555" s="2021"/>
      <c r="P555" s="2018"/>
      <c r="R555" s="2019"/>
      <c r="S555" s="2021"/>
      <c r="T555" s="2018"/>
      <c r="V555" s="2019"/>
      <c r="W555" s="2021"/>
      <c r="X555" s="2018"/>
      <c r="Z555" s="2019"/>
      <c r="AA555" s="2021"/>
      <c r="AB555" s="2018"/>
      <c r="AD555" s="2019"/>
      <c r="AE555" s="2021"/>
      <c r="AF555" s="2018"/>
      <c r="AH555" s="2019"/>
      <c r="AI555" s="2021"/>
      <c r="AJ555" s="2018"/>
      <c r="AL555" s="2019"/>
      <c r="AM555" s="2021"/>
      <c r="AN555" s="2018"/>
      <c r="AO555" s="477"/>
      <c r="AP555" s="477"/>
      <c r="AQ555" s="477"/>
    </row>
    <row r="556" spans="2:43" ht="15">
      <c r="B556" s="2019"/>
      <c r="C556" s="2021"/>
      <c r="D556" s="2018"/>
      <c r="F556" s="2019"/>
      <c r="G556" s="2021"/>
      <c r="H556" s="2018"/>
      <c r="J556" s="2019"/>
      <c r="K556" s="2021"/>
      <c r="L556" s="2018"/>
      <c r="N556" s="2019"/>
      <c r="O556" s="2021"/>
      <c r="P556" s="2018"/>
      <c r="R556" s="2019"/>
      <c r="S556" s="2021"/>
      <c r="T556" s="2018"/>
      <c r="V556" s="2019"/>
      <c r="W556" s="2021"/>
      <c r="X556" s="2018"/>
      <c r="Z556" s="2019"/>
      <c r="AA556" s="2021"/>
      <c r="AB556" s="2018"/>
      <c r="AD556" s="2019"/>
      <c r="AE556" s="2021"/>
      <c r="AF556" s="2018"/>
      <c r="AH556" s="2019"/>
      <c r="AI556" s="2021"/>
      <c r="AJ556" s="2018"/>
      <c r="AL556" s="2019"/>
      <c r="AM556" s="2021"/>
      <c r="AN556" s="2018"/>
      <c r="AO556" s="477"/>
      <c r="AP556" s="477"/>
      <c r="AQ556" s="477"/>
    </row>
    <row r="557" spans="2:43" ht="15">
      <c r="B557" s="2019"/>
      <c r="C557" s="2021"/>
      <c r="D557" s="2018"/>
      <c r="F557" s="2019"/>
      <c r="G557" s="2021"/>
      <c r="H557" s="2018"/>
      <c r="J557" s="2019"/>
      <c r="K557" s="2021"/>
      <c r="L557" s="2018"/>
      <c r="N557" s="2019"/>
      <c r="O557" s="2021"/>
      <c r="P557" s="2018"/>
      <c r="R557" s="2019"/>
      <c r="S557" s="2021"/>
      <c r="T557" s="2018"/>
      <c r="V557" s="2019"/>
      <c r="W557" s="2021"/>
      <c r="X557" s="2018"/>
      <c r="Z557" s="2019"/>
      <c r="AA557" s="2021"/>
      <c r="AB557" s="2018"/>
      <c r="AD557" s="2019"/>
      <c r="AE557" s="2021"/>
      <c r="AF557" s="2018"/>
      <c r="AH557" s="2019"/>
      <c r="AI557" s="2021"/>
      <c r="AJ557" s="2018"/>
      <c r="AL557" s="2019"/>
      <c r="AM557" s="2021"/>
      <c r="AN557" s="2018"/>
      <c r="AO557" s="477"/>
      <c r="AP557" s="477"/>
      <c r="AQ557" s="477"/>
    </row>
    <row r="558" spans="2:43" ht="15">
      <c r="B558" s="2019"/>
      <c r="C558" s="2021"/>
      <c r="D558" s="2018"/>
      <c r="F558" s="2019"/>
      <c r="G558" s="2021"/>
      <c r="H558" s="2018"/>
      <c r="J558" s="2019"/>
      <c r="K558" s="2021"/>
      <c r="L558" s="2018"/>
      <c r="N558" s="2019"/>
      <c r="O558" s="2021"/>
      <c r="P558" s="2018"/>
      <c r="R558" s="2019"/>
      <c r="S558" s="2021"/>
      <c r="T558" s="2018"/>
      <c r="V558" s="2019"/>
      <c r="W558" s="2021"/>
      <c r="X558" s="2018"/>
      <c r="Z558" s="2019"/>
      <c r="AA558" s="2021"/>
      <c r="AB558" s="2018"/>
      <c r="AD558" s="2019"/>
      <c r="AE558" s="2021"/>
      <c r="AF558" s="2018"/>
      <c r="AH558" s="2019"/>
      <c r="AI558" s="2021"/>
      <c r="AJ558" s="2018"/>
      <c r="AL558" s="2019"/>
      <c r="AM558" s="2021"/>
      <c r="AN558" s="2018"/>
      <c r="AO558" s="477"/>
      <c r="AP558" s="477"/>
      <c r="AQ558" s="477"/>
    </row>
    <row r="559" spans="2:43" ht="15">
      <c r="B559" s="2019"/>
      <c r="C559" s="2021"/>
      <c r="D559" s="2018"/>
      <c r="F559" s="2019"/>
      <c r="G559" s="2021"/>
      <c r="H559" s="2018"/>
      <c r="J559" s="2019"/>
      <c r="K559" s="2021"/>
      <c r="L559" s="2018"/>
      <c r="N559" s="2019"/>
      <c r="O559" s="2021"/>
      <c r="P559" s="2018"/>
      <c r="R559" s="2019"/>
      <c r="S559" s="2021"/>
      <c r="T559" s="2018"/>
      <c r="V559" s="2019"/>
      <c r="W559" s="2021"/>
      <c r="X559" s="2018"/>
      <c r="Z559" s="2019"/>
      <c r="AA559" s="2021"/>
      <c r="AB559" s="2018"/>
      <c r="AD559" s="2019"/>
      <c r="AE559" s="2021"/>
      <c r="AF559" s="2018"/>
      <c r="AH559" s="2019"/>
      <c r="AI559" s="2021"/>
      <c r="AJ559" s="2018"/>
      <c r="AL559" s="2019"/>
      <c r="AM559" s="2021"/>
      <c r="AN559" s="2018"/>
      <c r="AO559" s="477"/>
      <c r="AP559" s="477"/>
      <c r="AQ559" s="477"/>
    </row>
    <row r="560" spans="2:43" ht="15">
      <c r="B560" s="2019"/>
      <c r="C560" s="2021"/>
      <c r="D560" s="2018"/>
      <c r="F560" s="2019"/>
      <c r="G560" s="2021"/>
      <c r="H560" s="2018"/>
      <c r="J560" s="2019"/>
      <c r="K560" s="2021"/>
      <c r="L560" s="2018"/>
      <c r="N560" s="2019"/>
      <c r="O560" s="2021"/>
      <c r="P560" s="2018"/>
      <c r="R560" s="2019"/>
      <c r="S560" s="2021"/>
      <c r="T560" s="2018"/>
      <c r="V560" s="2019"/>
      <c r="W560" s="2021"/>
      <c r="X560" s="2018"/>
      <c r="Z560" s="2019"/>
      <c r="AA560" s="2021"/>
      <c r="AB560" s="2018"/>
      <c r="AD560" s="2019"/>
      <c r="AE560" s="2021"/>
      <c r="AF560" s="2018"/>
      <c r="AH560" s="2019"/>
      <c r="AI560" s="2021"/>
      <c r="AJ560" s="2018"/>
      <c r="AL560" s="2019"/>
      <c r="AM560" s="2021"/>
      <c r="AN560" s="2018"/>
      <c r="AO560" s="477"/>
      <c r="AP560" s="477"/>
      <c r="AQ560" s="477"/>
    </row>
    <row r="561" spans="2:43" ht="15">
      <c r="B561" s="2019"/>
      <c r="C561" s="2021"/>
      <c r="D561" s="2018"/>
      <c r="F561" s="2019"/>
      <c r="G561" s="2021"/>
      <c r="H561" s="2018"/>
      <c r="J561" s="2019"/>
      <c r="K561" s="2021"/>
      <c r="L561" s="2018"/>
      <c r="N561" s="2019"/>
      <c r="O561" s="2021"/>
      <c r="P561" s="2018"/>
      <c r="R561" s="2019"/>
      <c r="S561" s="2021"/>
      <c r="T561" s="2018"/>
      <c r="V561" s="2019"/>
      <c r="W561" s="2021"/>
      <c r="X561" s="2018"/>
      <c r="Z561" s="2019"/>
      <c r="AA561" s="2021"/>
      <c r="AB561" s="2018"/>
      <c r="AD561" s="2019"/>
      <c r="AE561" s="2021"/>
      <c r="AF561" s="2018"/>
      <c r="AH561" s="2019"/>
      <c r="AI561" s="2021"/>
      <c r="AJ561" s="2018"/>
      <c r="AL561" s="2019"/>
      <c r="AM561" s="2021"/>
      <c r="AN561" s="2018"/>
      <c r="AO561" s="477"/>
      <c r="AP561" s="477"/>
      <c r="AQ561" s="477"/>
    </row>
    <row r="562" spans="2:43" ht="15">
      <c r="B562" s="2019"/>
      <c r="C562" s="2021"/>
      <c r="D562" s="2018"/>
      <c r="F562" s="2019"/>
      <c r="G562" s="2021"/>
      <c r="H562" s="2018"/>
      <c r="J562" s="2019"/>
      <c r="K562" s="2021"/>
      <c r="L562" s="2018"/>
      <c r="N562" s="2019"/>
      <c r="O562" s="2021"/>
      <c r="P562" s="2018"/>
      <c r="R562" s="2019"/>
      <c r="S562" s="2021"/>
      <c r="T562" s="2018"/>
      <c r="V562" s="2019"/>
      <c r="W562" s="2021"/>
      <c r="X562" s="2018"/>
      <c r="Z562" s="2019"/>
      <c r="AA562" s="2021"/>
      <c r="AB562" s="2018"/>
      <c r="AD562" s="2019"/>
      <c r="AE562" s="2021"/>
      <c r="AF562" s="2018"/>
      <c r="AH562" s="2019"/>
      <c r="AI562" s="2021"/>
      <c r="AJ562" s="2018"/>
      <c r="AL562" s="2019"/>
      <c r="AM562" s="2021"/>
      <c r="AN562" s="2018"/>
      <c r="AO562" s="477"/>
      <c r="AP562" s="477"/>
      <c r="AQ562" s="477"/>
    </row>
    <row r="563" spans="2:43" ht="15">
      <c r="B563" s="2019"/>
      <c r="C563" s="2021"/>
      <c r="D563" s="2018"/>
      <c r="F563" s="2019"/>
      <c r="G563" s="2021"/>
      <c r="H563" s="2018"/>
      <c r="J563" s="2019"/>
      <c r="K563" s="2021"/>
      <c r="L563" s="2018"/>
      <c r="N563" s="2019"/>
      <c r="O563" s="2021"/>
      <c r="P563" s="2018"/>
      <c r="R563" s="2019"/>
      <c r="S563" s="2021"/>
      <c r="T563" s="2018"/>
      <c r="V563" s="2019"/>
      <c r="W563" s="2021"/>
      <c r="X563" s="2018"/>
      <c r="Z563" s="2019"/>
      <c r="AA563" s="2021"/>
      <c r="AB563" s="2018"/>
      <c r="AD563" s="2019"/>
      <c r="AE563" s="2021"/>
      <c r="AF563" s="2018"/>
      <c r="AH563" s="2019"/>
      <c r="AI563" s="2021"/>
      <c r="AJ563" s="2018"/>
      <c r="AL563" s="2019"/>
      <c r="AM563" s="2021"/>
      <c r="AN563" s="2018"/>
      <c r="AO563" s="477"/>
      <c r="AP563" s="477"/>
      <c r="AQ563" s="477"/>
    </row>
    <row r="564" spans="2:43" ht="15">
      <c r="B564" s="2019"/>
      <c r="C564" s="2021"/>
      <c r="D564" s="2018"/>
      <c r="F564" s="2019"/>
      <c r="G564" s="2021"/>
      <c r="H564" s="2018"/>
      <c r="J564" s="2019"/>
      <c r="K564" s="2021"/>
      <c r="L564" s="2018"/>
      <c r="N564" s="2019"/>
      <c r="O564" s="2021"/>
      <c r="P564" s="2018"/>
      <c r="R564" s="2019"/>
      <c r="S564" s="2021"/>
      <c r="T564" s="2018"/>
      <c r="V564" s="2019"/>
      <c r="W564" s="2021"/>
      <c r="X564" s="2018"/>
      <c r="Z564" s="2019"/>
      <c r="AA564" s="2021"/>
      <c r="AB564" s="2018"/>
      <c r="AD564" s="2019"/>
      <c r="AE564" s="2021"/>
      <c r="AF564" s="2018"/>
      <c r="AH564" s="2019"/>
      <c r="AI564" s="2021"/>
      <c r="AJ564" s="2018"/>
      <c r="AL564" s="2019"/>
      <c r="AM564" s="2021"/>
      <c r="AN564" s="2018"/>
      <c r="AO564" s="477"/>
      <c r="AP564" s="477"/>
      <c r="AQ564" s="477"/>
    </row>
    <row r="565" spans="2:43" ht="15">
      <c r="B565" s="2019"/>
      <c r="C565" s="2021"/>
      <c r="D565" s="2018"/>
      <c r="F565" s="2019"/>
      <c r="G565" s="2021"/>
      <c r="H565" s="2018"/>
      <c r="J565" s="2019"/>
      <c r="K565" s="2021"/>
      <c r="L565" s="2018"/>
      <c r="N565" s="2019"/>
      <c r="O565" s="2021"/>
      <c r="P565" s="2018"/>
      <c r="R565" s="2019"/>
      <c r="S565" s="2021"/>
      <c r="T565" s="2018"/>
      <c r="V565" s="2019"/>
      <c r="W565" s="2021"/>
      <c r="X565" s="2018"/>
      <c r="Z565" s="2019"/>
      <c r="AA565" s="2021"/>
      <c r="AB565" s="2018"/>
      <c r="AD565" s="2019"/>
      <c r="AE565" s="2021"/>
      <c r="AF565" s="2018"/>
      <c r="AH565" s="2019"/>
      <c r="AI565" s="2021"/>
      <c r="AJ565" s="2018"/>
      <c r="AL565" s="2019"/>
      <c r="AM565" s="2021"/>
      <c r="AN565" s="2018"/>
      <c r="AO565" s="477"/>
      <c r="AP565" s="477"/>
      <c r="AQ565" s="477"/>
    </row>
    <row r="566" spans="2:43" ht="15">
      <c r="B566" s="2019"/>
      <c r="C566" s="2021"/>
      <c r="D566" s="2018"/>
      <c r="F566" s="2019"/>
      <c r="G566" s="2021"/>
      <c r="H566" s="2018"/>
      <c r="J566" s="2019"/>
      <c r="K566" s="2021"/>
      <c r="L566" s="2018"/>
      <c r="N566" s="2019"/>
      <c r="O566" s="2021"/>
      <c r="P566" s="2018"/>
      <c r="R566" s="2019"/>
      <c r="S566" s="2021"/>
      <c r="T566" s="2018"/>
      <c r="V566" s="2019"/>
      <c r="W566" s="2021"/>
      <c r="X566" s="2018"/>
      <c r="Z566" s="2019"/>
      <c r="AA566" s="2021"/>
      <c r="AB566" s="2018"/>
      <c r="AD566" s="2019"/>
      <c r="AE566" s="2021"/>
      <c r="AF566" s="2018"/>
      <c r="AH566" s="2019"/>
      <c r="AI566" s="2021"/>
      <c r="AJ566" s="2018"/>
      <c r="AL566" s="2019"/>
      <c r="AM566" s="2021"/>
      <c r="AN566" s="2018"/>
      <c r="AO566" s="477"/>
      <c r="AP566" s="477"/>
      <c r="AQ566" s="477"/>
    </row>
    <row r="567" spans="2:43" ht="15">
      <c r="B567" s="2019"/>
      <c r="C567" s="2021"/>
      <c r="D567" s="2018"/>
      <c r="F567" s="2019"/>
      <c r="G567" s="2021"/>
      <c r="H567" s="2018"/>
      <c r="J567" s="2019"/>
      <c r="K567" s="2021"/>
      <c r="L567" s="2018"/>
      <c r="N567" s="2019"/>
      <c r="O567" s="2021"/>
      <c r="P567" s="2018"/>
      <c r="R567" s="2019"/>
      <c r="S567" s="2021"/>
      <c r="T567" s="2018"/>
      <c r="V567" s="2019"/>
      <c r="W567" s="2021"/>
      <c r="X567" s="2018"/>
      <c r="Z567" s="2019"/>
      <c r="AA567" s="2021"/>
      <c r="AB567" s="2018"/>
      <c r="AD567" s="2019"/>
      <c r="AE567" s="2021"/>
      <c r="AF567" s="2018"/>
      <c r="AH567" s="2019"/>
      <c r="AI567" s="2021"/>
      <c r="AJ567" s="2018"/>
      <c r="AL567" s="2019"/>
      <c r="AM567" s="2021"/>
      <c r="AN567" s="2018"/>
      <c r="AO567" s="477"/>
      <c r="AP567" s="477"/>
      <c r="AQ567" s="477"/>
    </row>
    <row r="568" spans="2:43" ht="15">
      <c r="B568" s="2019"/>
      <c r="C568" s="2021"/>
      <c r="D568" s="2018"/>
      <c r="F568" s="2019"/>
      <c r="G568" s="2021"/>
      <c r="H568" s="2018"/>
      <c r="J568" s="2019"/>
      <c r="K568" s="2021"/>
      <c r="L568" s="2018"/>
      <c r="N568" s="2019"/>
      <c r="O568" s="2021"/>
      <c r="P568" s="2018"/>
      <c r="R568" s="2019"/>
      <c r="S568" s="2021"/>
      <c r="T568" s="2018"/>
      <c r="V568" s="2019"/>
      <c r="W568" s="2021"/>
      <c r="X568" s="2018"/>
      <c r="Z568" s="2019"/>
      <c r="AA568" s="2021"/>
      <c r="AB568" s="2018"/>
      <c r="AD568" s="2019"/>
      <c r="AE568" s="2021"/>
      <c r="AF568" s="2018"/>
      <c r="AH568" s="2019"/>
      <c r="AI568" s="2021"/>
      <c r="AJ568" s="2018"/>
      <c r="AL568" s="2019"/>
      <c r="AM568" s="2021"/>
      <c r="AN568" s="2018"/>
      <c r="AO568" s="477"/>
      <c r="AP568" s="477"/>
      <c r="AQ568" s="477"/>
    </row>
    <row r="569" spans="2:43" ht="15">
      <c r="B569" s="2019"/>
      <c r="C569" s="2021"/>
      <c r="D569" s="2018"/>
      <c r="F569" s="2019"/>
      <c r="G569" s="2021"/>
      <c r="H569" s="2018"/>
      <c r="J569" s="2019"/>
      <c r="K569" s="2021"/>
      <c r="L569" s="2018"/>
      <c r="N569" s="2019"/>
      <c r="O569" s="2021"/>
      <c r="P569" s="2018"/>
      <c r="R569" s="2019"/>
      <c r="S569" s="2021"/>
      <c r="T569" s="2018"/>
      <c r="V569" s="2019"/>
      <c r="W569" s="2021"/>
      <c r="X569" s="2018"/>
      <c r="Z569" s="2019"/>
      <c r="AA569" s="2021"/>
      <c r="AB569" s="2018"/>
      <c r="AD569" s="2019"/>
      <c r="AE569" s="2021"/>
      <c r="AF569" s="2018"/>
      <c r="AH569" s="2019"/>
      <c r="AI569" s="2021"/>
      <c r="AJ569" s="2018"/>
      <c r="AL569" s="2019"/>
      <c r="AM569" s="2021"/>
      <c r="AN569" s="2018"/>
      <c r="AO569" s="477"/>
      <c r="AP569" s="477"/>
      <c r="AQ569" s="477"/>
    </row>
    <row r="570" spans="2:43" ht="15">
      <c r="B570" s="2019"/>
      <c r="C570" s="2021"/>
      <c r="D570" s="2018"/>
      <c r="F570" s="2019"/>
      <c r="G570" s="2021"/>
      <c r="H570" s="2018"/>
      <c r="J570" s="2019"/>
      <c r="K570" s="2021"/>
      <c r="L570" s="2018"/>
      <c r="N570" s="2019"/>
      <c r="O570" s="2021"/>
      <c r="P570" s="2018"/>
      <c r="R570" s="2019"/>
      <c r="S570" s="2021"/>
      <c r="T570" s="2018"/>
      <c r="V570" s="2019"/>
      <c r="W570" s="2021"/>
      <c r="X570" s="2018"/>
      <c r="Z570" s="2019"/>
      <c r="AA570" s="2021"/>
      <c r="AB570" s="2018"/>
      <c r="AD570" s="2019"/>
      <c r="AE570" s="2021"/>
      <c r="AF570" s="2018"/>
      <c r="AH570" s="2019"/>
      <c r="AI570" s="2021"/>
      <c r="AJ570" s="2018"/>
      <c r="AL570" s="2019"/>
      <c r="AM570" s="2021"/>
      <c r="AN570" s="2018"/>
      <c r="AO570" s="477"/>
      <c r="AP570" s="477"/>
      <c r="AQ570" s="477"/>
    </row>
    <row r="571" spans="2:43" ht="15">
      <c r="B571" s="2019"/>
      <c r="C571" s="2021"/>
      <c r="D571" s="2018"/>
      <c r="F571" s="2019"/>
      <c r="G571" s="2021"/>
      <c r="H571" s="2018"/>
      <c r="J571" s="2019"/>
      <c r="K571" s="2021"/>
      <c r="L571" s="2018"/>
      <c r="N571" s="2019"/>
      <c r="O571" s="2021"/>
      <c r="P571" s="2018"/>
      <c r="R571" s="2019"/>
      <c r="S571" s="2021"/>
      <c r="T571" s="2018"/>
      <c r="V571" s="2019"/>
      <c r="W571" s="2021"/>
      <c r="X571" s="2018"/>
      <c r="Z571" s="2019"/>
      <c r="AA571" s="2021"/>
      <c r="AB571" s="2018"/>
      <c r="AD571" s="2019"/>
      <c r="AE571" s="2021"/>
      <c r="AF571" s="2018"/>
      <c r="AH571" s="2019"/>
      <c r="AI571" s="2021"/>
      <c r="AJ571" s="2018"/>
      <c r="AL571" s="2019"/>
      <c r="AM571" s="2021"/>
      <c r="AN571" s="2018"/>
      <c r="AO571" s="477"/>
      <c r="AP571" s="477"/>
      <c r="AQ571" s="477"/>
    </row>
    <row r="572" spans="2:43" ht="15">
      <c r="B572" s="2019"/>
      <c r="C572" s="2021"/>
      <c r="D572" s="2018"/>
      <c r="F572" s="2019"/>
      <c r="G572" s="2021"/>
      <c r="H572" s="2018"/>
      <c r="J572" s="2019"/>
      <c r="K572" s="2021"/>
      <c r="L572" s="2018"/>
      <c r="N572" s="2019"/>
      <c r="O572" s="2021"/>
      <c r="P572" s="2018"/>
      <c r="R572" s="2019"/>
      <c r="S572" s="2021"/>
      <c r="T572" s="2018"/>
      <c r="V572" s="2019"/>
      <c r="W572" s="2021"/>
      <c r="X572" s="2018"/>
      <c r="Z572" s="2019"/>
      <c r="AA572" s="2021"/>
      <c r="AB572" s="2018"/>
      <c r="AD572" s="2019"/>
      <c r="AE572" s="2021"/>
      <c r="AF572" s="2018"/>
      <c r="AH572" s="2019"/>
      <c r="AI572" s="2021"/>
      <c r="AJ572" s="2018"/>
      <c r="AL572" s="2019"/>
      <c r="AM572" s="2021"/>
      <c r="AN572" s="2018"/>
      <c r="AO572" s="477"/>
      <c r="AP572" s="477"/>
      <c r="AQ572" s="477"/>
    </row>
    <row r="573" spans="2:43" ht="15">
      <c r="B573" s="2019"/>
      <c r="C573" s="2021"/>
      <c r="D573" s="2018"/>
      <c r="F573" s="2019"/>
      <c r="G573" s="2021"/>
      <c r="H573" s="2018"/>
      <c r="J573" s="2019"/>
      <c r="K573" s="2021"/>
      <c r="L573" s="2018"/>
      <c r="N573" s="2019"/>
      <c r="O573" s="2021"/>
      <c r="P573" s="2018"/>
      <c r="R573" s="2019"/>
      <c r="S573" s="2021"/>
      <c r="T573" s="2018"/>
      <c r="V573" s="2019"/>
      <c r="W573" s="2021"/>
      <c r="X573" s="2018"/>
      <c r="Z573" s="2019"/>
      <c r="AA573" s="2021"/>
      <c r="AB573" s="2018"/>
      <c r="AD573" s="2019"/>
      <c r="AE573" s="2021"/>
      <c r="AF573" s="2018"/>
      <c r="AH573" s="2019"/>
      <c r="AI573" s="2021"/>
      <c r="AJ573" s="2018"/>
      <c r="AL573" s="2019"/>
      <c r="AM573" s="2021"/>
      <c r="AN573" s="2018"/>
      <c r="AO573" s="477"/>
      <c r="AP573" s="477"/>
      <c r="AQ573" s="477"/>
    </row>
    <row r="574" spans="2:43" ht="15">
      <c r="B574" s="2019"/>
      <c r="C574" s="2021"/>
      <c r="D574" s="2018"/>
      <c r="F574" s="2019"/>
      <c r="G574" s="2021"/>
      <c r="H574" s="2018"/>
      <c r="J574" s="2019"/>
      <c r="K574" s="2021"/>
      <c r="L574" s="2018"/>
      <c r="N574" s="2019"/>
      <c r="O574" s="2021"/>
      <c r="P574" s="2018"/>
      <c r="R574" s="2019"/>
      <c r="S574" s="2021"/>
      <c r="T574" s="2018"/>
      <c r="V574" s="2019"/>
      <c r="W574" s="2021"/>
      <c r="X574" s="2018"/>
      <c r="Z574" s="2019"/>
      <c r="AA574" s="2021"/>
      <c r="AB574" s="2018"/>
      <c r="AD574" s="2019"/>
      <c r="AE574" s="2021"/>
      <c r="AF574" s="2018"/>
      <c r="AH574" s="2019"/>
      <c r="AI574" s="2021"/>
      <c r="AJ574" s="2018"/>
      <c r="AL574" s="2019"/>
      <c r="AM574" s="2021"/>
      <c r="AN574" s="2018"/>
      <c r="AO574" s="477"/>
      <c r="AP574" s="477"/>
      <c r="AQ574" s="477"/>
    </row>
    <row r="575" spans="2:43" ht="15">
      <c r="B575" s="2019"/>
      <c r="C575" s="2021"/>
      <c r="D575" s="2018"/>
      <c r="F575" s="2019"/>
      <c r="G575" s="2021"/>
      <c r="H575" s="2018"/>
      <c r="J575" s="2019"/>
      <c r="K575" s="2021"/>
      <c r="L575" s="2018"/>
      <c r="N575" s="2019"/>
      <c r="O575" s="2021"/>
      <c r="P575" s="2018"/>
      <c r="R575" s="2019"/>
      <c r="S575" s="2021"/>
      <c r="T575" s="2018"/>
      <c r="V575" s="2019"/>
      <c r="W575" s="2021"/>
      <c r="X575" s="2018"/>
      <c r="Z575" s="2019"/>
      <c r="AA575" s="2021"/>
      <c r="AB575" s="2018"/>
      <c r="AD575" s="2019"/>
      <c r="AE575" s="2021"/>
      <c r="AF575" s="2018"/>
      <c r="AH575" s="2019"/>
      <c r="AI575" s="2021"/>
      <c r="AJ575" s="2018"/>
      <c r="AL575" s="2019"/>
      <c r="AM575" s="2021"/>
      <c r="AN575" s="2018"/>
      <c r="AO575" s="477"/>
      <c r="AP575" s="477"/>
      <c r="AQ575" s="477"/>
    </row>
    <row r="576" spans="2:43" ht="15">
      <c r="B576" s="2019"/>
      <c r="C576" s="2021"/>
      <c r="D576" s="2018"/>
      <c r="F576" s="2019"/>
      <c r="G576" s="2021"/>
      <c r="H576" s="2018"/>
      <c r="J576" s="2019"/>
      <c r="K576" s="2021"/>
      <c r="L576" s="2018"/>
      <c r="N576" s="2019"/>
      <c r="O576" s="2021"/>
      <c r="P576" s="2018"/>
      <c r="R576" s="2019"/>
      <c r="S576" s="2021"/>
      <c r="T576" s="2018"/>
      <c r="V576" s="2019"/>
      <c r="W576" s="2021"/>
      <c r="X576" s="2018"/>
      <c r="Z576" s="2019"/>
      <c r="AA576" s="2021"/>
      <c r="AB576" s="2018"/>
      <c r="AD576" s="2019"/>
      <c r="AE576" s="2021"/>
      <c r="AF576" s="2018"/>
      <c r="AH576" s="2019"/>
      <c r="AI576" s="2021"/>
      <c r="AJ576" s="2018"/>
      <c r="AL576" s="2019"/>
      <c r="AM576" s="2021"/>
      <c r="AN576" s="2018"/>
      <c r="AO576" s="477"/>
      <c r="AP576" s="477"/>
      <c r="AQ576" s="477"/>
    </row>
    <row r="577" spans="2:43" ht="15">
      <c r="B577" s="2019"/>
      <c r="C577" s="2021"/>
      <c r="D577" s="2018"/>
      <c r="F577" s="2019"/>
      <c r="G577" s="2021"/>
      <c r="H577" s="2018"/>
      <c r="J577" s="2019"/>
      <c r="K577" s="2021"/>
      <c r="L577" s="2018"/>
      <c r="N577" s="2019"/>
      <c r="O577" s="2021"/>
      <c r="P577" s="2018"/>
      <c r="R577" s="2019"/>
      <c r="S577" s="2021"/>
      <c r="T577" s="2018"/>
      <c r="V577" s="2019"/>
      <c r="W577" s="2021"/>
      <c r="X577" s="2018"/>
      <c r="Z577" s="2019"/>
      <c r="AA577" s="2021"/>
      <c r="AB577" s="2018"/>
      <c r="AD577" s="2019"/>
      <c r="AE577" s="2021"/>
      <c r="AF577" s="2018"/>
      <c r="AH577" s="2019"/>
      <c r="AI577" s="2021"/>
      <c r="AJ577" s="2018"/>
      <c r="AL577" s="2019"/>
      <c r="AM577" s="2021"/>
      <c r="AN577" s="2018"/>
      <c r="AO577" s="477"/>
      <c r="AP577" s="477"/>
      <c r="AQ577" s="477"/>
    </row>
    <row r="578" spans="2:43" ht="15">
      <c r="B578" s="2019"/>
      <c r="C578" s="2021"/>
      <c r="D578" s="2018"/>
      <c r="F578" s="2019"/>
      <c r="G578" s="2021"/>
      <c r="H578" s="2018"/>
      <c r="J578" s="2019"/>
      <c r="K578" s="2021"/>
      <c r="L578" s="2018"/>
      <c r="N578" s="2019"/>
      <c r="O578" s="2021"/>
      <c r="P578" s="2018"/>
      <c r="R578" s="2019"/>
      <c r="S578" s="2021"/>
      <c r="T578" s="2018"/>
      <c r="V578" s="2019"/>
      <c r="W578" s="2021"/>
      <c r="X578" s="2018"/>
      <c r="Z578" s="2019"/>
      <c r="AA578" s="2021"/>
      <c r="AB578" s="2018"/>
      <c r="AD578" s="2019"/>
      <c r="AE578" s="2021"/>
      <c r="AF578" s="2018"/>
      <c r="AH578" s="2019"/>
      <c r="AI578" s="2021"/>
      <c r="AJ578" s="2018"/>
      <c r="AL578" s="2019"/>
      <c r="AM578" s="2021"/>
      <c r="AN578" s="2018"/>
      <c r="AO578" s="477"/>
      <c r="AP578" s="477"/>
      <c r="AQ578" s="477"/>
    </row>
    <row r="579" spans="2:43" ht="15">
      <c r="B579" s="2019"/>
      <c r="C579" s="2021"/>
      <c r="D579" s="2018"/>
      <c r="F579" s="2019"/>
      <c r="G579" s="2021"/>
      <c r="H579" s="2018"/>
      <c r="J579" s="2019"/>
      <c r="K579" s="2021"/>
      <c r="L579" s="2018"/>
      <c r="N579" s="2019"/>
      <c r="O579" s="2021"/>
      <c r="P579" s="2018"/>
      <c r="R579" s="2019"/>
      <c r="S579" s="2021"/>
      <c r="T579" s="2018"/>
      <c r="V579" s="2019"/>
      <c r="W579" s="2021"/>
      <c r="X579" s="2018"/>
      <c r="Z579" s="2019"/>
      <c r="AA579" s="2021"/>
      <c r="AB579" s="2018"/>
      <c r="AD579" s="2019"/>
      <c r="AE579" s="2021"/>
      <c r="AF579" s="2018"/>
      <c r="AH579" s="2019"/>
      <c r="AI579" s="2021"/>
      <c r="AJ579" s="2018"/>
      <c r="AL579" s="2019"/>
      <c r="AM579" s="2021"/>
      <c r="AN579" s="2018"/>
      <c r="AO579" s="477"/>
      <c r="AP579" s="477"/>
      <c r="AQ579" s="477"/>
    </row>
    <row r="580" spans="2:43" ht="15">
      <c r="B580" s="2019"/>
      <c r="C580" s="2021"/>
      <c r="D580" s="2018"/>
      <c r="F580" s="2019"/>
      <c r="G580" s="2021"/>
      <c r="H580" s="2018"/>
      <c r="J580" s="2019"/>
      <c r="K580" s="2021"/>
      <c r="L580" s="2018"/>
      <c r="N580" s="2019"/>
      <c r="O580" s="2021"/>
      <c r="P580" s="2018"/>
      <c r="R580" s="2019"/>
      <c r="S580" s="2021"/>
      <c r="T580" s="2018"/>
      <c r="V580" s="2019"/>
      <c r="W580" s="2021"/>
      <c r="X580" s="2018"/>
      <c r="Z580" s="2019"/>
      <c r="AA580" s="2021"/>
      <c r="AB580" s="2018"/>
      <c r="AD580" s="2019"/>
      <c r="AE580" s="2021"/>
      <c r="AF580" s="2018"/>
      <c r="AH580" s="2019"/>
      <c r="AI580" s="2021"/>
      <c r="AJ580" s="2018"/>
      <c r="AL580" s="2019"/>
      <c r="AM580" s="2021"/>
      <c r="AN580" s="2018"/>
      <c r="AO580" s="477"/>
      <c r="AP580" s="477"/>
      <c r="AQ580" s="477"/>
    </row>
    <row r="581" spans="2:43" ht="15">
      <c r="B581" s="2019"/>
      <c r="C581" s="2021"/>
      <c r="D581" s="2018"/>
      <c r="F581" s="2019"/>
      <c r="G581" s="2021"/>
      <c r="H581" s="2018"/>
      <c r="J581" s="2019"/>
      <c r="K581" s="2021"/>
      <c r="L581" s="2018"/>
      <c r="N581" s="2019"/>
      <c r="O581" s="2021"/>
      <c r="P581" s="2018"/>
      <c r="R581" s="2019"/>
      <c r="S581" s="2021"/>
      <c r="T581" s="2018"/>
      <c r="V581" s="2019"/>
      <c r="W581" s="2021"/>
      <c r="X581" s="2018"/>
      <c r="Z581" s="2019"/>
      <c r="AA581" s="2021"/>
      <c r="AB581" s="2018"/>
      <c r="AD581" s="2019"/>
      <c r="AE581" s="2021"/>
      <c r="AF581" s="2018"/>
      <c r="AH581" s="2019"/>
      <c r="AI581" s="2021"/>
      <c r="AJ581" s="2018"/>
      <c r="AL581" s="2019"/>
      <c r="AM581" s="2021"/>
      <c r="AN581" s="2018"/>
      <c r="AO581" s="477"/>
      <c r="AP581" s="477"/>
      <c r="AQ581" s="477"/>
    </row>
    <row r="582" spans="2:43" ht="15">
      <c r="B582" s="2019"/>
      <c r="C582" s="2021"/>
      <c r="D582" s="2018"/>
      <c r="F582" s="2019"/>
      <c r="G582" s="2021"/>
      <c r="H582" s="2018"/>
      <c r="J582" s="2019"/>
      <c r="K582" s="2021"/>
      <c r="L582" s="2018"/>
      <c r="N582" s="2019"/>
      <c r="O582" s="2021"/>
      <c r="P582" s="2018"/>
      <c r="R582" s="2019"/>
      <c r="S582" s="2021"/>
      <c r="T582" s="2018"/>
      <c r="V582" s="2019"/>
      <c r="W582" s="2021"/>
      <c r="X582" s="2018"/>
      <c r="Z582" s="2019"/>
      <c r="AA582" s="2021"/>
      <c r="AB582" s="2018"/>
      <c r="AD582" s="2019"/>
      <c r="AE582" s="2021"/>
      <c r="AF582" s="2018"/>
      <c r="AH582" s="2019"/>
      <c r="AI582" s="2021"/>
      <c r="AJ582" s="2018"/>
      <c r="AL582" s="2019"/>
      <c r="AM582" s="2021"/>
      <c r="AN582" s="2018"/>
      <c r="AO582" s="477"/>
      <c r="AP582" s="477"/>
      <c r="AQ582" s="477"/>
    </row>
    <row r="583" spans="2:43" ht="15">
      <c r="B583" s="2019"/>
      <c r="C583" s="2021"/>
      <c r="D583" s="2018"/>
      <c r="F583" s="2019"/>
      <c r="G583" s="2021"/>
      <c r="H583" s="2018"/>
      <c r="J583" s="2019"/>
      <c r="K583" s="2021"/>
      <c r="L583" s="2018"/>
      <c r="N583" s="2019"/>
      <c r="O583" s="2021"/>
      <c r="P583" s="2018"/>
      <c r="R583" s="2019"/>
      <c r="S583" s="2021"/>
      <c r="T583" s="2018"/>
      <c r="V583" s="2019"/>
      <c r="W583" s="2021"/>
      <c r="X583" s="2018"/>
      <c r="Z583" s="2019"/>
      <c r="AA583" s="2021"/>
      <c r="AB583" s="2018"/>
      <c r="AD583" s="2019"/>
      <c r="AE583" s="2021"/>
      <c r="AF583" s="2018"/>
      <c r="AH583" s="2019"/>
      <c r="AI583" s="2021"/>
      <c r="AJ583" s="2018"/>
      <c r="AL583" s="2019"/>
      <c r="AM583" s="2021"/>
      <c r="AN583" s="2018"/>
      <c r="AO583" s="477"/>
      <c r="AP583" s="477"/>
      <c r="AQ583" s="477"/>
    </row>
    <row r="584" spans="2:43" ht="15">
      <c r="B584" s="2019"/>
      <c r="C584" s="2021"/>
      <c r="D584" s="2018"/>
      <c r="F584" s="2019"/>
      <c r="G584" s="2021"/>
      <c r="H584" s="2018"/>
      <c r="J584" s="2019"/>
      <c r="K584" s="2021"/>
      <c r="L584" s="2018"/>
      <c r="N584" s="2019"/>
      <c r="O584" s="2021"/>
      <c r="P584" s="2018"/>
      <c r="R584" s="2019"/>
      <c r="S584" s="2021"/>
      <c r="T584" s="2018"/>
      <c r="V584" s="2019"/>
      <c r="W584" s="2021"/>
      <c r="X584" s="2018"/>
      <c r="Z584" s="2019"/>
      <c r="AA584" s="2021"/>
      <c r="AB584" s="2018"/>
      <c r="AD584" s="2019"/>
      <c r="AE584" s="2021"/>
      <c r="AF584" s="2018"/>
      <c r="AH584" s="2019"/>
      <c r="AI584" s="2021"/>
      <c r="AJ584" s="2018"/>
      <c r="AL584" s="2019"/>
      <c r="AM584" s="2021"/>
      <c r="AN584" s="2018"/>
      <c r="AO584" s="477"/>
      <c r="AP584" s="477"/>
      <c r="AQ584" s="477"/>
    </row>
    <row r="585" spans="2:43" ht="15">
      <c r="B585" s="2019"/>
      <c r="C585" s="2021"/>
      <c r="D585" s="2018"/>
      <c r="F585" s="2019"/>
      <c r="G585" s="2021"/>
      <c r="H585" s="2018"/>
      <c r="J585" s="2019"/>
      <c r="K585" s="2021"/>
      <c r="L585" s="2018"/>
      <c r="N585" s="2019"/>
      <c r="O585" s="2021"/>
      <c r="P585" s="2018"/>
      <c r="R585" s="2019"/>
      <c r="S585" s="2021"/>
      <c r="T585" s="2018"/>
      <c r="V585" s="2019"/>
      <c r="W585" s="2021"/>
      <c r="X585" s="2018"/>
      <c r="Z585" s="2019"/>
      <c r="AA585" s="2021"/>
      <c r="AB585" s="2018"/>
      <c r="AD585" s="2019"/>
      <c r="AE585" s="2021"/>
      <c r="AF585" s="2018"/>
      <c r="AH585" s="2019"/>
      <c r="AI585" s="2021"/>
      <c r="AJ585" s="2018"/>
      <c r="AL585" s="2019"/>
      <c r="AM585" s="2021"/>
      <c r="AN585" s="2018"/>
      <c r="AO585" s="477"/>
      <c r="AP585" s="477"/>
      <c r="AQ585" s="477"/>
    </row>
    <row r="586" spans="2:43" ht="15">
      <c r="B586" s="2019"/>
      <c r="C586" s="2021"/>
      <c r="D586" s="2018"/>
      <c r="F586" s="2019"/>
      <c r="G586" s="2021"/>
      <c r="H586" s="2018"/>
      <c r="J586" s="2019"/>
      <c r="K586" s="2021"/>
      <c r="L586" s="2018"/>
      <c r="N586" s="2019"/>
      <c r="O586" s="2021"/>
      <c r="P586" s="2018"/>
      <c r="R586" s="2019"/>
      <c r="S586" s="2021"/>
      <c r="T586" s="2018"/>
      <c r="V586" s="2019"/>
      <c r="W586" s="2021"/>
      <c r="X586" s="2018"/>
      <c r="Z586" s="2019"/>
      <c r="AA586" s="2021"/>
      <c r="AB586" s="2018"/>
      <c r="AD586" s="2019"/>
      <c r="AE586" s="2021"/>
      <c r="AF586" s="2018"/>
      <c r="AH586" s="2019"/>
      <c r="AI586" s="2021"/>
      <c r="AJ586" s="2018"/>
      <c r="AL586" s="2019"/>
      <c r="AM586" s="2021"/>
      <c r="AN586" s="2018"/>
      <c r="AO586" s="477"/>
      <c r="AP586" s="477"/>
      <c r="AQ586" s="477"/>
    </row>
    <row r="587" spans="2:43" ht="15">
      <c r="B587" s="2019"/>
      <c r="C587" s="2021"/>
      <c r="D587" s="2018"/>
      <c r="F587" s="2019"/>
      <c r="G587" s="2021"/>
      <c r="H587" s="2018"/>
      <c r="J587" s="2019"/>
      <c r="K587" s="2021"/>
      <c r="L587" s="2018"/>
      <c r="N587" s="2019"/>
      <c r="O587" s="2021"/>
      <c r="P587" s="2018"/>
      <c r="R587" s="2019"/>
      <c r="S587" s="2021"/>
      <c r="T587" s="2018"/>
      <c r="V587" s="2019"/>
      <c r="W587" s="2021"/>
      <c r="X587" s="2018"/>
      <c r="Z587" s="2019"/>
      <c r="AA587" s="2021"/>
      <c r="AB587" s="2018"/>
      <c r="AD587" s="2019"/>
      <c r="AE587" s="2021"/>
      <c r="AF587" s="2018"/>
      <c r="AH587" s="2019"/>
      <c r="AI587" s="2021"/>
      <c r="AJ587" s="2018"/>
      <c r="AL587" s="2019"/>
      <c r="AM587" s="2021"/>
      <c r="AN587" s="2018"/>
      <c r="AO587" s="477"/>
      <c r="AP587" s="477"/>
      <c r="AQ587" s="477"/>
    </row>
    <row r="588" spans="2:43" ht="15">
      <c r="B588" s="2019"/>
      <c r="C588" s="2021"/>
      <c r="D588" s="2018"/>
      <c r="F588" s="2019"/>
      <c r="G588" s="2021"/>
      <c r="H588" s="2018"/>
      <c r="J588" s="2019"/>
      <c r="K588" s="2021"/>
      <c r="L588" s="2018"/>
      <c r="N588" s="2019"/>
      <c r="O588" s="2021"/>
      <c r="P588" s="2018"/>
      <c r="R588" s="2019"/>
      <c r="S588" s="2021"/>
      <c r="T588" s="2018"/>
      <c r="V588" s="2019"/>
      <c r="W588" s="2021"/>
      <c r="X588" s="2018"/>
      <c r="Z588" s="2019"/>
      <c r="AA588" s="2021"/>
      <c r="AB588" s="2018"/>
      <c r="AD588" s="2019"/>
      <c r="AE588" s="2021"/>
      <c r="AF588" s="2018"/>
      <c r="AH588" s="2019"/>
      <c r="AI588" s="2021"/>
      <c r="AJ588" s="2018"/>
      <c r="AL588" s="2019"/>
      <c r="AM588" s="2021"/>
      <c r="AN588" s="2018"/>
      <c r="AO588" s="477"/>
      <c r="AP588" s="477"/>
      <c r="AQ588" s="477"/>
    </row>
    <row r="589" spans="2:43" ht="15">
      <c r="B589" s="2019"/>
      <c r="C589" s="2021"/>
      <c r="D589" s="2018"/>
      <c r="F589" s="2019"/>
      <c r="G589" s="2021"/>
      <c r="H589" s="2018"/>
      <c r="J589" s="2019"/>
      <c r="K589" s="2021"/>
      <c r="L589" s="2018"/>
      <c r="N589" s="2019"/>
      <c r="O589" s="2021"/>
      <c r="P589" s="2018"/>
      <c r="R589" s="2019"/>
      <c r="S589" s="2021"/>
      <c r="T589" s="2018"/>
      <c r="V589" s="2019"/>
      <c r="W589" s="2021"/>
      <c r="X589" s="2018"/>
      <c r="Z589" s="2019"/>
      <c r="AA589" s="2021"/>
      <c r="AB589" s="2018"/>
      <c r="AD589" s="2019"/>
      <c r="AE589" s="2021"/>
      <c r="AF589" s="2018"/>
      <c r="AH589" s="2019"/>
      <c r="AI589" s="2021"/>
      <c r="AJ589" s="2018"/>
      <c r="AL589" s="2019"/>
      <c r="AM589" s="2021"/>
      <c r="AN589" s="2018"/>
      <c r="AO589" s="477"/>
      <c r="AP589" s="477"/>
      <c r="AQ589" s="477"/>
    </row>
    <row r="590" spans="2:43" ht="15">
      <c r="B590" s="2019"/>
      <c r="C590" s="2021"/>
      <c r="D590" s="2018"/>
      <c r="F590" s="2019"/>
      <c r="G590" s="2021"/>
      <c r="H590" s="2018"/>
      <c r="J590" s="2019"/>
      <c r="K590" s="2021"/>
      <c r="L590" s="2018"/>
      <c r="N590" s="2019"/>
      <c r="O590" s="2021"/>
      <c r="P590" s="2018"/>
      <c r="R590" s="2019"/>
      <c r="S590" s="2021"/>
      <c r="T590" s="2018"/>
      <c r="V590" s="2019"/>
      <c r="W590" s="2021"/>
      <c r="X590" s="2018"/>
      <c r="Z590" s="2019"/>
      <c r="AA590" s="2021"/>
      <c r="AB590" s="2018"/>
      <c r="AD590" s="2019"/>
      <c r="AE590" s="2021"/>
      <c r="AF590" s="2018"/>
      <c r="AH590" s="2019"/>
      <c r="AI590" s="2021"/>
      <c r="AJ590" s="2018"/>
      <c r="AL590" s="2019"/>
      <c r="AM590" s="2021"/>
      <c r="AN590" s="2018"/>
      <c r="AO590" s="477"/>
      <c r="AP590" s="477"/>
      <c r="AQ590" s="477"/>
    </row>
    <row r="591" spans="2:43" ht="15">
      <c r="B591" s="2019"/>
      <c r="C591" s="2021"/>
      <c r="D591" s="2018"/>
      <c r="F591" s="2019"/>
      <c r="G591" s="2021"/>
      <c r="H591" s="2018"/>
      <c r="J591" s="2019"/>
      <c r="K591" s="2021"/>
      <c r="L591" s="2018"/>
      <c r="N591" s="2019"/>
      <c r="O591" s="2021"/>
      <c r="P591" s="2018"/>
      <c r="R591" s="2019"/>
      <c r="S591" s="2021"/>
      <c r="T591" s="2018"/>
      <c r="V591" s="2019"/>
      <c r="W591" s="2021"/>
      <c r="X591" s="2018"/>
      <c r="Z591" s="2019"/>
      <c r="AA591" s="2021"/>
      <c r="AB591" s="2018"/>
      <c r="AD591" s="2019"/>
      <c r="AE591" s="2021"/>
      <c r="AF591" s="2018"/>
      <c r="AH591" s="2019"/>
      <c r="AI591" s="2021"/>
      <c r="AJ591" s="2018"/>
      <c r="AL591" s="2019"/>
      <c r="AM591" s="2021"/>
      <c r="AN591" s="2018"/>
      <c r="AO591" s="477"/>
      <c r="AP591" s="477"/>
      <c r="AQ591" s="477"/>
    </row>
    <row r="592" spans="2:43" ht="15">
      <c r="B592" s="2019"/>
      <c r="C592" s="2021"/>
      <c r="D592" s="2018"/>
      <c r="F592" s="2019"/>
      <c r="G592" s="2021"/>
      <c r="H592" s="2018"/>
      <c r="J592" s="2019"/>
      <c r="K592" s="2021"/>
      <c r="L592" s="2018"/>
      <c r="N592" s="2019"/>
      <c r="O592" s="2021"/>
      <c r="P592" s="2018"/>
      <c r="R592" s="2019"/>
      <c r="S592" s="2021"/>
      <c r="T592" s="2018"/>
      <c r="V592" s="2019"/>
      <c r="W592" s="2021"/>
      <c r="X592" s="2018"/>
      <c r="Z592" s="2019"/>
      <c r="AA592" s="2021"/>
      <c r="AB592" s="2018"/>
      <c r="AD592" s="2019"/>
      <c r="AE592" s="2021"/>
      <c r="AF592" s="2018"/>
      <c r="AH592" s="2019"/>
      <c r="AI592" s="2021"/>
      <c r="AJ592" s="2018"/>
      <c r="AL592" s="2019"/>
      <c r="AM592" s="2021"/>
      <c r="AN592" s="2018"/>
      <c r="AO592" s="477"/>
      <c r="AP592" s="477"/>
      <c r="AQ592" s="477"/>
    </row>
    <row r="593" spans="2:43" ht="15">
      <c r="B593" s="2019"/>
      <c r="C593" s="2021"/>
      <c r="D593" s="2018"/>
      <c r="F593" s="2019"/>
      <c r="G593" s="2021"/>
      <c r="H593" s="2018"/>
      <c r="J593" s="2019"/>
      <c r="K593" s="2021"/>
      <c r="L593" s="2018"/>
      <c r="N593" s="2019"/>
      <c r="O593" s="2021"/>
      <c r="P593" s="2018"/>
      <c r="R593" s="2019"/>
      <c r="S593" s="2021"/>
      <c r="T593" s="2018"/>
      <c r="V593" s="2019"/>
      <c r="W593" s="2021"/>
      <c r="X593" s="2018"/>
      <c r="Z593" s="2019"/>
      <c r="AA593" s="2021"/>
      <c r="AB593" s="2018"/>
      <c r="AD593" s="2019"/>
      <c r="AE593" s="2021"/>
      <c r="AF593" s="2018"/>
      <c r="AH593" s="2019"/>
      <c r="AI593" s="2021"/>
      <c r="AJ593" s="2018"/>
      <c r="AL593" s="2019"/>
      <c r="AM593" s="2021"/>
      <c r="AN593" s="2018"/>
      <c r="AO593" s="477"/>
      <c r="AP593" s="477"/>
      <c r="AQ593" s="477"/>
    </row>
    <row r="594" spans="2:43" ht="15">
      <c r="B594" s="2019"/>
      <c r="C594" s="2021"/>
      <c r="D594" s="2018"/>
      <c r="F594" s="2019"/>
      <c r="G594" s="2021"/>
      <c r="H594" s="2018"/>
      <c r="J594" s="2019"/>
      <c r="K594" s="2021"/>
      <c r="L594" s="2018"/>
      <c r="N594" s="2019"/>
      <c r="O594" s="2021"/>
      <c r="P594" s="2018"/>
      <c r="R594" s="2019"/>
      <c r="S594" s="2021"/>
      <c r="T594" s="2018"/>
      <c r="V594" s="2019"/>
      <c r="W594" s="2021"/>
      <c r="X594" s="2018"/>
      <c r="Z594" s="2019"/>
      <c r="AA594" s="2021"/>
      <c r="AB594" s="2018"/>
      <c r="AD594" s="2019"/>
      <c r="AE594" s="2021"/>
      <c r="AF594" s="2018"/>
      <c r="AH594" s="2019"/>
      <c r="AI594" s="2021"/>
      <c r="AJ594" s="2018"/>
      <c r="AL594" s="2019"/>
      <c r="AM594" s="2021"/>
      <c r="AN594" s="2018"/>
      <c r="AO594" s="477"/>
      <c r="AP594" s="477"/>
      <c r="AQ594" s="477"/>
    </row>
    <row r="595" spans="2:43" ht="15">
      <c r="B595" s="2019"/>
      <c r="C595" s="2021"/>
      <c r="D595" s="2018"/>
      <c r="F595" s="2019"/>
      <c r="G595" s="2021"/>
      <c r="H595" s="2018"/>
      <c r="J595" s="2019"/>
      <c r="K595" s="2021"/>
      <c r="L595" s="2018"/>
      <c r="N595" s="2019"/>
      <c r="O595" s="2021"/>
      <c r="P595" s="2018"/>
      <c r="R595" s="2019"/>
      <c r="S595" s="2021"/>
      <c r="T595" s="2018"/>
      <c r="V595" s="2019"/>
      <c r="W595" s="2021"/>
      <c r="X595" s="2018"/>
      <c r="Z595" s="2019"/>
      <c r="AA595" s="2021"/>
      <c r="AB595" s="2018"/>
      <c r="AD595" s="2019"/>
      <c r="AE595" s="2021"/>
      <c r="AF595" s="2018"/>
      <c r="AH595" s="2019"/>
      <c r="AI595" s="2021"/>
      <c r="AJ595" s="2018"/>
      <c r="AL595" s="2019"/>
      <c r="AM595" s="2021"/>
      <c r="AN595" s="2018"/>
      <c r="AO595" s="477"/>
      <c r="AP595" s="477"/>
      <c r="AQ595" s="477"/>
    </row>
    <row r="596" spans="2:43" ht="15">
      <c r="B596" s="2019"/>
      <c r="C596" s="2021"/>
      <c r="D596" s="2018"/>
      <c r="F596" s="2019"/>
      <c r="G596" s="2021"/>
      <c r="H596" s="2018"/>
      <c r="J596" s="2019"/>
      <c r="K596" s="2021"/>
      <c r="L596" s="2018"/>
      <c r="N596" s="2019"/>
      <c r="O596" s="2021"/>
      <c r="P596" s="2018"/>
      <c r="R596" s="2019"/>
      <c r="S596" s="2021"/>
      <c r="T596" s="2018"/>
      <c r="V596" s="2019"/>
      <c r="W596" s="2021"/>
      <c r="X596" s="2018"/>
      <c r="Z596" s="2019"/>
      <c r="AA596" s="2021"/>
      <c r="AB596" s="2018"/>
      <c r="AD596" s="2019"/>
      <c r="AE596" s="2021"/>
      <c r="AF596" s="2018"/>
      <c r="AH596" s="2019"/>
      <c r="AI596" s="2021"/>
      <c r="AJ596" s="2018"/>
      <c r="AL596" s="2019"/>
      <c r="AM596" s="2021"/>
      <c r="AN596" s="2018"/>
      <c r="AO596" s="477"/>
      <c r="AP596" s="477"/>
      <c r="AQ596" s="477"/>
    </row>
    <row r="597" spans="2:43" ht="15">
      <c r="B597" s="2019"/>
      <c r="C597" s="2021"/>
      <c r="D597" s="2018"/>
      <c r="F597" s="2019"/>
      <c r="G597" s="2021"/>
      <c r="H597" s="2018"/>
      <c r="J597" s="2019"/>
      <c r="K597" s="2021"/>
      <c r="L597" s="2018"/>
      <c r="N597" s="2019"/>
      <c r="O597" s="2021"/>
      <c r="P597" s="2018"/>
      <c r="R597" s="2019"/>
      <c r="S597" s="2021"/>
      <c r="T597" s="2018"/>
      <c r="V597" s="2019"/>
      <c r="W597" s="2021"/>
      <c r="X597" s="2018"/>
      <c r="Z597" s="2019"/>
      <c r="AA597" s="2021"/>
      <c r="AB597" s="2018"/>
      <c r="AD597" s="2019"/>
      <c r="AE597" s="2021"/>
      <c r="AF597" s="2018"/>
      <c r="AH597" s="2019"/>
      <c r="AI597" s="2021"/>
      <c r="AJ597" s="2018"/>
      <c r="AL597" s="2019"/>
      <c r="AM597" s="2021"/>
      <c r="AN597" s="2018"/>
      <c r="AO597" s="477"/>
      <c r="AP597" s="477"/>
      <c r="AQ597" s="477"/>
    </row>
    <row r="598" spans="2:43" ht="15">
      <c r="B598" s="2019"/>
      <c r="C598" s="2021"/>
      <c r="D598" s="2018"/>
      <c r="F598" s="2019"/>
      <c r="G598" s="2021"/>
      <c r="H598" s="2018"/>
      <c r="J598" s="2019"/>
      <c r="K598" s="2021"/>
      <c r="L598" s="2018"/>
      <c r="N598" s="2019"/>
      <c r="O598" s="2021"/>
      <c r="P598" s="2018"/>
      <c r="R598" s="2019"/>
      <c r="S598" s="2021"/>
      <c r="T598" s="2018"/>
      <c r="V598" s="2019"/>
      <c r="W598" s="2021"/>
      <c r="X598" s="2018"/>
      <c r="Z598" s="2019"/>
      <c r="AA598" s="2021"/>
      <c r="AB598" s="2018"/>
      <c r="AD598" s="2019"/>
      <c r="AE598" s="2021"/>
      <c r="AF598" s="2018"/>
      <c r="AH598" s="2019"/>
      <c r="AI598" s="2021"/>
      <c r="AJ598" s="2018"/>
      <c r="AL598" s="2019"/>
      <c r="AM598" s="2021"/>
      <c r="AN598" s="2018"/>
      <c r="AO598" s="477"/>
      <c r="AP598" s="477"/>
      <c r="AQ598" s="477"/>
    </row>
    <row r="599" spans="2:43" ht="15">
      <c r="B599" s="2019"/>
      <c r="C599" s="2021"/>
      <c r="D599" s="2018"/>
      <c r="F599" s="2019"/>
      <c r="G599" s="2021"/>
      <c r="H599" s="2018"/>
      <c r="J599" s="2019"/>
      <c r="K599" s="2021"/>
      <c r="L599" s="2018"/>
      <c r="N599" s="2019"/>
      <c r="O599" s="2021"/>
      <c r="P599" s="2018"/>
      <c r="R599" s="2019"/>
      <c r="S599" s="2021"/>
      <c r="T599" s="2018"/>
      <c r="V599" s="2019"/>
      <c r="W599" s="2021"/>
      <c r="X599" s="2018"/>
      <c r="Z599" s="2019"/>
      <c r="AA599" s="2021"/>
      <c r="AB599" s="2018"/>
      <c r="AD599" s="2019"/>
      <c r="AE599" s="2021"/>
      <c r="AF599" s="2018"/>
      <c r="AH599" s="2019"/>
      <c r="AI599" s="2021"/>
      <c r="AJ599" s="2018"/>
      <c r="AL599" s="2019"/>
      <c r="AM599" s="2021"/>
      <c r="AN599" s="2018"/>
      <c r="AO599" s="477"/>
      <c r="AP599" s="477"/>
      <c r="AQ599" s="477"/>
    </row>
    <row r="600" spans="2:43" ht="15">
      <c r="B600" s="2019"/>
      <c r="C600" s="2021"/>
      <c r="D600" s="2018"/>
      <c r="F600" s="2019"/>
      <c r="G600" s="2021"/>
      <c r="H600" s="2018"/>
      <c r="J600" s="2019"/>
      <c r="K600" s="2021"/>
      <c r="L600" s="2018"/>
      <c r="N600" s="2019"/>
      <c r="O600" s="2021"/>
      <c r="P600" s="2018"/>
      <c r="R600" s="2019"/>
      <c r="S600" s="2021"/>
      <c r="T600" s="2018"/>
      <c r="V600" s="2019"/>
      <c r="W600" s="2021"/>
      <c r="X600" s="2018"/>
      <c r="Z600" s="2019"/>
      <c r="AA600" s="2021"/>
      <c r="AB600" s="2018"/>
      <c r="AD600" s="2019"/>
      <c r="AE600" s="2021"/>
      <c r="AF600" s="2018"/>
      <c r="AH600" s="2019"/>
      <c r="AI600" s="2021"/>
      <c r="AJ600" s="2018"/>
      <c r="AL600" s="2019"/>
      <c r="AM600" s="2021"/>
      <c r="AN600" s="2018"/>
      <c r="AO600" s="477"/>
      <c r="AP600" s="477"/>
      <c r="AQ600" s="477"/>
    </row>
    <row r="601" spans="2:43" ht="15">
      <c r="B601" s="2019"/>
      <c r="C601" s="2021"/>
      <c r="D601" s="2018"/>
      <c r="F601" s="2019"/>
      <c r="G601" s="2021"/>
      <c r="H601" s="2018"/>
      <c r="J601" s="2019"/>
      <c r="K601" s="2021"/>
      <c r="L601" s="2018"/>
      <c r="N601" s="2019"/>
      <c r="O601" s="2021"/>
      <c r="P601" s="2018"/>
      <c r="R601" s="2019"/>
      <c r="S601" s="2021"/>
      <c r="T601" s="2018"/>
      <c r="V601" s="2019"/>
      <c r="W601" s="2021"/>
      <c r="X601" s="2018"/>
      <c r="Z601" s="2019"/>
      <c r="AA601" s="2021"/>
      <c r="AB601" s="2018"/>
      <c r="AD601" s="2019"/>
      <c r="AE601" s="2021"/>
      <c r="AF601" s="2018"/>
      <c r="AH601" s="2019"/>
      <c r="AI601" s="2021"/>
      <c r="AJ601" s="2018"/>
      <c r="AL601" s="2019"/>
      <c r="AM601" s="2021"/>
      <c r="AN601" s="2018"/>
      <c r="AO601" s="477"/>
      <c r="AP601" s="477"/>
      <c r="AQ601" s="477"/>
    </row>
    <row r="602" spans="2:43" ht="15">
      <c r="B602" s="2019"/>
      <c r="C602" s="2021"/>
      <c r="D602" s="2018"/>
      <c r="F602" s="2019"/>
      <c r="G602" s="2021"/>
      <c r="H602" s="2018"/>
      <c r="J602" s="2019"/>
      <c r="K602" s="2021"/>
      <c r="L602" s="2018"/>
      <c r="N602" s="2019"/>
      <c r="O602" s="2021"/>
      <c r="P602" s="2018"/>
      <c r="R602" s="2019"/>
      <c r="S602" s="2021"/>
      <c r="T602" s="2018"/>
      <c r="V602" s="2019"/>
      <c r="W602" s="2021"/>
      <c r="X602" s="2018"/>
      <c r="Z602" s="2019"/>
      <c r="AA602" s="2021"/>
      <c r="AB602" s="2018"/>
      <c r="AD602" s="2019"/>
      <c r="AE602" s="2021"/>
      <c r="AF602" s="2018"/>
      <c r="AH602" s="2019"/>
      <c r="AI602" s="2021"/>
      <c r="AJ602" s="2018"/>
      <c r="AL602" s="2019"/>
      <c r="AM602" s="2021"/>
      <c r="AN602" s="2018"/>
      <c r="AO602" s="477"/>
      <c r="AP602" s="477"/>
      <c r="AQ602" s="477"/>
    </row>
    <row r="603" spans="2:43" ht="15">
      <c r="B603" s="2019"/>
      <c r="C603" s="2021"/>
      <c r="D603" s="2018"/>
      <c r="F603" s="2019"/>
      <c r="G603" s="2021"/>
      <c r="H603" s="2018"/>
      <c r="J603" s="2019"/>
      <c r="K603" s="2021"/>
      <c r="L603" s="2018"/>
      <c r="N603" s="2019"/>
      <c r="O603" s="2021"/>
      <c r="P603" s="2018"/>
      <c r="R603" s="2019"/>
      <c r="S603" s="2021"/>
      <c r="T603" s="2018"/>
      <c r="V603" s="2019"/>
      <c r="W603" s="2021"/>
      <c r="X603" s="2018"/>
      <c r="Z603" s="2019"/>
      <c r="AA603" s="2021"/>
      <c r="AB603" s="2018"/>
      <c r="AD603" s="2019"/>
      <c r="AE603" s="2021"/>
      <c r="AF603" s="2018"/>
      <c r="AH603" s="2019"/>
      <c r="AI603" s="2021"/>
      <c r="AJ603" s="2018"/>
      <c r="AL603" s="2019"/>
      <c r="AM603" s="2021"/>
      <c r="AN603" s="2018"/>
      <c r="AO603" s="477"/>
      <c r="AP603" s="477"/>
      <c r="AQ603" s="477"/>
    </row>
    <row r="604" spans="2:43" ht="15">
      <c r="B604" s="2019"/>
      <c r="C604" s="2021"/>
      <c r="D604" s="2018"/>
      <c r="F604" s="2019"/>
      <c r="G604" s="2021"/>
      <c r="H604" s="2018"/>
      <c r="J604" s="2019"/>
      <c r="K604" s="2021"/>
      <c r="L604" s="2018"/>
      <c r="N604" s="2019"/>
      <c r="O604" s="2021"/>
      <c r="P604" s="2018"/>
      <c r="R604" s="2019"/>
      <c r="S604" s="2021"/>
      <c r="T604" s="2018"/>
      <c r="V604" s="2019"/>
      <c r="W604" s="2021"/>
      <c r="X604" s="2018"/>
      <c r="Z604" s="2019"/>
      <c r="AA604" s="2021"/>
      <c r="AB604" s="2018"/>
      <c r="AD604" s="2019"/>
      <c r="AE604" s="2021"/>
      <c r="AF604" s="2018"/>
      <c r="AH604" s="2019"/>
      <c r="AI604" s="2021"/>
      <c r="AJ604" s="2018"/>
      <c r="AL604" s="2019"/>
      <c r="AM604" s="2021"/>
      <c r="AN604" s="2018"/>
      <c r="AO604" s="477"/>
      <c r="AP604" s="477"/>
      <c r="AQ604" s="477"/>
    </row>
    <row r="605" spans="2:43" ht="15">
      <c r="B605" s="2019"/>
      <c r="C605" s="2021"/>
      <c r="D605" s="2018"/>
      <c r="F605" s="2019"/>
      <c r="G605" s="2021"/>
      <c r="H605" s="2018"/>
      <c r="J605" s="2019"/>
      <c r="K605" s="2021"/>
      <c r="L605" s="2018"/>
      <c r="N605" s="2019"/>
      <c r="O605" s="2021"/>
      <c r="P605" s="2018"/>
      <c r="R605" s="2019"/>
      <c r="S605" s="2021"/>
      <c r="T605" s="2018"/>
      <c r="V605" s="2019"/>
      <c r="W605" s="2021"/>
      <c r="X605" s="2018"/>
      <c r="Z605" s="2019"/>
      <c r="AA605" s="2021"/>
      <c r="AB605" s="2018"/>
      <c r="AD605" s="2019"/>
      <c r="AE605" s="2021"/>
      <c r="AF605" s="2018"/>
      <c r="AH605" s="2019"/>
      <c r="AI605" s="2021"/>
      <c r="AJ605" s="2018"/>
      <c r="AL605" s="2019"/>
      <c r="AM605" s="2021"/>
      <c r="AN605" s="2018"/>
      <c r="AO605" s="477"/>
      <c r="AP605" s="477"/>
      <c r="AQ605" s="477"/>
    </row>
    <row r="606" spans="2:43" ht="15">
      <c r="B606" s="2019"/>
      <c r="C606" s="2021"/>
      <c r="D606" s="2018"/>
      <c r="F606" s="2019"/>
      <c r="G606" s="2021"/>
      <c r="H606" s="2018"/>
      <c r="J606" s="2019"/>
      <c r="K606" s="2021"/>
      <c r="L606" s="2018"/>
      <c r="N606" s="2019"/>
      <c r="O606" s="2021"/>
      <c r="P606" s="2018"/>
      <c r="R606" s="2019"/>
      <c r="S606" s="2021"/>
      <c r="T606" s="2018"/>
      <c r="V606" s="2019"/>
      <c r="W606" s="2021"/>
      <c r="X606" s="2018"/>
      <c r="Z606" s="2019"/>
      <c r="AA606" s="2021"/>
      <c r="AB606" s="2018"/>
      <c r="AD606" s="2019"/>
      <c r="AE606" s="2021"/>
      <c r="AF606" s="2018"/>
      <c r="AH606" s="2019"/>
      <c r="AI606" s="2021"/>
      <c r="AJ606" s="2018"/>
      <c r="AL606" s="2019"/>
      <c r="AM606" s="2021"/>
      <c r="AN606" s="2018"/>
      <c r="AO606" s="477"/>
      <c r="AP606" s="477"/>
      <c r="AQ606" s="477"/>
    </row>
    <row r="607" spans="2:43" ht="15">
      <c r="B607" s="2019"/>
      <c r="C607" s="2021"/>
      <c r="D607" s="2018"/>
      <c r="F607" s="2019"/>
      <c r="G607" s="2021"/>
      <c r="H607" s="2018"/>
      <c r="J607" s="2019"/>
      <c r="K607" s="2021"/>
      <c r="L607" s="2018"/>
      <c r="N607" s="2019"/>
      <c r="O607" s="2021"/>
      <c r="P607" s="2018"/>
      <c r="R607" s="2019"/>
      <c r="S607" s="2021"/>
      <c r="T607" s="2018"/>
      <c r="V607" s="2019"/>
      <c r="W607" s="2021"/>
      <c r="X607" s="2018"/>
      <c r="Z607" s="2019"/>
      <c r="AA607" s="2021"/>
      <c r="AB607" s="2018"/>
      <c r="AD607" s="2019"/>
      <c r="AE607" s="2021"/>
      <c r="AF607" s="2018"/>
      <c r="AH607" s="2019"/>
      <c r="AI607" s="2021"/>
      <c r="AJ607" s="2018"/>
      <c r="AL607" s="2019"/>
      <c r="AM607" s="2021"/>
      <c r="AN607" s="2018"/>
      <c r="AO607" s="477"/>
      <c r="AP607" s="477"/>
      <c r="AQ607" s="477"/>
    </row>
    <row r="608" spans="2:43" ht="15">
      <c r="B608" s="2019"/>
      <c r="C608" s="2021"/>
      <c r="D608" s="2018"/>
      <c r="F608" s="2019"/>
      <c r="G608" s="2021"/>
      <c r="H608" s="2018"/>
      <c r="J608" s="2019"/>
      <c r="K608" s="2021"/>
      <c r="L608" s="2018"/>
      <c r="N608" s="2019"/>
      <c r="O608" s="2021"/>
      <c r="P608" s="2018"/>
      <c r="R608" s="2019"/>
      <c r="S608" s="2021"/>
      <c r="T608" s="2018"/>
      <c r="V608" s="2019"/>
      <c r="W608" s="2021"/>
      <c r="X608" s="2018"/>
      <c r="Z608" s="2019"/>
      <c r="AA608" s="2021"/>
      <c r="AB608" s="2018"/>
      <c r="AD608" s="2019"/>
      <c r="AE608" s="2021"/>
      <c r="AF608" s="2018"/>
      <c r="AH608" s="2019"/>
      <c r="AI608" s="2021"/>
      <c r="AJ608" s="2018"/>
      <c r="AL608" s="2019"/>
      <c r="AM608" s="2021"/>
      <c r="AN608" s="2018"/>
      <c r="AO608" s="477"/>
      <c r="AP608" s="477"/>
      <c r="AQ608" s="477"/>
    </row>
    <row r="609" spans="1:43" ht="15">
      <c r="B609" s="2019"/>
      <c r="C609" s="2021"/>
      <c r="D609" s="2018"/>
      <c r="F609" s="2019"/>
      <c r="G609" s="2021"/>
      <c r="H609" s="2018"/>
      <c r="J609" s="2019"/>
      <c r="K609" s="2021"/>
      <c r="L609" s="2018"/>
      <c r="N609" s="2019"/>
      <c r="O609" s="2021"/>
      <c r="P609" s="2018"/>
      <c r="R609" s="2019"/>
      <c r="S609" s="2021"/>
      <c r="T609" s="2018"/>
      <c r="V609" s="2019"/>
      <c r="W609" s="2021"/>
      <c r="X609" s="2018"/>
      <c r="Z609" s="2019"/>
      <c r="AA609" s="2021"/>
      <c r="AB609" s="2018"/>
      <c r="AD609" s="2019"/>
      <c r="AE609" s="2021"/>
      <c r="AF609" s="2018"/>
      <c r="AH609" s="2019"/>
      <c r="AI609" s="2021"/>
      <c r="AJ609" s="2018"/>
      <c r="AL609" s="2019"/>
      <c r="AM609" s="2021"/>
      <c r="AN609" s="2018"/>
      <c r="AO609" s="477"/>
      <c r="AP609" s="477"/>
      <c r="AQ609" s="477"/>
    </row>
    <row r="610" spans="1:43" ht="15">
      <c r="B610" s="2019"/>
      <c r="C610" s="2021"/>
      <c r="D610" s="2018"/>
      <c r="F610" s="2019"/>
      <c r="G610" s="2021"/>
      <c r="H610" s="2018"/>
      <c r="J610" s="2019"/>
      <c r="K610" s="2021"/>
      <c r="L610" s="2018"/>
      <c r="N610" s="2019"/>
      <c r="O610" s="2021"/>
      <c r="P610" s="2018"/>
      <c r="R610" s="2019"/>
      <c r="S610" s="2021"/>
      <c r="T610" s="2018"/>
      <c r="V610" s="2019"/>
      <c r="W610" s="2021"/>
      <c r="X610" s="2018"/>
      <c r="Z610" s="2019"/>
      <c r="AA610" s="2021"/>
      <c r="AB610" s="2018"/>
      <c r="AD610" s="2019"/>
      <c r="AE610" s="2021"/>
      <c r="AF610" s="2018"/>
      <c r="AH610" s="2019"/>
      <c r="AI610" s="2021"/>
      <c r="AJ610" s="2018"/>
      <c r="AL610" s="2019"/>
      <c r="AM610" s="2021"/>
      <c r="AN610" s="2018"/>
      <c r="AO610" s="477"/>
      <c r="AP610" s="477"/>
      <c r="AQ610" s="477"/>
    </row>
    <row r="611" spans="1:43" ht="15">
      <c r="B611" s="2019"/>
      <c r="C611" s="2021"/>
      <c r="D611" s="2018"/>
      <c r="F611" s="2019"/>
      <c r="G611" s="2021"/>
      <c r="H611" s="2018"/>
      <c r="J611" s="2019"/>
      <c r="K611" s="2021"/>
      <c r="L611" s="2018"/>
      <c r="N611" s="2019"/>
      <c r="O611" s="2021"/>
      <c r="P611" s="2018"/>
      <c r="R611" s="2019"/>
      <c r="S611" s="2021"/>
      <c r="T611" s="2018"/>
      <c r="V611" s="2019"/>
      <c r="W611" s="2021"/>
      <c r="X611" s="2018"/>
      <c r="Z611" s="2019"/>
      <c r="AA611" s="2021"/>
      <c r="AB611" s="2018"/>
      <c r="AD611" s="2019"/>
      <c r="AE611" s="2021"/>
      <c r="AF611" s="2018"/>
      <c r="AH611" s="2019"/>
      <c r="AI611" s="2021"/>
      <c r="AJ611" s="2018"/>
      <c r="AL611" s="2019"/>
      <c r="AM611" s="2021"/>
      <c r="AN611" s="2018"/>
      <c r="AO611" s="477"/>
      <c r="AP611" s="477"/>
      <c r="AQ611" s="477"/>
    </row>
    <row r="612" spans="1:43" ht="15">
      <c r="B612" s="2019"/>
      <c r="C612" s="2021"/>
      <c r="D612" s="2018"/>
      <c r="F612" s="2019"/>
      <c r="G612" s="2021"/>
      <c r="H612" s="2018"/>
      <c r="J612" s="2019"/>
      <c r="K612" s="2021"/>
      <c r="L612" s="2018"/>
      <c r="N612" s="2019"/>
      <c r="O612" s="2021"/>
      <c r="P612" s="2018"/>
      <c r="R612" s="2019"/>
      <c r="S612" s="2021"/>
      <c r="T612" s="2018"/>
      <c r="V612" s="2019"/>
      <c r="W612" s="2021"/>
      <c r="X612" s="2018"/>
      <c r="Z612" s="2019"/>
      <c r="AA612" s="2021"/>
      <c r="AB612" s="2018"/>
      <c r="AD612" s="2019"/>
      <c r="AE612" s="2021"/>
      <c r="AF612" s="2018"/>
      <c r="AH612" s="2019"/>
      <c r="AI612" s="2021"/>
      <c r="AJ612" s="2018"/>
      <c r="AL612" s="2019"/>
      <c r="AM612" s="2021"/>
      <c r="AN612" s="2018"/>
      <c r="AO612" s="477"/>
      <c r="AP612" s="477"/>
      <c r="AQ612" s="477"/>
    </row>
    <row r="613" spans="1:43" ht="15">
      <c r="B613" s="2019"/>
      <c r="C613" s="2021"/>
      <c r="D613" s="2018"/>
      <c r="F613" s="2019"/>
      <c r="G613" s="2021"/>
      <c r="H613" s="2018"/>
      <c r="J613" s="2019"/>
      <c r="K613" s="2021"/>
      <c r="L613" s="2018"/>
      <c r="N613" s="2019"/>
      <c r="O613" s="2021"/>
      <c r="P613" s="2018"/>
      <c r="R613" s="2019"/>
      <c r="S613" s="2021"/>
      <c r="T613" s="2018"/>
      <c r="V613" s="2019"/>
      <c r="W613" s="2021"/>
      <c r="X613" s="2018"/>
      <c r="Z613" s="2019"/>
      <c r="AA613" s="2021"/>
      <c r="AB613" s="2018"/>
      <c r="AD613" s="2019"/>
      <c r="AE613" s="2021"/>
      <c r="AF613" s="2018"/>
      <c r="AH613" s="2019"/>
      <c r="AI613" s="2021"/>
      <c r="AJ613" s="2018"/>
      <c r="AL613" s="2019"/>
      <c r="AM613" s="2021"/>
      <c r="AN613" s="2018"/>
      <c r="AO613" s="477"/>
      <c r="AP613" s="477"/>
      <c r="AQ613" s="477"/>
    </row>
    <row r="614" spans="1:43" ht="15">
      <c r="B614" s="2019"/>
      <c r="C614" s="2021"/>
      <c r="D614" s="2018"/>
      <c r="F614" s="2019"/>
      <c r="G614" s="2021"/>
      <c r="H614" s="2018"/>
      <c r="J614" s="2019"/>
      <c r="K614" s="2021"/>
      <c r="L614" s="2018"/>
      <c r="N614" s="2019"/>
      <c r="O614" s="2021"/>
      <c r="P614" s="2018"/>
      <c r="R614" s="2019"/>
      <c r="S614" s="2021"/>
      <c r="T614" s="2018"/>
      <c r="V614" s="2019"/>
      <c r="W614" s="2021"/>
      <c r="X614" s="2018"/>
      <c r="Z614" s="2019"/>
      <c r="AA614" s="2021"/>
      <c r="AB614" s="2018"/>
      <c r="AD614" s="2019"/>
      <c r="AE614" s="2021"/>
      <c r="AF614" s="2018"/>
      <c r="AH614" s="2019"/>
      <c r="AI614" s="2021"/>
      <c r="AJ614" s="2018"/>
      <c r="AL614" s="2019"/>
      <c r="AM614" s="2021"/>
      <c r="AN614" s="2018"/>
      <c r="AO614" s="477"/>
      <c r="AP614" s="477"/>
      <c r="AQ614" s="477"/>
    </row>
    <row r="615" spans="1:43" ht="15">
      <c r="B615" s="2019"/>
      <c r="C615" s="2021"/>
      <c r="D615" s="2018"/>
      <c r="F615" s="2019"/>
      <c r="G615" s="2021"/>
      <c r="H615" s="2018"/>
      <c r="J615" s="2019"/>
      <c r="K615" s="2021"/>
      <c r="L615" s="2018"/>
      <c r="N615" s="2019"/>
      <c r="O615" s="2021"/>
      <c r="P615" s="2018"/>
      <c r="R615" s="2019"/>
      <c r="S615" s="2021"/>
      <c r="T615" s="2018"/>
      <c r="V615" s="2019"/>
      <c r="W615" s="2021"/>
      <c r="X615" s="2018"/>
      <c r="Z615" s="2019"/>
      <c r="AA615" s="2021"/>
      <c r="AB615" s="2018"/>
      <c r="AD615" s="2019"/>
      <c r="AE615" s="2021"/>
      <c r="AF615" s="2018"/>
      <c r="AH615" s="2019"/>
      <c r="AI615" s="2021"/>
      <c r="AJ615" s="2018"/>
      <c r="AL615" s="2019"/>
      <c r="AM615" s="2021"/>
      <c r="AN615" s="2018"/>
      <c r="AO615" s="477"/>
      <c r="AP615" s="477"/>
      <c r="AQ615" s="477"/>
    </row>
    <row r="616" spans="1:43" ht="15">
      <c r="B616" s="2019"/>
      <c r="C616" s="2021"/>
      <c r="D616" s="2018"/>
      <c r="F616" s="2019"/>
      <c r="G616" s="2021"/>
      <c r="H616" s="2018"/>
      <c r="J616" s="2019"/>
      <c r="K616" s="2021"/>
      <c r="L616" s="2018"/>
      <c r="N616" s="2019"/>
      <c r="O616" s="2021"/>
      <c r="P616" s="2018"/>
      <c r="R616" s="2019"/>
      <c r="S616" s="2021"/>
      <c r="T616" s="2018"/>
      <c r="V616" s="2019"/>
      <c r="W616" s="2021"/>
      <c r="X616" s="2018"/>
      <c r="Z616" s="2019"/>
      <c r="AA616" s="2021"/>
      <c r="AB616" s="2018"/>
      <c r="AD616" s="2019"/>
      <c r="AE616" s="2021"/>
      <c r="AF616" s="2018"/>
      <c r="AH616" s="2019"/>
      <c r="AI616" s="2021"/>
      <c r="AJ616" s="2018"/>
      <c r="AL616" s="2019"/>
      <c r="AM616" s="2021"/>
      <c r="AN616" s="2018"/>
      <c r="AO616" s="477"/>
      <c r="AP616" s="477"/>
      <c r="AQ616" s="477"/>
    </row>
    <row r="617" spans="1:43" ht="15">
      <c r="B617" s="2019"/>
      <c r="C617" s="2021"/>
      <c r="D617" s="2018"/>
      <c r="F617" s="2019"/>
      <c r="G617" s="2021"/>
      <c r="H617" s="2018"/>
      <c r="J617" s="2019"/>
      <c r="K617" s="2021"/>
      <c r="L617" s="2018"/>
      <c r="N617" s="2019"/>
      <c r="O617" s="2021"/>
      <c r="P617" s="2018"/>
      <c r="R617" s="2019"/>
      <c r="S617" s="2021"/>
      <c r="T617" s="2018"/>
      <c r="V617" s="2019"/>
      <c r="W617" s="2021"/>
      <c r="X617" s="2018"/>
      <c r="Z617" s="2019"/>
      <c r="AA617" s="2021"/>
      <c r="AB617" s="2018"/>
      <c r="AD617" s="2019"/>
      <c r="AE617" s="2021"/>
      <c r="AF617" s="2018"/>
      <c r="AH617" s="2019"/>
      <c r="AI617" s="2021"/>
      <c r="AJ617" s="2018"/>
      <c r="AL617" s="2019"/>
      <c r="AM617" s="2021"/>
      <c r="AN617" s="2018"/>
      <c r="AO617" s="477"/>
      <c r="AP617" s="477"/>
      <c r="AQ617" s="477"/>
    </row>
    <row r="618" spans="1:43" ht="15">
      <c r="B618" s="2019"/>
      <c r="C618" s="2021"/>
      <c r="D618" s="2018"/>
      <c r="F618" s="2019"/>
      <c r="G618" s="2021"/>
      <c r="H618" s="2018"/>
      <c r="J618" s="2019"/>
      <c r="K618" s="2021"/>
      <c r="L618" s="2018"/>
      <c r="N618" s="2019"/>
      <c r="O618" s="2021"/>
      <c r="P618" s="2018"/>
      <c r="R618" s="2019"/>
      <c r="S618" s="2021"/>
      <c r="T618" s="2018"/>
      <c r="V618" s="2019"/>
      <c r="W618" s="2021"/>
      <c r="X618" s="2018"/>
      <c r="Z618" s="2019"/>
      <c r="AA618" s="2021"/>
      <c r="AB618" s="2018"/>
      <c r="AD618" s="2019"/>
      <c r="AE618" s="2021"/>
      <c r="AF618" s="2018"/>
      <c r="AH618" s="2019"/>
      <c r="AI618" s="2021"/>
      <c r="AJ618" s="2018"/>
      <c r="AL618" s="2019"/>
      <c r="AM618" s="2021"/>
      <c r="AN618" s="2018"/>
      <c r="AO618" s="477"/>
      <c r="AP618" s="477"/>
      <c r="AQ618" s="477"/>
    </row>
    <row r="619" spans="1:43" ht="15">
      <c r="B619" s="2019"/>
      <c r="C619" s="2021"/>
      <c r="D619" s="2018"/>
      <c r="F619" s="2019"/>
      <c r="G619" s="2021"/>
      <c r="H619" s="2018"/>
      <c r="J619" s="2019"/>
      <c r="K619" s="2021"/>
      <c r="L619" s="2018"/>
      <c r="N619" s="2019"/>
      <c r="O619" s="2021"/>
      <c r="P619" s="2018"/>
      <c r="R619" s="2019"/>
      <c r="S619" s="2021"/>
      <c r="T619" s="2018"/>
      <c r="V619" s="2019"/>
      <c r="W619" s="2021"/>
      <c r="X619" s="2018"/>
      <c r="Z619" s="2019"/>
      <c r="AA619" s="2021"/>
      <c r="AB619" s="2018"/>
      <c r="AD619" s="2019"/>
      <c r="AE619" s="2021"/>
      <c r="AF619" s="2018"/>
      <c r="AH619" s="2019"/>
      <c r="AI619" s="2021"/>
      <c r="AJ619" s="2018"/>
      <c r="AL619" s="2019"/>
      <c r="AM619" s="2021"/>
      <c r="AN619" s="2018"/>
      <c r="AO619" s="477"/>
      <c r="AP619" s="477"/>
      <c r="AQ619" s="477"/>
    </row>
    <row r="620" spans="1:43" ht="15">
      <c r="B620" s="2019"/>
      <c r="C620" s="2021"/>
      <c r="D620" s="2018"/>
      <c r="F620" s="2019"/>
      <c r="G620" s="2021"/>
      <c r="H620" s="2018"/>
      <c r="J620" s="2019"/>
      <c r="K620" s="2021"/>
      <c r="L620" s="2018"/>
      <c r="N620" s="2019"/>
      <c r="O620" s="2021"/>
      <c r="P620" s="2018"/>
      <c r="R620" s="2019"/>
      <c r="S620" s="2021"/>
      <c r="T620" s="2018"/>
      <c r="V620" s="2019"/>
      <c r="W620" s="2021"/>
      <c r="X620" s="2018"/>
      <c r="Z620" s="2019"/>
      <c r="AA620" s="2021"/>
      <c r="AB620" s="2018"/>
      <c r="AD620" s="2019"/>
      <c r="AE620" s="2021"/>
      <c r="AF620" s="2018"/>
      <c r="AH620" s="2019"/>
      <c r="AI620" s="2021"/>
      <c r="AJ620" s="2018"/>
      <c r="AL620" s="2019"/>
      <c r="AM620" s="2021"/>
      <c r="AN620" s="2018"/>
      <c r="AO620" s="477"/>
      <c r="AP620" s="477"/>
      <c r="AQ620" s="477"/>
    </row>
    <row r="621" spans="1:43" ht="15">
      <c r="B621" s="2019"/>
      <c r="C621" s="2021"/>
      <c r="D621" s="2018"/>
      <c r="F621" s="2019"/>
      <c r="G621" s="2021"/>
      <c r="H621" s="2018"/>
      <c r="J621" s="2019"/>
      <c r="K621" s="2021"/>
      <c r="L621" s="2018"/>
      <c r="N621" s="2019"/>
      <c r="O621" s="2021"/>
      <c r="P621" s="2018"/>
      <c r="R621" s="2019"/>
      <c r="S621" s="2021"/>
      <c r="T621" s="2018"/>
      <c r="V621" s="2019"/>
      <c r="W621" s="2021"/>
      <c r="X621" s="2018"/>
      <c r="Z621" s="2019"/>
      <c r="AA621" s="2021"/>
      <c r="AB621" s="2018"/>
      <c r="AD621" s="2019"/>
      <c r="AE621" s="2021"/>
      <c r="AF621" s="2018"/>
      <c r="AH621" s="2019"/>
      <c r="AI621" s="2021"/>
      <c r="AJ621" s="2018"/>
      <c r="AL621" s="2019"/>
      <c r="AM621" s="2021"/>
      <c r="AN621" s="2018"/>
      <c r="AO621" s="477"/>
      <c r="AP621" s="477"/>
      <c r="AQ621" s="477"/>
    </row>
    <row r="622" spans="1:43" ht="15">
      <c r="B622" s="2019"/>
      <c r="C622" s="2021"/>
      <c r="D622" s="2018"/>
      <c r="F622" s="2019"/>
      <c r="G622" s="2021"/>
      <c r="H622" s="2018"/>
      <c r="J622" s="2019"/>
      <c r="K622" s="2021"/>
      <c r="L622" s="2018"/>
      <c r="N622" s="2019"/>
      <c r="O622" s="2021"/>
      <c r="P622" s="2018"/>
      <c r="R622" s="2019"/>
      <c r="S622" s="2021"/>
      <c r="T622" s="2018"/>
      <c r="V622" s="2019"/>
      <c r="W622" s="2021"/>
      <c r="X622" s="2018"/>
      <c r="Z622" s="2019"/>
      <c r="AA622" s="2021"/>
      <c r="AB622" s="2018"/>
      <c r="AD622" s="2019"/>
      <c r="AE622" s="2021"/>
      <c r="AF622" s="2018"/>
      <c r="AH622" s="2019"/>
      <c r="AI622" s="2021"/>
      <c r="AJ622" s="2018"/>
      <c r="AL622" s="2019"/>
      <c r="AM622" s="2021"/>
      <c r="AN622" s="2018"/>
      <c r="AO622" s="477"/>
      <c r="AP622" s="477"/>
      <c r="AQ622" s="477"/>
    </row>
    <row r="623" spans="1:43" ht="15">
      <c r="A623" s="477"/>
      <c r="B623" s="2022"/>
      <c r="C623" s="2026"/>
      <c r="D623" s="2024"/>
      <c r="F623" s="2022"/>
      <c r="G623" s="2026"/>
      <c r="H623" s="2024"/>
      <c r="J623" s="2022"/>
      <c r="K623" s="2026"/>
      <c r="L623" s="2024"/>
      <c r="M623" s="477"/>
      <c r="N623" s="2022"/>
      <c r="O623" s="2026"/>
      <c r="P623" s="2024"/>
      <c r="R623" s="2022"/>
      <c r="S623" s="2026"/>
      <c r="T623" s="2024"/>
      <c r="V623" s="2022"/>
      <c r="W623" s="2026"/>
      <c r="X623" s="2024"/>
      <c r="Z623" s="2022"/>
      <c r="AA623" s="2026"/>
      <c r="AB623" s="2024"/>
      <c r="AC623" s="477"/>
      <c r="AD623" s="2022"/>
      <c r="AE623" s="2026"/>
      <c r="AF623" s="2024"/>
      <c r="AH623" s="2022"/>
      <c r="AI623" s="2026"/>
      <c r="AJ623" s="2024"/>
      <c r="AL623" s="2022"/>
      <c r="AM623" s="2026"/>
      <c r="AN623" s="2024"/>
      <c r="AO623" s="477"/>
      <c r="AP623" s="477"/>
      <c r="AQ623" s="477"/>
    </row>
    <row r="624" spans="1:43" ht="15">
      <c r="A624" s="477"/>
      <c r="B624" s="2022"/>
      <c r="C624" s="2026"/>
      <c r="D624" s="2024"/>
      <c r="F624" s="2022"/>
      <c r="G624" s="2026"/>
      <c r="H624" s="2024"/>
      <c r="J624" s="2022"/>
      <c r="K624" s="2026"/>
      <c r="L624" s="2024"/>
      <c r="M624" s="477"/>
      <c r="N624" s="2022"/>
      <c r="O624" s="2026"/>
      <c r="P624" s="2024"/>
      <c r="R624" s="2022"/>
      <c r="S624" s="2026"/>
      <c r="T624" s="2024"/>
      <c r="V624" s="2022"/>
      <c r="W624" s="2026"/>
      <c r="X624" s="2024"/>
      <c r="Z624" s="2022"/>
      <c r="AA624" s="2026"/>
      <c r="AB624" s="2024"/>
      <c r="AC624" s="477"/>
      <c r="AD624" s="2022"/>
      <c r="AE624" s="2026"/>
      <c r="AF624" s="2024"/>
      <c r="AH624" s="2022"/>
      <c r="AI624" s="2026"/>
      <c r="AJ624" s="2024"/>
      <c r="AL624" s="2022"/>
      <c r="AM624" s="2026"/>
      <c r="AN624" s="2024"/>
      <c r="AO624" s="477"/>
      <c r="AP624" s="477"/>
      <c r="AQ624" s="477"/>
    </row>
    <row r="625" spans="1:43" ht="15">
      <c r="A625" s="477"/>
      <c r="B625" s="2022"/>
      <c r="C625" s="2026"/>
      <c r="D625" s="2024"/>
      <c r="F625" s="2022"/>
      <c r="G625" s="2026"/>
      <c r="H625" s="2024"/>
      <c r="J625" s="2022"/>
      <c r="K625" s="2026"/>
      <c r="L625" s="2024"/>
      <c r="M625" s="477"/>
      <c r="N625" s="2022"/>
      <c r="O625" s="2026"/>
      <c r="P625" s="2024"/>
      <c r="R625" s="2022"/>
      <c r="S625" s="2026"/>
      <c r="T625" s="2024"/>
      <c r="V625" s="2022"/>
      <c r="W625" s="2026"/>
      <c r="X625" s="2024"/>
      <c r="Z625" s="2022"/>
      <c r="AA625" s="2026"/>
      <c r="AB625" s="2024"/>
      <c r="AC625" s="477"/>
      <c r="AD625" s="2022"/>
      <c r="AE625" s="2026"/>
      <c r="AF625" s="2024"/>
      <c r="AH625" s="2022"/>
      <c r="AI625" s="2026"/>
      <c r="AJ625" s="2024"/>
      <c r="AL625" s="2022"/>
      <c r="AM625" s="2026"/>
      <c r="AN625" s="2024"/>
      <c r="AO625" s="477"/>
      <c r="AP625" s="477"/>
      <c r="AQ625" s="477"/>
    </row>
    <row r="626" spans="1:43" ht="15">
      <c r="A626" s="477"/>
      <c r="B626" s="2022"/>
      <c r="C626" s="2026"/>
      <c r="D626" s="2024"/>
      <c r="F626" s="2022"/>
      <c r="G626" s="2026"/>
      <c r="H626" s="2024"/>
      <c r="J626" s="2022"/>
      <c r="K626" s="2026"/>
      <c r="L626" s="2024"/>
      <c r="M626" s="477"/>
      <c r="N626" s="2022"/>
      <c r="O626" s="2026"/>
      <c r="P626" s="2024"/>
      <c r="R626" s="2022"/>
      <c r="S626" s="2026"/>
      <c r="T626" s="2024"/>
      <c r="V626" s="2022"/>
      <c r="W626" s="2026"/>
      <c r="X626" s="2024"/>
      <c r="Z626" s="2022"/>
      <c r="AA626" s="2026"/>
      <c r="AB626" s="2024"/>
      <c r="AC626" s="477"/>
      <c r="AD626" s="2022"/>
      <c r="AE626" s="2026"/>
      <c r="AF626" s="2024"/>
      <c r="AH626" s="2022"/>
      <c r="AI626" s="2026"/>
      <c r="AJ626" s="2024"/>
      <c r="AL626" s="2022"/>
      <c r="AM626" s="2026"/>
      <c r="AN626" s="2024"/>
      <c r="AO626" s="477"/>
      <c r="AP626" s="477"/>
      <c r="AQ626" s="477"/>
    </row>
    <row r="627" spans="1:43" ht="15">
      <c r="A627" s="477"/>
      <c r="B627" s="2022"/>
      <c r="C627" s="2026"/>
      <c r="D627" s="2024"/>
      <c r="F627" s="2022"/>
      <c r="G627" s="2026"/>
      <c r="H627" s="2024"/>
      <c r="J627" s="2022"/>
      <c r="K627" s="2026"/>
      <c r="L627" s="2024"/>
      <c r="M627" s="477"/>
      <c r="N627" s="2022"/>
      <c r="O627" s="2026"/>
      <c r="P627" s="2024"/>
      <c r="R627" s="2022"/>
      <c r="S627" s="2026"/>
      <c r="T627" s="2024"/>
      <c r="V627" s="2022"/>
      <c r="W627" s="2026"/>
      <c r="X627" s="2024"/>
      <c r="Z627" s="2022"/>
      <c r="AA627" s="2026"/>
      <c r="AB627" s="2024"/>
      <c r="AC627" s="477"/>
      <c r="AD627" s="2022"/>
      <c r="AE627" s="2026"/>
      <c r="AF627" s="2024"/>
      <c r="AH627" s="2022"/>
      <c r="AI627" s="2026"/>
      <c r="AJ627" s="2024"/>
      <c r="AL627" s="2022"/>
      <c r="AM627" s="2026"/>
      <c r="AN627" s="2024"/>
      <c r="AO627" s="477"/>
      <c r="AP627" s="477"/>
      <c r="AQ627" s="477"/>
    </row>
    <row r="628" spans="1:43" ht="15">
      <c r="A628" s="477"/>
      <c r="B628" s="2022"/>
      <c r="C628" s="2026"/>
      <c r="D628" s="2024"/>
      <c r="F628" s="2022"/>
      <c r="G628" s="2026"/>
      <c r="H628" s="2024"/>
      <c r="J628" s="2022"/>
      <c r="K628" s="2026"/>
      <c r="L628" s="2024"/>
      <c r="M628" s="477"/>
      <c r="N628" s="2022"/>
      <c r="O628" s="2026"/>
      <c r="P628" s="2024"/>
      <c r="R628" s="2022"/>
      <c r="S628" s="2026"/>
      <c r="T628" s="2024"/>
      <c r="V628" s="2022"/>
      <c r="W628" s="2026"/>
      <c r="X628" s="2024"/>
      <c r="Z628" s="2022"/>
      <c r="AA628" s="2026"/>
      <c r="AB628" s="2024"/>
      <c r="AC628" s="477"/>
      <c r="AD628" s="2022"/>
      <c r="AE628" s="2026"/>
      <c r="AF628" s="2024"/>
      <c r="AH628" s="2022"/>
      <c r="AI628" s="2026"/>
      <c r="AJ628" s="2024"/>
      <c r="AL628" s="2022"/>
      <c r="AM628" s="2026"/>
      <c r="AN628" s="2024"/>
      <c r="AO628" s="477"/>
      <c r="AP628" s="477"/>
      <c r="AQ628" s="477"/>
    </row>
    <row r="629" spans="1:43" ht="12.75" customHeight="1">
      <c r="A629" s="477"/>
      <c r="B629" s="2022"/>
      <c r="C629" s="2026"/>
      <c r="D629" s="2024"/>
      <c r="F629" s="2022"/>
      <c r="G629" s="2026"/>
      <c r="H629" s="2024"/>
      <c r="J629" s="2022"/>
      <c r="K629" s="2026"/>
      <c r="L629" s="2024"/>
      <c r="M629" s="477"/>
      <c r="N629" s="2022"/>
      <c r="O629" s="2026"/>
      <c r="P629" s="2024"/>
      <c r="R629" s="2022"/>
      <c r="S629" s="2026"/>
      <c r="T629" s="2024"/>
      <c r="V629" s="2022"/>
      <c r="W629" s="2026"/>
      <c r="X629" s="2024"/>
      <c r="Z629" s="2022"/>
      <c r="AA629" s="2026"/>
      <c r="AB629" s="2024"/>
      <c r="AC629" s="477"/>
      <c r="AD629" s="2022"/>
      <c r="AE629" s="2026"/>
      <c r="AF629" s="2024"/>
      <c r="AH629" s="2022"/>
      <c r="AI629" s="2026"/>
      <c r="AJ629" s="2024"/>
      <c r="AL629" s="2022"/>
      <c r="AM629" s="2026"/>
      <c r="AN629" s="2024"/>
      <c r="AO629" s="477"/>
      <c r="AP629" s="477"/>
      <c r="AQ629" s="477"/>
    </row>
    <row r="630" spans="1:43" ht="12.75" customHeight="1">
      <c r="A630" s="477"/>
      <c r="B630" s="2022"/>
      <c r="C630" s="2026"/>
      <c r="D630" s="2024"/>
      <c r="F630" s="2022"/>
      <c r="G630" s="2026"/>
      <c r="H630" s="2024"/>
      <c r="J630" s="2022"/>
      <c r="K630" s="2026"/>
      <c r="L630" s="2024"/>
      <c r="M630" s="477"/>
      <c r="N630" s="2022"/>
      <c r="O630" s="2026"/>
      <c r="P630" s="2024"/>
      <c r="R630" s="2022"/>
      <c r="S630" s="2026"/>
      <c r="T630" s="2024"/>
      <c r="V630" s="2022"/>
      <c r="W630" s="2026"/>
      <c r="X630" s="2024"/>
      <c r="Z630" s="2022"/>
      <c r="AA630" s="2026"/>
      <c r="AB630" s="2024"/>
      <c r="AC630" s="477"/>
      <c r="AD630" s="2022"/>
      <c r="AE630" s="2026"/>
      <c r="AF630" s="2024"/>
      <c r="AH630" s="2022"/>
      <c r="AI630" s="2026"/>
      <c r="AJ630" s="2024"/>
      <c r="AL630" s="2022"/>
      <c r="AM630" s="2026"/>
      <c r="AN630" s="2024"/>
      <c r="AO630" s="477"/>
      <c r="AP630" s="477"/>
      <c r="AQ630" s="477"/>
    </row>
    <row r="631" spans="1:43" ht="12.75" customHeight="1">
      <c r="A631" s="477"/>
      <c r="B631" s="2022"/>
      <c r="C631" s="2026"/>
      <c r="D631" s="2024"/>
      <c r="F631" s="2022"/>
      <c r="G631" s="2026"/>
      <c r="H631" s="2024"/>
      <c r="J631" s="2022"/>
      <c r="K631" s="2026"/>
      <c r="L631" s="2024"/>
      <c r="M631" s="477"/>
      <c r="N631" s="2022"/>
      <c r="O631" s="2026"/>
      <c r="P631" s="2024"/>
      <c r="R631" s="2022"/>
      <c r="S631" s="2026"/>
      <c r="T631" s="2024"/>
      <c r="V631" s="2022"/>
      <c r="W631" s="2026"/>
      <c r="X631" s="2024"/>
      <c r="Z631" s="2022"/>
      <c r="AA631" s="2026"/>
      <c r="AB631" s="2024"/>
      <c r="AC631" s="477"/>
      <c r="AD631" s="2022"/>
      <c r="AE631" s="2026"/>
      <c r="AF631" s="2024"/>
      <c r="AH631" s="2022"/>
      <c r="AI631" s="2026"/>
      <c r="AJ631" s="2024"/>
      <c r="AL631" s="2022"/>
      <c r="AM631" s="2026"/>
      <c r="AN631" s="2024"/>
      <c r="AO631" s="477"/>
      <c r="AP631" s="477"/>
      <c r="AQ631" s="477"/>
    </row>
    <row r="632" spans="1:43" ht="12.75" customHeight="1">
      <c r="A632" s="477"/>
      <c r="B632" s="2022"/>
      <c r="C632" s="2026"/>
      <c r="D632" s="2024"/>
      <c r="F632" s="2022"/>
      <c r="G632" s="2026"/>
      <c r="H632" s="2024"/>
      <c r="J632" s="2022"/>
      <c r="K632" s="2026"/>
      <c r="L632" s="2024"/>
      <c r="M632" s="477"/>
      <c r="N632" s="2022"/>
      <c r="O632" s="2026"/>
      <c r="P632" s="2024"/>
      <c r="R632" s="2022"/>
      <c r="S632" s="2026"/>
      <c r="T632" s="2024"/>
      <c r="V632" s="2022"/>
      <c r="W632" s="2026"/>
      <c r="X632" s="2024"/>
      <c r="Z632" s="2022"/>
      <c r="AA632" s="2026"/>
      <c r="AB632" s="2024"/>
      <c r="AC632" s="477"/>
      <c r="AD632" s="2022"/>
      <c r="AE632" s="2026"/>
      <c r="AF632" s="2024"/>
      <c r="AH632" s="2022"/>
      <c r="AI632" s="2026"/>
      <c r="AJ632" s="2024"/>
      <c r="AL632" s="2022"/>
      <c r="AM632" s="2026"/>
      <c r="AN632" s="2024"/>
      <c r="AO632" s="477"/>
      <c r="AP632" s="477"/>
      <c r="AQ632" s="477"/>
    </row>
    <row r="633" spans="1:43" ht="12.75" customHeight="1">
      <c r="A633" s="477"/>
      <c r="B633" s="2022"/>
      <c r="C633" s="2026"/>
      <c r="D633" s="2024"/>
      <c r="F633" s="2022"/>
      <c r="G633" s="2026"/>
      <c r="H633" s="2024"/>
      <c r="J633" s="2022"/>
      <c r="K633" s="2026"/>
      <c r="L633" s="2024"/>
      <c r="M633" s="477"/>
      <c r="N633" s="2022"/>
      <c r="O633" s="2026"/>
      <c r="P633" s="2024"/>
      <c r="R633" s="2022"/>
      <c r="S633" s="2026"/>
      <c r="T633" s="2024"/>
      <c r="V633" s="2022"/>
      <c r="W633" s="2026"/>
      <c r="X633" s="2024"/>
      <c r="Z633" s="2022"/>
      <c r="AA633" s="2026"/>
      <c r="AB633" s="2024"/>
      <c r="AC633" s="477"/>
      <c r="AD633" s="2022"/>
      <c r="AE633" s="2026"/>
      <c r="AF633" s="2024"/>
      <c r="AH633" s="2022"/>
      <c r="AI633" s="2026"/>
      <c r="AJ633" s="2024"/>
      <c r="AL633" s="2022"/>
      <c r="AM633" s="2026"/>
      <c r="AN633" s="2024"/>
      <c r="AO633" s="477"/>
      <c r="AP633" s="477"/>
      <c r="AQ633" s="477"/>
    </row>
    <row r="634" spans="1:43" ht="12.75" customHeight="1">
      <c r="A634" s="477"/>
      <c r="B634" s="2022"/>
      <c r="C634" s="2026"/>
      <c r="D634" s="2024"/>
      <c r="F634" s="2022"/>
      <c r="G634" s="2026"/>
      <c r="H634" s="2024"/>
      <c r="J634" s="2022"/>
      <c r="K634" s="2026"/>
      <c r="L634" s="2024"/>
      <c r="M634" s="477"/>
      <c r="N634" s="2022"/>
      <c r="O634" s="2026"/>
      <c r="P634" s="2024"/>
      <c r="R634" s="2022"/>
      <c r="S634" s="2026"/>
      <c r="T634" s="2024"/>
      <c r="V634" s="2022"/>
      <c r="W634" s="2026"/>
      <c r="X634" s="2024"/>
      <c r="Z634" s="2022"/>
      <c r="AA634" s="2026"/>
      <c r="AB634" s="2024"/>
      <c r="AC634" s="477"/>
      <c r="AD634" s="2022"/>
      <c r="AE634" s="2026"/>
      <c r="AF634" s="2024"/>
      <c r="AH634" s="2022"/>
      <c r="AI634" s="2026"/>
      <c r="AJ634" s="2024"/>
      <c r="AL634" s="2022"/>
      <c r="AM634" s="2026"/>
      <c r="AN634" s="2024"/>
      <c r="AO634" s="477"/>
      <c r="AP634" s="477"/>
      <c r="AQ634" s="477"/>
    </row>
    <row r="635" spans="1:43" ht="12.75" customHeight="1">
      <c r="A635" s="477"/>
      <c r="B635" s="2022"/>
      <c r="C635" s="2026"/>
      <c r="D635" s="2024"/>
      <c r="F635" s="2022"/>
      <c r="G635" s="2026"/>
      <c r="H635" s="2024"/>
      <c r="J635" s="2022"/>
      <c r="K635" s="2026"/>
      <c r="L635" s="2024"/>
      <c r="M635" s="477"/>
      <c r="N635" s="2022"/>
      <c r="O635" s="2026"/>
      <c r="P635" s="2024"/>
      <c r="R635" s="2022"/>
      <c r="S635" s="2026"/>
      <c r="T635" s="2024"/>
      <c r="V635" s="2022"/>
      <c r="W635" s="2026"/>
      <c r="X635" s="2024"/>
      <c r="Z635" s="2022"/>
      <c r="AA635" s="2026"/>
      <c r="AB635" s="2024"/>
      <c r="AC635" s="477"/>
      <c r="AD635" s="2022"/>
      <c r="AE635" s="2026"/>
      <c r="AF635" s="2024"/>
      <c r="AH635" s="2022"/>
      <c r="AI635" s="2026"/>
      <c r="AJ635" s="2024"/>
      <c r="AL635" s="2022"/>
      <c r="AM635" s="2026"/>
      <c r="AN635" s="2024"/>
      <c r="AO635" s="477"/>
      <c r="AP635" s="477"/>
      <c r="AQ635" s="477"/>
    </row>
    <row r="636" spans="1:43" ht="12.75" customHeight="1">
      <c r="A636" s="477"/>
      <c r="B636" s="2022"/>
      <c r="C636" s="2026"/>
      <c r="D636" s="2024"/>
      <c r="F636" s="2022"/>
      <c r="G636" s="2026"/>
      <c r="H636" s="2024"/>
      <c r="J636" s="2022"/>
      <c r="K636" s="2026"/>
      <c r="L636" s="2024"/>
      <c r="M636" s="477"/>
      <c r="N636" s="2022"/>
      <c r="O636" s="2026"/>
      <c r="P636" s="2024"/>
      <c r="R636" s="2022"/>
      <c r="S636" s="2026"/>
      <c r="T636" s="2024"/>
      <c r="V636" s="2022"/>
      <c r="W636" s="2026"/>
      <c r="X636" s="2024"/>
      <c r="Z636" s="2022"/>
      <c r="AA636" s="2026"/>
      <c r="AB636" s="2024"/>
      <c r="AC636" s="477"/>
      <c r="AD636" s="2022"/>
      <c r="AE636" s="2026"/>
      <c r="AF636" s="2024"/>
      <c r="AH636" s="2022"/>
      <c r="AI636" s="2026"/>
      <c r="AJ636" s="2024"/>
      <c r="AL636" s="2022"/>
      <c r="AM636" s="2026"/>
      <c r="AN636" s="2024"/>
      <c r="AO636" s="477"/>
      <c r="AP636" s="477"/>
      <c r="AQ636" s="477"/>
    </row>
    <row r="637" spans="1:43" ht="12.75" customHeight="1">
      <c r="A637" s="477"/>
      <c r="B637" s="2022"/>
      <c r="C637" s="2026"/>
      <c r="D637" s="2024"/>
      <c r="F637" s="2022"/>
      <c r="G637" s="2026"/>
      <c r="H637" s="2024"/>
      <c r="J637" s="2022"/>
      <c r="K637" s="2026"/>
      <c r="L637" s="2024"/>
      <c r="M637" s="477"/>
      <c r="N637" s="2022"/>
      <c r="O637" s="2026"/>
      <c r="P637" s="2024"/>
      <c r="R637" s="2022"/>
      <c r="S637" s="2026"/>
      <c r="T637" s="2024"/>
      <c r="V637" s="2022"/>
      <c r="W637" s="2026"/>
      <c r="X637" s="2024"/>
      <c r="Z637" s="2022"/>
      <c r="AA637" s="2026"/>
      <c r="AB637" s="2024"/>
      <c r="AC637" s="477"/>
      <c r="AD637" s="2022"/>
      <c r="AE637" s="2026"/>
      <c r="AF637" s="2024"/>
      <c r="AH637" s="2022"/>
      <c r="AI637" s="2026"/>
      <c r="AJ637" s="2024"/>
      <c r="AL637" s="2022"/>
      <c r="AM637" s="2026"/>
      <c r="AN637" s="2024"/>
      <c r="AO637" s="477"/>
      <c r="AP637" s="477"/>
      <c r="AQ637" s="477"/>
    </row>
    <row r="638" spans="1:43" ht="12.75" customHeight="1">
      <c r="A638" s="477"/>
      <c r="B638" s="2022"/>
      <c r="C638" s="2026"/>
      <c r="D638" s="2024"/>
      <c r="F638" s="2022"/>
      <c r="G638" s="2026"/>
      <c r="H638" s="2024"/>
      <c r="J638" s="2022"/>
      <c r="K638" s="2026"/>
      <c r="L638" s="2024"/>
      <c r="M638" s="477"/>
      <c r="N638" s="2022"/>
      <c r="O638" s="2026"/>
      <c r="P638" s="2024"/>
      <c r="R638" s="2022"/>
      <c r="S638" s="2026"/>
      <c r="T638" s="2024"/>
      <c r="V638" s="2022"/>
      <c r="W638" s="2026"/>
      <c r="X638" s="2024"/>
      <c r="Z638" s="2022"/>
      <c r="AA638" s="2026"/>
      <c r="AB638" s="2024"/>
      <c r="AC638" s="477"/>
      <c r="AD638" s="2022"/>
      <c r="AE638" s="2026"/>
      <c r="AF638" s="2024"/>
      <c r="AH638" s="2022"/>
      <c r="AI638" s="2026"/>
      <c r="AJ638" s="2024"/>
      <c r="AL638" s="2022"/>
      <c r="AM638" s="2026"/>
      <c r="AN638" s="2024"/>
      <c r="AO638" s="477"/>
      <c r="AP638" s="477"/>
      <c r="AQ638" s="477"/>
    </row>
    <row r="639" spans="1:43" ht="12.75" customHeight="1">
      <c r="A639" s="477"/>
      <c r="B639" s="2022"/>
      <c r="C639" s="2026"/>
      <c r="D639" s="2024"/>
      <c r="F639" s="2022"/>
      <c r="G639" s="2026"/>
      <c r="H639" s="2024"/>
      <c r="J639" s="2022"/>
      <c r="K639" s="2026"/>
      <c r="L639" s="2024"/>
      <c r="M639" s="477"/>
      <c r="N639" s="2022"/>
      <c r="O639" s="2026"/>
      <c r="P639" s="2024"/>
      <c r="R639" s="2022"/>
      <c r="S639" s="2026"/>
      <c r="T639" s="2024"/>
      <c r="V639" s="2022"/>
      <c r="W639" s="2026"/>
      <c r="X639" s="2024"/>
      <c r="Z639" s="2022"/>
      <c r="AA639" s="2026"/>
      <c r="AB639" s="2024"/>
      <c r="AC639" s="477"/>
      <c r="AD639" s="2022"/>
      <c r="AE639" s="2026"/>
      <c r="AF639" s="2024"/>
      <c r="AH639" s="2022"/>
      <c r="AI639" s="2026"/>
      <c r="AJ639" s="2024"/>
      <c r="AL639" s="2022"/>
      <c r="AM639" s="2026"/>
      <c r="AN639" s="2024"/>
      <c r="AO639" s="477"/>
      <c r="AP639" s="477"/>
      <c r="AQ639" s="477"/>
    </row>
    <row r="640" spans="1:43" ht="15">
      <c r="A640" s="477"/>
      <c r="B640" s="2022"/>
      <c r="C640" s="2026"/>
      <c r="D640" s="2024"/>
      <c r="F640" s="2022"/>
      <c r="G640" s="2026"/>
      <c r="H640" s="2024"/>
      <c r="J640" s="2022"/>
      <c r="K640" s="2026"/>
      <c r="L640" s="2024"/>
      <c r="M640" s="477"/>
      <c r="N640" s="2022"/>
      <c r="O640" s="2026"/>
      <c r="P640" s="2024"/>
      <c r="R640" s="2022"/>
      <c r="S640" s="2026"/>
      <c r="T640" s="2024"/>
      <c r="V640" s="2022"/>
      <c r="W640" s="2026"/>
      <c r="X640" s="2024"/>
      <c r="Z640" s="2022"/>
      <c r="AA640" s="2026"/>
      <c r="AB640" s="2024"/>
      <c r="AC640" s="477"/>
      <c r="AD640" s="2022"/>
      <c r="AE640" s="2026"/>
      <c r="AF640" s="2024"/>
      <c r="AH640" s="2022"/>
      <c r="AI640" s="2026"/>
      <c r="AJ640" s="2024"/>
      <c r="AL640" s="2022"/>
      <c r="AM640" s="2026"/>
      <c r="AN640" s="2024"/>
      <c r="AO640" s="477"/>
      <c r="AP640" s="477"/>
      <c r="AQ640" s="477"/>
    </row>
    <row r="641" spans="1:43" ht="15">
      <c r="A641" s="477"/>
      <c r="B641" s="2022"/>
      <c r="C641" s="2026"/>
      <c r="D641" s="2024"/>
      <c r="F641" s="2022"/>
      <c r="G641" s="2026"/>
      <c r="H641" s="2024"/>
      <c r="J641" s="2022"/>
      <c r="K641" s="2026"/>
      <c r="L641" s="2024"/>
      <c r="M641" s="477"/>
      <c r="N641" s="2022"/>
      <c r="O641" s="2026"/>
      <c r="P641" s="2024"/>
      <c r="R641" s="2022"/>
      <c r="S641" s="2026"/>
      <c r="T641" s="2024"/>
      <c r="V641" s="2022"/>
      <c r="W641" s="2026"/>
      <c r="X641" s="2024"/>
      <c r="Z641" s="2022"/>
      <c r="AA641" s="2026"/>
      <c r="AB641" s="2024"/>
      <c r="AC641" s="477"/>
      <c r="AD641" s="2022"/>
      <c r="AE641" s="2026"/>
      <c r="AF641" s="2024"/>
      <c r="AH641" s="2022"/>
      <c r="AI641" s="2026"/>
      <c r="AJ641" s="2024"/>
      <c r="AL641" s="2022"/>
      <c r="AM641" s="2026"/>
      <c r="AN641" s="2024"/>
      <c r="AO641" s="477"/>
      <c r="AP641" s="477"/>
      <c r="AQ641" s="477"/>
    </row>
    <row r="642" spans="1:43" ht="15">
      <c r="A642" s="477"/>
      <c r="B642" s="2022"/>
      <c r="C642" s="2026"/>
      <c r="D642" s="2024"/>
      <c r="F642" s="2022"/>
      <c r="G642" s="2026"/>
      <c r="H642" s="2024"/>
      <c r="J642" s="2022"/>
      <c r="K642" s="2026"/>
      <c r="L642" s="2024"/>
      <c r="M642" s="477"/>
      <c r="N642" s="2022"/>
      <c r="O642" s="2026"/>
      <c r="P642" s="2024"/>
      <c r="R642" s="2022"/>
      <c r="S642" s="2026"/>
      <c r="T642" s="2024"/>
      <c r="V642" s="2022"/>
      <c r="W642" s="2026"/>
      <c r="X642" s="2024"/>
      <c r="Z642" s="2022"/>
      <c r="AA642" s="2026"/>
      <c r="AB642" s="2024"/>
      <c r="AC642" s="477"/>
      <c r="AD642" s="2022"/>
      <c r="AE642" s="2026"/>
      <c r="AF642" s="2024"/>
      <c r="AH642" s="2022"/>
      <c r="AI642" s="2026"/>
      <c r="AJ642" s="2024"/>
      <c r="AL642" s="2022"/>
      <c r="AM642" s="2026"/>
      <c r="AN642" s="2024"/>
      <c r="AO642" s="477"/>
      <c r="AP642" s="477"/>
      <c r="AQ642" s="477"/>
    </row>
    <row r="643" spans="1:43" ht="15">
      <c r="A643" s="477"/>
      <c r="B643" s="2022"/>
      <c r="C643" s="2026"/>
      <c r="D643" s="2024"/>
      <c r="F643" s="2022"/>
      <c r="G643" s="2026"/>
      <c r="H643" s="2024"/>
      <c r="J643" s="2022"/>
      <c r="K643" s="2026"/>
      <c r="L643" s="2024"/>
      <c r="M643" s="477"/>
      <c r="N643" s="2022"/>
      <c r="O643" s="2026"/>
      <c r="P643" s="2024"/>
      <c r="R643" s="2022"/>
      <c r="S643" s="2026"/>
      <c r="T643" s="2024"/>
      <c r="V643" s="2022"/>
      <c r="W643" s="2026"/>
      <c r="X643" s="2024"/>
      <c r="Z643" s="2022"/>
      <c r="AA643" s="2026"/>
      <c r="AB643" s="2024"/>
      <c r="AC643" s="477"/>
      <c r="AD643" s="2022"/>
      <c r="AE643" s="2026"/>
      <c r="AF643" s="2024"/>
      <c r="AH643" s="2022"/>
      <c r="AI643" s="2026"/>
      <c r="AJ643" s="2024"/>
      <c r="AL643" s="2022"/>
      <c r="AM643" s="2026"/>
      <c r="AN643" s="2024"/>
      <c r="AO643" s="477"/>
      <c r="AP643" s="477"/>
      <c r="AQ643" s="477"/>
    </row>
    <row r="644" spans="1:43" ht="15">
      <c r="A644" s="477"/>
      <c r="B644" s="2022"/>
      <c r="C644" s="2026"/>
      <c r="D644" s="2024"/>
      <c r="F644" s="2022"/>
      <c r="G644" s="2026"/>
      <c r="H644" s="2024"/>
      <c r="J644" s="2022"/>
      <c r="K644" s="2026"/>
      <c r="L644" s="2024"/>
      <c r="M644" s="477"/>
      <c r="N644" s="2022"/>
      <c r="O644" s="2026"/>
      <c r="P644" s="2024"/>
      <c r="R644" s="2022"/>
      <c r="S644" s="2026"/>
      <c r="T644" s="2024"/>
      <c r="V644" s="2022"/>
      <c r="W644" s="2026"/>
      <c r="X644" s="2024"/>
      <c r="Z644" s="2022"/>
      <c r="AA644" s="2026"/>
      <c r="AB644" s="2024"/>
      <c r="AC644" s="477"/>
      <c r="AD644" s="2022"/>
      <c r="AE644" s="2026"/>
      <c r="AF644" s="2024"/>
      <c r="AH644" s="2022"/>
      <c r="AI644" s="2026"/>
      <c r="AJ644" s="2024"/>
      <c r="AL644" s="2022"/>
      <c r="AM644" s="2026"/>
      <c r="AN644" s="2024"/>
      <c r="AO644" s="477"/>
      <c r="AP644" s="477"/>
      <c r="AQ644" s="477"/>
    </row>
    <row r="645" spans="1:43" ht="15">
      <c r="A645" s="477"/>
      <c r="B645" s="2022"/>
      <c r="C645" s="2026"/>
      <c r="D645" s="2024"/>
      <c r="F645" s="2022"/>
      <c r="G645" s="2026"/>
      <c r="H645" s="2024"/>
      <c r="J645" s="2022"/>
      <c r="K645" s="2026"/>
      <c r="L645" s="2024"/>
      <c r="M645" s="477"/>
      <c r="N645" s="2022"/>
      <c r="O645" s="2026"/>
      <c r="P645" s="2024"/>
      <c r="R645" s="2022"/>
      <c r="S645" s="2026"/>
      <c r="T645" s="2024"/>
      <c r="V645" s="2022"/>
      <c r="W645" s="2026"/>
      <c r="X645" s="2024"/>
      <c r="Z645" s="2022"/>
      <c r="AA645" s="2026"/>
      <c r="AB645" s="2024"/>
      <c r="AC645" s="477"/>
      <c r="AD645" s="2022"/>
      <c r="AE645" s="2026"/>
      <c r="AF645" s="2024"/>
      <c r="AH645" s="2022"/>
      <c r="AI645" s="2026"/>
      <c r="AJ645" s="2024"/>
      <c r="AL645" s="2022"/>
      <c r="AM645" s="2026"/>
      <c r="AN645" s="2024"/>
      <c r="AO645" s="477"/>
      <c r="AP645" s="477"/>
      <c r="AQ645" s="477"/>
    </row>
    <row r="646" spans="1:43" ht="15">
      <c r="A646" s="477"/>
      <c r="B646" s="2022"/>
      <c r="C646" s="2026"/>
      <c r="D646" s="2024"/>
      <c r="F646" s="2022"/>
      <c r="G646" s="2026"/>
      <c r="H646" s="2024"/>
      <c r="J646" s="2022"/>
      <c r="K646" s="2026"/>
      <c r="L646" s="2024"/>
      <c r="M646" s="477"/>
      <c r="N646" s="2022"/>
      <c r="O646" s="2026"/>
      <c r="P646" s="2024"/>
      <c r="R646" s="2022"/>
      <c r="S646" s="2026"/>
      <c r="T646" s="2024"/>
      <c r="V646" s="2022"/>
      <c r="W646" s="2026"/>
      <c r="X646" s="2024"/>
      <c r="Z646" s="2022"/>
      <c r="AA646" s="2026"/>
      <c r="AB646" s="2024"/>
      <c r="AC646" s="477"/>
      <c r="AD646" s="2022"/>
      <c r="AE646" s="2026"/>
      <c r="AF646" s="2024"/>
      <c r="AH646" s="2022"/>
      <c r="AI646" s="2026"/>
      <c r="AJ646" s="2024"/>
      <c r="AL646" s="2022"/>
      <c r="AM646" s="2026"/>
      <c r="AN646" s="2024"/>
      <c r="AO646" s="477"/>
      <c r="AP646" s="477"/>
      <c r="AQ646" s="477"/>
    </row>
    <row r="647" spans="1:43" ht="15">
      <c r="A647" s="477"/>
      <c r="B647" s="2022"/>
      <c r="C647" s="2026"/>
      <c r="D647" s="2024"/>
      <c r="F647" s="2022"/>
      <c r="G647" s="2026"/>
      <c r="H647" s="2024"/>
      <c r="J647" s="2022"/>
      <c r="K647" s="2026"/>
      <c r="L647" s="2024"/>
      <c r="M647" s="477"/>
      <c r="N647" s="2022"/>
      <c r="O647" s="2026"/>
      <c r="P647" s="2024"/>
      <c r="R647" s="2022"/>
      <c r="S647" s="2026"/>
      <c r="T647" s="2024"/>
      <c r="V647" s="2022"/>
      <c r="W647" s="2026"/>
      <c r="X647" s="2024"/>
      <c r="Z647" s="2022"/>
      <c r="AA647" s="2026"/>
      <c r="AB647" s="2024"/>
      <c r="AC647" s="477"/>
      <c r="AD647" s="2022"/>
      <c r="AE647" s="2026"/>
      <c r="AF647" s="2024"/>
      <c r="AH647" s="2022"/>
      <c r="AI647" s="2026"/>
      <c r="AJ647" s="2024"/>
      <c r="AL647" s="2022"/>
      <c r="AM647" s="2026"/>
      <c r="AN647" s="2024"/>
      <c r="AO647" s="477"/>
      <c r="AP647" s="477"/>
      <c r="AQ647" s="477"/>
    </row>
    <row r="648" spans="1:43" ht="15">
      <c r="A648" s="477"/>
      <c r="B648" s="2022"/>
      <c r="C648" s="2026"/>
      <c r="D648" s="2024"/>
      <c r="F648" s="2022"/>
      <c r="G648" s="2026"/>
      <c r="H648" s="2024"/>
      <c r="J648" s="2022"/>
      <c r="K648" s="2026"/>
      <c r="L648" s="2024"/>
      <c r="M648" s="477"/>
      <c r="N648" s="2022"/>
      <c r="O648" s="2026"/>
      <c r="P648" s="2024"/>
      <c r="R648" s="2022"/>
      <c r="S648" s="2026"/>
      <c r="T648" s="2024"/>
      <c r="V648" s="2022"/>
      <c r="W648" s="2026"/>
      <c r="X648" s="2024"/>
      <c r="Z648" s="2022"/>
      <c r="AA648" s="2026"/>
      <c r="AB648" s="2024"/>
      <c r="AC648" s="477"/>
      <c r="AD648" s="2022"/>
      <c r="AE648" s="2026"/>
      <c r="AF648" s="2024"/>
      <c r="AH648" s="2022"/>
      <c r="AI648" s="2026"/>
      <c r="AJ648" s="2024"/>
      <c r="AL648" s="2022"/>
      <c r="AM648" s="2026"/>
      <c r="AN648" s="2024"/>
      <c r="AO648" s="477"/>
      <c r="AP648" s="477"/>
      <c r="AQ648" s="477"/>
    </row>
    <row r="649" spans="1:43" ht="15">
      <c r="A649" s="477"/>
      <c r="B649" s="2022"/>
      <c r="C649" s="2026"/>
      <c r="D649" s="2024"/>
      <c r="F649" s="2022"/>
      <c r="G649" s="2026"/>
      <c r="H649" s="2024"/>
      <c r="J649" s="2022"/>
      <c r="K649" s="2026"/>
      <c r="L649" s="2024"/>
      <c r="M649" s="477"/>
      <c r="N649" s="2022"/>
      <c r="O649" s="2026"/>
      <c r="P649" s="2024"/>
      <c r="R649" s="2022"/>
      <c r="S649" s="2026"/>
      <c r="T649" s="2024"/>
      <c r="V649" s="2022"/>
      <c r="W649" s="2026"/>
      <c r="X649" s="2024"/>
      <c r="Z649" s="2022"/>
      <c r="AA649" s="2026"/>
      <c r="AB649" s="2024"/>
      <c r="AC649" s="477"/>
      <c r="AD649" s="2022"/>
      <c r="AE649" s="2026"/>
      <c r="AF649" s="2024"/>
      <c r="AH649" s="2022"/>
      <c r="AI649" s="2026"/>
      <c r="AJ649" s="2024"/>
      <c r="AL649" s="2022"/>
      <c r="AM649" s="2026"/>
      <c r="AN649" s="2024"/>
      <c r="AO649" s="477"/>
      <c r="AP649" s="477"/>
      <c r="AQ649" s="477"/>
    </row>
    <row r="650" spans="1:43" ht="15">
      <c r="A650" s="477"/>
      <c r="B650" s="2022"/>
      <c r="C650" s="2026"/>
      <c r="D650" s="2024"/>
      <c r="F650" s="2022"/>
      <c r="G650" s="2026"/>
      <c r="H650" s="2024"/>
      <c r="J650" s="2022"/>
      <c r="K650" s="2026"/>
      <c r="L650" s="2024"/>
      <c r="M650" s="477"/>
      <c r="N650" s="2022"/>
      <c r="O650" s="2026"/>
      <c r="P650" s="2024"/>
      <c r="R650" s="2022"/>
      <c r="S650" s="2026"/>
      <c r="T650" s="2024"/>
      <c r="V650" s="2022"/>
      <c r="W650" s="2026"/>
      <c r="X650" s="2024"/>
      <c r="Z650" s="2022"/>
      <c r="AA650" s="2026"/>
      <c r="AB650" s="2024"/>
      <c r="AC650" s="477"/>
      <c r="AD650" s="2022"/>
      <c r="AE650" s="2026"/>
      <c r="AF650" s="2024"/>
      <c r="AH650" s="2022"/>
      <c r="AI650" s="2026"/>
      <c r="AJ650" s="2024"/>
      <c r="AL650" s="2022"/>
      <c r="AM650" s="2026"/>
      <c r="AN650" s="2024"/>
      <c r="AO650" s="477"/>
      <c r="AP650" s="477"/>
      <c r="AQ650" s="477"/>
    </row>
    <row r="651" spans="1:43" ht="15">
      <c r="A651" s="477"/>
      <c r="B651" s="2022"/>
      <c r="C651" s="2026"/>
      <c r="D651" s="2024"/>
      <c r="F651" s="2022"/>
      <c r="G651" s="2026"/>
      <c r="H651" s="2024"/>
      <c r="J651" s="2022"/>
      <c r="K651" s="2026"/>
      <c r="L651" s="2024"/>
      <c r="M651" s="477"/>
      <c r="N651" s="2022"/>
      <c r="O651" s="2026"/>
      <c r="P651" s="2024"/>
      <c r="R651" s="2022"/>
      <c r="S651" s="2026"/>
      <c r="T651" s="2024"/>
      <c r="V651" s="2022"/>
      <c r="W651" s="2026"/>
      <c r="X651" s="2024"/>
      <c r="Z651" s="2022"/>
      <c r="AA651" s="2026"/>
      <c r="AB651" s="2024"/>
      <c r="AC651" s="477"/>
      <c r="AD651" s="2022"/>
      <c r="AE651" s="2026"/>
      <c r="AF651" s="2024"/>
      <c r="AH651" s="2022"/>
      <c r="AI651" s="2026"/>
      <c r="AJ651" s="2024"/>
      <c r="AL651" s="2022"/>
      <c r="AM651" s="2026"/>
      <c r="AN651" s="2024"/>
      <c r="AO651" s="477"/>
      <c r="AP651" s="477"/>
      <c r="AQ651" s="477"/>
    </row>
    <row r="652" spans="1:43" ht="15">
      <c r="A652" s="477"/>
      <c r="B652" s="2022"/>
      <c r="C652" s="2026"/>
      <c r="D652" s="2024"/>
      <c r="F652" s="2022"/>
      <c r="G652" s="2026"/>
      <c r="H652" s="2024"/>
      <c r="J652" s="2022"/>
      <c r="K652" s="2026"/>
      <c r="L652" s="2024"/>
      <c r="M652" s="477"/>
      <c r="N652" s="2022"/>
      <c r="O652" s="2026"/>
      <c r="P652" s="2024"/>
      <c r="R652" s="2022"/>
      <c r="S652" s="2026"/>
      <c r="T652" s="2024"/>
      <c r="V652" s="2022"/>
      <c r="W652" s="2026"/>
      <c r="X652" s="2024"/>
      <c r="Z652" s="2022"/>
      <c r="AA652" s="2026"/>
      <c r="AB652" s="2024"/>
      <c r="AC652" s="477"/>
      <c r="AD652" s="2022"/>
      <c r="AE652" s="2026"/>
      <c r="AF652" s="2024"/>
      <c r="AH652" s="2022"/>
      <c r="AI652" s="2026"/>
      <c r="AJ652" s="2024"/>
      <c r="AL652" s="2022"/>
      <c r="AM652" s="2026"/>
      <c r="AN652" s="2024"/>
      <c r="AO652" s="477"/>
      <c r="AP652" s="477"/>
      <c r="AQ652" s="477"/>
    </row>
    <row r="653" spans="1:43" ht="15.75" thickBot="1">
      <c r="A653" s="477"/>
      <c r="B653" s="2027"/>
      <c r="C653" s="2028"/>
      <c r="D653" s="2029"/>
      <c r="F653" s="2027"/>
      <c r="G653" s="2028"/>
      <c r="H653" s="2029"/>
      <c r="J653" s="2027"/>
      <c r="K653" s="2028"/>
      <c r="L653" s="2029"/>
      <c r="M653" s="477"/>
      <c r="N653" s="2027"/>
      <c r="O653" s="2028"/>
      <c r="P653" s="2029"/>
      <c r="R653" s="2027"/>
      <c r="S653" s="2028"/>
      <c r="T653" s="2029"/>
      <c r="V653" s="2027"/>
      <c r="W653" s="2028"/>
      <c r="X653" s="2029"/>
      <c r="Z653" s="2027"/>
      <c r="AA653" s="2028"/>
      <c r="AB653" s="2029"/>
      <c r="AC653" s="477"/>
      <c r="AD653" s="2027"/>
      <c r="AE653" s="2028"/>
      <c r="AF653" s="2029"/>
      <c r="AH653" s="2027"/>
      <c r="AI653" s="2028"/>
      <c r="AJ653" s="2029"/>
      <c r="AL653" s="2027"/>
      <c r="AM653" s="2028"/>
      <c r="AN653" s="2029"/>
      <c r="AO653" s="477"/>
      <c r="AP653" s="477"/>
      <c r="AQ653" s="477"/>
    </row>
    <row r="654" spans="1:43" ht="15">
      <c r="A654" s="477"/>
      <c r="B654" s="321" t="s">
        <v>34</v>
      </c>
      <c r="F654" s="321" t="s">
        <v>34</v>
      </c>
      <c r="J654" s="321" t="s">
        <v>34</v>
      </c>
      <c r="N654" s="321" t="s">
        <v>34</v>
      </c>
      <c r="R654" s="321" t="s">
        <v>34</v>
      </c>
      <c r="V654" s="321" t="s">
        <v>34</v>
      </c>
      <c r="Z654" s="321" t="s">
        <v>34</v>
      </c>
      <c r="AC654" s="2030"/>
      <c r="AD654" s="321" t="s">
        <v>34</v>
      </c>
      <c r="AG654" s="477"/>
      <c r="AH654" s="321" t="s">
        <v>34</v>
      </c>
      <c r="AK654" s="477"/>
      <c r="AL654" s="321" t="s">
        <v>34</v>
      </c>
      <c r="AO654" s="477"/>
      <c r="AP654" s="477"/>
      <c r="AQ654" s="477"/>
    </row>
    <row r="655" spans="1:43" ht="15.75" thickBot="1">
      <c r="B655" s="321" t="s">
        <v>130</v>
      </c>
      <c r="F655" s="321" t="s">
        <v>130</v>
      </c>
      <c r="J655" s="321" t="s">
        <v>130</v>
      </c>
      <c r="N655" s="321" t="s">
        <v>130</v>
      </c>
      <c r="R655" s="321" t="s">
        <v>130</v>
      </c>
      <c r="V655" s="321" t="s">
        <v>130</v>
      </c>
      <c r="Z655" s="321" t="s">
        <v>130</v>
      </c>
      <c r="AC655" s="2030"/>
      <c r="AD655" s="321" t="s">
        <v>130</v>
      </c>
      <c r="AG655" s="477"/>
      <c r="AH655" s="321" t="s">
        <v>130</v>
      </c>
      <c r="AK655" s="477"/>
      <c r="AL655" s="321" t="s">
        <v>130</v>
      </c>
      <c r="AO655" s="477"/>
      <c r="AP655" s="477"/>
      <c r="AQ655" s="477"/>
    </row>
    <row r="656" spans="1:43" ht="200.1" customHeight="1" thickBot="1">
      <c r="B656" s="1898"/>
      <c r="C656" s="1899"/>
      <c r="D656" s="1900"/>
      <c r="F656" s="1898"/>
      <c r="G656" s="1899"/>
      <c r="H656" s="1900"/>
      <c r="J656" s="1898"/>
      <c r="K656" s="1899"/>
      <c r="L656" s="1900"/>
      <c r="N656" s="1898"/>
      <c r="O656" s="1899"/>
      <c r="P656" s="1900"/>
      <c r="R656" s="1898"/>
      <c r="S656" s="1899"/>
      <c r="T656" s="1900"/>
      <c r="V656" s="1898"/>
      <c r="W656" s="1899"/>
      <c r="X656" s="1900"/>
      <c r="Z656" s="1898"/>
      <c r="AA656" s="1899"/>
      <c r="AB656" s="1900"/>
      <c r="AC656" s="2030"/>
      <c r="AD656" s="1898"/>
      <c r="AE656" s="1899"/>
      <c r="AF656" s="1900"/>
      <c r="AG656" s="477"/>
      <c r="AH656" s="1898"/>
      <c r="AI656" s="1899"/>
      <c r="AJ656" s="1900"/>
      <c r="AK656" s="477"/>
      <c r="AL656" s="1898"/>
      <c r="AM656" s="1899"/>
      <c r="AN656" s="1900"/>
      <c r="AO656" s="477"/>
      <c r="AP656" s="477"/>
      <c r="AQ656" s="477"/>
    </row>
    <row r="657" spans="1:43" ht="15">
      <c r="AA657" s="2030"/>
      <c r="AB657" s="2030"/>
      <c r="AC657" s="2030"/>
      <c r="AD657" s="477"/>
      <c r="AE657" s="477"/>
      <c r="AF657" s="477"/>
      <c r="AG657" s="477"/>
      <c r="AH657" s="477"/>
      <c r="AI657" s="477"/>
      <c r="AJ657" s="477"/>
      <c r="AK657" s="477"/>
      <c r="AL657" s="477"/>
      <c r="AM657" s="477"/>
      <c r="AN657" s="477"/>
      <c r="AO657" s="477"/>
      <c r="AP657" s="477"/>
      <c r="AQ657" s="477"/>
    </row>
    <row r="658" spans="1:43" ht="15">
      <c r="A658" s="474"/>
      <c r="B658" s="474" t="s">
        <v>572</v>
      </c>
      <c r="C658" s="477"/>
      <c r="D658" s="477"/>
      <c r="E658" s="477"/>
      <c r="F658" s="477"/>
      <c r="G658" s="477"/>
      <c r="H658" s="477"/>
      <c r="I658" s="477"/>
      <c r="J658" s="477"/>
      <c r="K658" s="477"/>
      <c r="L658" s="477"/>
      <c r="M658" s="477"/>
      <c r="N658" s="477"/>
      <c r="O658" s="477"/>
      <c r="P658" s="477"/>
      <c r="Q658" s="477"/>
      <c r="R658" s="477"/>
      <c r="S658" s="477"/>
      <c r="T658" s="477"/>
      <c r="U658" s="477"/>
      <c r="V658" s="477"/>
      <c r="W658" s="477"/>
      <c r="X658" s="477"/>
      <c r="Y658" s="477"/>
      <c r="Z658" s="477"/>
      <c r="AA658" s="477"/>
      <c r="AB658" s="477"/>
      <c r="AC658" s="477"/>
      <c r="AD658" s="477"/>
      <c r="AE658" s="477"/>
      <c r="AF658" s="477"/>
      <c r="AG658" s="477"/>
      <c r="AH658" s="477"/>
      <c r="AI658" s="477"/>
      <c r="AJ658" s="477"/>
      <c r="AK658" s="477"/>
      <c r="AL658" s="477"/>
      <c r="AM658" s="477"/>
      <c r="AN658" s="477"/>
      <c r="AO658" s="477"/>
      <c r="AP658" s="477"/>
      <c r="AQ658" s="477"/>
    </row>
    <row r="659" spans="1:43" ht="15.75" thickBot="1">
      <c r="A659" s="474"/>
      <c r="B659" s="474"/>
      <c r="C659" s="477"/>
      <c r="D659" s="477"/>
      <c r="E659" s="477"/>
      <c r="F659" s="477"/>
      <c r="G659" s="477"/>
      <c r="H659" s="477"/>
      <c r="I659" s="477"/>
      <c r="J659" s="477"/>
      <c r="K659" s="477"/>
      <c r="L659" s="477"/>
      <c r="M659" s="477"/>
      <c r="N659" s="477"/>
      <c r="O659" s="477"/>
      <c r="P659" s="477"/>
      <c r="Q659" s="477"/>
      <c r="R659" s="477"/>
      <c r="S659" s="477"/>
      <c r="T659" s="477"/>
      <c r="U659" s="477"/>
      <c r="V659" s="477"/>
      <c r="W659" s="477"/>
      <c r="X659" s="477"/>
      <c r="Y659" s="477"/>
      <c r="Z659" s="477"/>
      <c r="AA659" s="477"/>
      <c r="AB659" s="477"/>
      <c r="AC659" s="477"/>
      <c r="AD659" s="477"/>
      <c r="AE659" s="477"/>
      <c r="AF659" s="477"/>
      <c r="AG659" s="477"/>
      <c r="AH659" s="477"/>
      <c r="AI659" s="477"/>
      <c r="AJ659" s="477"/>
      <c r="AK659" s="477"/>
      <c r="AL659" s="477"/>
      <c r="AM659" s="477"/>
      <c r="AN659" s="477"/>
      <c r="AO659" s="477"/>
      <c r="AP659" s="477"/>
      <c r="AQ659" s="477"/>
    </row>
    <row r="660" spans="1:43" ht="15.75" thickBot="1">
      <c r="A660" s="474"/>
      <c r="B660" s="2033" t="s">
        <v>216</v>
      </c>
      <c r="C660" s="2034"/>
      <c r="D660" s="2034"/>
      <c r="E660" s="2054"/>
      <c r="F660" s="2049"/>
      <c r="G660" s="477"/>
      <c r="H660" s="477"/>
      <c r="I660" s="477"/>
      <c r="J660" s="477"/>
      <c r="K660" s="477"/>
      <c r="L660" s="477"/>
      <c r="M660" s="477"/>
      <c r="N660" s="477"/>
      <c r="O660" s="477"/>
      <c r="P660" s="477"/>
      <c r="Q660" s="477"/>
      <c r="R660" s="477"/>
      <c r="S660" s="477"/>
      <c r="T660" s="477"/>
      <c r="U660" s="477"/>
      <c r="V660" s="477"/>
      <c r="W660" s="477"/>
      <c r="X660" s="477"/>
      <c r="Y660" s="477"/>
      <c r="Z660" s="477"/>
      <c r="AA660" s="477"/>
      <c r="AB660" s="477"/>
      <c r="AC660" s="477"/>
      <c r="AD660" s="477"/>
      <c r="AE660" s="477"/>
      <c r="AF660" s="477"/>
      <c r="AG660" s="477"/>
      <c r="AH660" s="477"/>
      <c r="AI660" s="477"/>
      <c r="AJ660" s="477"/>
      <c r="AK660" s="477"/>
      <c r="AL660" s="477"/>
      <c r="AM660" s="477"/>
      <c r="AN660" s="477"/>
      <c r="AO660" s="477"/>
      <c r="AP660" s="477"/>
      <c r="AQ660" s="477"/>
    </row>
    <row r="661" spans="1:43" ht="15">
      <c r="A661" s="477"/>
      <c r="B661" s="477"/>
      <c r="C661" s="477"/>
      <c r="D661" s="477"/>
      <c r="E661" s="477"/>
      <c r="F661" s="477"/>
      <c r="G661" s="477"/>
      <c r="H661" s="477"/>
      <c r="I661" s="477"/>
      <c r="J661" s="477"/>
      <c r="K661" s="477"/>
      <c r="L661" s="477"/>
      <c r="M661" s="477"/>
      <c r="N661" s="477"/>
      <c r="O661" s="477"/>
      <c r="P661" s="477"/>
      <c r="Q661" s="477"/>
      <c r="R661" s="477"/>
      <c r="S661" s="477"/>
      <c r="T661" s="477"/>
      <c r="U661" s="477"/>
      <c r="V661" s="477"/>
      <c r="W661" s="477"/>
      <c r="X661" s="477"/>
      <c r="Y661" s="477"/>
      <c r="Z661" s="477"/>
      <c r="AA661" s="477"/>
      <c r="AB661" s="477"/>
      <c r="AC661" s="477"/>
      <c r="AD661" s="477"/>
      <c r="AE661" s="477"/>
      <c r="AF661" s="477"/>
      <c r="AG661" s="477"/>
      <c r="AH661" s="477"/>
      <c r="AI661" s="477"/>
      <c r="AJ661" s="477"/>
      <c r="AK661" s="477"/>
      <c r="AL661" s="477"/>
      <c r="AM661" s="477"/>
      <c r="AN661" s="477"/>
      <c r="AO661" s="477"/>
      <c r="AP661" s="477"/>
      <c r="AQ661" s="477"/>
    </row>
    <row r="662" spans="1:43" ht="15">
      <c r="A662" s="477"/>
      <c r="B662" s="321" t="s">
        <v>40</v>
      </c>
      <c r="C662" s="477"/>
      <c r="D662" s="477"/>
      <c r="E662" s="477"/>
      <c r="F662" s="477"/>
      <c r="G662" s="477"/>
      <c r="H662" s="477"/>
      <c r="I662" s="477"/>
      <c r="J662" s="477"/>
      <c r="K662" s="477"/>
      <c r="L662" s="477"/>
      <c r="M662" s="477"/>
      <c r="N662" s="477"/>
      <c r="O662" s="477"/>
      <c r="P662" s="477"/>
      <c r="Q662" s="477"/>
      <c r="R662" s="477"/>
      <c r="S662" s="477"/>
      <c r="T662" s="477"/>
      <c r="U662" s="477"/>
      <c r="V662" s="477"/>
      <c r="W662" s="477"/>
      <c r="X662" s="477"/>
      <c r="Y662" s="477"/>
      <c r="Z662" s="477"/>
      <c r="AA662" s="477"/>
      <c r="AB662" s="477"/>
      <c r="AC662" s="477"/>
      <c r="AD662" s="477"/>
      <c r="AE662" s="477"/>
      <c r="AF662" s="477"/>
      <c r="AG662" s="477"/>
      <c r="AH662" s="477"/>
      <c r="AI662" s="477"/>
      <c r="AJ662" s="477"/>
      <c r="AK662" s="477"/>
      <c r="AL662" s="477"/>
      <c r="AM662" s="477"/>
      <c r="AN662" s="477"/>
      <c r="AO662" s="477"/>
      <c r="AP662" s="477"/>
      <c r="AQ662" s="477"/>
    </row>
    <row r="663" spans="1:43" ht="15.75" thickBot="1">
      <c r="A663" s="477"/>
      <c r="B663" s="477"/>
      <c r="C663" s="477"/>
      <c r="D663" s="477"/>
      <c r="E663" s="477"/>
      <c r="F663" s="477"/>
      <c r="G663" s="477"/>
      <c r="H663" s="477"/>
      <c r="I663" s="477"/>
      <c r="J663" s="477"/>
      <c r="K663" s="477"/>
      <c r="L663" s="477"/>
      <c r="M663" s="477"/>
      <c r="N663" s="477"/>
      <c r="O663" s="477"/>
      <c r="P663" s="477"/>
      <c r="Q663" s="477"/>
      <c r="R663" s="477"/>
      <c r="S663" s="477"/>
      <c r="T663" s="477"/>
      <c r="U663" s="477"/>
      <c r="V663" s="477"/>
      <c r="W663" s="477"/>
      <c r="X663" s="477"/>
      <c r="Y663" s="477"/>
      <c r="Z663" s="477"/>
      <c r="AA663" s="477"/>
      <c r="AB663" s="477"/>
      <c r="AC663" s="477"/>
      <c r="AD663" s="477"/>
      <c r="AE663" s="477"/>
      <c r="AF663" s="477"/>
      <c r="AG663" s="477"/>
      <c r="AH663" s="477"/>
      <c r="AI663" s="477"/>
      <c r="AJ663" s="477"/>
      <c r="AK663" s="477"/>
      <c r="AL663" s="477"/>
      <c r="AM663" s="477"/>
      <c r="AN663" s="477"/>
      <c r="AO663" s="477"/>
      <c r="AP663" s="477"/>
      <c r="AQ663" s="477"/>
    </row>
    <row r="664" spans="1:43" ht="15">
      <c r="B664" s="2042" t="s">
        <v>564</v>
      </c>
      <c r="C664" s="2050" t="s">
        <v>718</v>
      </c>
      <c r="D664" s="1007"/>
      <c r="F664" s="2042" t="s">
        <v>564</v>
      </c>
      <c r="G664" s="2050" t="s">
        <v>719</v>
      </c>
      <c r="H664" s="1007"/>
      <c r="J664" s="2042" t="s">
        <v>564</v>
      </c>
      <c r="K664" s="2050" t="s">
        <v>720</v>
      </c>
      <c r="L664" s="1007"/>
      <c r="M664" s="474"/>
      <c r="N664" s="2042" t="s">
        <v>564</v>
      </c>
      <c r="O664" s="2050" t="s">
        <v>721</v>
      </c>
      <c r="P664" s="1007"/>
      <c r="R664" s="2042" t="s">
        <v>564</v>
      </c>
      <c r="S664" s="2050" t="s">
        <v>722</v>
      </c>
      <c r="T664" s="1007"/>
      <c r="V664" s="2042" t="s">
        <v>564</v>
      </c>
      <c r="W664" s="2050" t="s">
        <v>723</v>
      </c>
      <c r="X664" s="1007"/>
      <c r="Z664" s="2042" t="s">
        <v>564</v>
      </c>
      <c r="AA664" s="2050" t="s">
        <v>724</v>
      </c>
      <c r="AB664" s="1007"/>
      <c r="AC664" s="474"/>
      <c r="AD664" s="2042" t="s">
        <v>564</v>
      </c>
      <c r="AE664" s="2050" t="s">
        <v>725</v>
      </c>
      <c r="AF664" s="1007"/>
      <c r="AH664" s="2042" t="s">
        <v>564</v>
      </c>
      <c r="AI664" s="2050" t="s">
        <v>726</v>
      </c>
      <c r="AJ664" s="1007"/>
      <c r="AL664" s="2042" t="s">
        <v>564</v>
      </c>
      <c r="AM664" s="2050" t="s">
        <v>727</v>
      </c>
      <c r="AN664" s="1007"/>
      <c r="AP664" s="477"/>
      <c r="AQ664" s="477"/>
    </row>
    <row r="665" spans="1:43" ht="15">
      <c r="B665" s="2043" t="s">
        <v>45</v>
      </c>
      <c r="C665" s="2051"/>
      <c r="D665" s="2005"/>
      <c r="F665" s="2043" t="s">
        <v>45</v>
      </c>
      <c r="G665" s="2051"/>
      <c r="H665" s="2005"/>
      <c r="J665" s="2043" t="s">
        <v>45</v>
      </c>
      <c r="K665" s="2051"/>
      <c r="L665" s="2005"/>
      <c r="M665" s="474"/>
      <c r="N665" s="2043" t="s">
        <v>45</v>
      </c>
      <c r="O665" s="2051"/>
      <c r="P665" s="2005"/>
      <c r="R665" s="2043" t="s">
        <v>45</v>
      </c>
      <c r="S665" s="2051"/>
      <c r="T665" s="2005"/>
      <c r="V665" s="2043" t="s">
        <v>45</v>
      </c>
      <c r="W665" s="2051"/>
      <c r="X665" s="2005"/>
      <c r="Z665" s="2043" t="s">
        <v>45</v>
      </c>
      <c r="AA665" s="2051"/>
      <c r="AB665" s="2005"/>
      <c r="AC665" s="474"/>
      <c r="AD665" s="2043" t="s">
        <v>45</v>
      </c>
      <c r="AE665" s="2051"/>
      <c r="AF665" s="2005"/>
      <c r="AH665" s="2043" t="s">
        <v>45</v>
      </c>
      <c r="AI665" s="2051"/>
      <c r="AJ665" s="2005"/>
      <c r="AL665" s="2043" t="s">
        <v>45</v>
      </c>
      <c r="AM665" s="2051"/>
      <c r="AN665" s="2005"/>
      <c r="AP665" s="477"/>
      <c r="AQ665" s="477"/>
    </row>
    <row r="666" spans="1:43" ht="15">
      <c r="B666" s="2043" t="s">
        <v>568</v>
      </c>
      <c r="C666" s="2052"/>
      <c r="D666" s="2007"/>
      <c r="F666" s="2043" t="s">
        <v>568</v>
      </c>
      <c r="G666" s="2052"/>
      <c r="H666" s="2007"/>
      <c r="J666" s="2043" t="s">
        <v>568</v>
      </c>
      <c r="K666" s="2052"/>
      <c r="L666" s="2007"/>
      <c r="M666" s="474"/>
      <c r="N666" s="2043" t="s">
        <v>568</v>
      </c>
      <c r="O666" s="2052"/>
      <c r="P666" s="2007"/>
      <c r="R666" s="2043" t="s">
        <v>568</v>
      </c>
      <c r="S666" s="2052"/>
      <c r="T666" s="2007"/>
      <c r="V666" s="2043" t="s">
        <v>568</v>
      </c>
      <c r="W666" s="2052"/>
      <c r="X666" s="2007"/>
      <c r="Z666" s="2043" t="s">
        <v>568</v>
      </c>
      <c r="AA666" s="2052"/>
      <c r="AB666" s="2007"/>
      <c r="AC666" s="474"/>
      <c r="AD666" s="2043" t="s">
        <v>568</v>
      </c>
      <c r="AE666" s="2052"/>
      <c r="AF666" s="2007"/>
      <c r="AH666" s="2043" t="s">
        <v>568</v>
      </c>
      <c r="AI666" s="2052"/>
      <c r="AJ666" s="2007"/>
      <c r="AL666" s="2043" t="s">
        <v>568</v>
      </c>
      <c r="AM666" s="2052"/>
      <c r="AN666" s="2007"/>
      <c r="AP666" s="477"/>
      <c r="AQ666" s="477"/>
    </row>
    <row r="667" spans="1:43" ht="15.75" thickBot="1">
      <c r="B667" s="2044" t="s">
        <v>569</v>
      </c>
      <c r="C667" s="2053"/>
      <c r="D667" s="2009"/>
      <c r="F667" s="2044" t="s">
        <v>569</v>
      </c>
      <c r="G667" s="2053"/>
      <c r="H667" s="2009"/>
      <c r="J667" s="2044" t="s">
        <v>569</v>
      </c>
      <c r="K667" s="2053"/>
      <c r="L667" s="2009"/>
      <c r="M667" s="474"/>
      <c r="N667" s="2044" t="s">
        <v>569</v>
      </c>
      <c r="O667" s="2053"/>
      <c r="P667" s="2009"/>
      <c r="R667" s="2044" t="s">
        <v>569</v>
      </c>
      <c r="S667" s="2053"/>
      <c r="T667" s="2009"/>
      <c r="V667" s="2044" t="s">
        <v>569</v>
      </c>
      <c r="W667" s="2053"/>
      <c r="X667" s="2009"/>
      <c r="Z667" s="2044" t="s">
        <v>569</v>
      </c>
      <c r="AA667" s="2053"/>
      <c r="AB667" s="2009"/>
      <c r="AC667" s="474"/>
      <c r="AD667" s="2044" t="s">
        <v>569</v>
      </c>
      <c r="AE667" s="2053"/>
      <c r="AF667" s="2009"/>
      <c r="AH667" s="2044" t="s">
        <v>569</v>
      </c>
      <c r="AI667" s="2053"/>
      <c r="AJ667" s="2009"/>
      <c r="AL667" s="2044" t="s">
        <v>569</v>
      </c>
      <c r="AM667" s="2053"/>
      <c r="AN667" s="2009"/>
      <c r="AP667" s="477"/>
      <c r="AQ667" s="477"/>
    </row>
    <row r="668" spans="1:43" ht="15.75" thickBot="1">
      <c r="B668" s="475"/>
      <c r="C668" s="476"/>
      <c r="D668" s="476"/>
      <c r="F668" s="475"/>
      <c r="G668" s="476"/>
      <c r="H668" s="476"/>
      <c r="J668" s="475"/>
      <c r="K668" s="476"/>
      <c r="L668" s="476"/>
      <c r="M668" s="474"/>
      <c r="N668" s="475"/>
      <c r="O668" s="476"/>
      <c r="P668" s="476"/>
      <c r="R668" s="475"/>
      <c r="S668" s="476"/>
      <c r="T668" s="476"/>
      <c r="V668" s="475"/>
      <c r="W668" s="476"/>
      <c r="X668" s="476"/>
      <c r="Z668" s="475"/>
      <c r="AA668" s="476"/>
      <c r="AB668" s="476"/>
      <c r="AC668" s="474"/>
      <c r="AD668" s="475"/>
      <c r="AE668" s="476"/>
      <c r="AF668" s="476"/>
      <c r="AH668" s="475"/>
      <c r="AI668" s="476"/>
      <c r="AJ668" s="476"/>
      <c r="AL668" s="475"/>
      <c r="AM668" s="476"/>
      <c r="AN668" s="476"/>
      <c r="AP668" s="477"/>
      <c r="AQ668" s="477"/>
    </row>
    <row r="669" spans="1:43" s="902" customFormat="1" ht="75" customHeight="1" thickBot="1">
      <c r="A669" s="2035"/>
      <c r="B669" s="2039" t="s">
        <v>562</v>
      </c>
      <c r="C669" s="2040" t="s">
        <v>563</v>
      </c>
      <c r="D669" s="2041" t="s">
        <v>620</v>
      </c>
      <c r="F669" s="2039" t="s">
        <v>562</v>
      </c>
      <c r="G669" s="2040" t="s">
        <v>563</v>
      </c>
      <c r="H669" s="2041" t="s">
        <v>620</v>
      </c>
      <c r="J669" s="2039" t="s">
        <v>562</v>
      </c>
      <c r="K669" s="2040" t="s">
        <v>563</v>
      </c>
      <c r="L669" s="2041" t="s">
        <v>620</v>
      </c>
      <c r="N669" s="2039" t="s">
        <v>562</v>
      </c>
      <c r="O669" s="2040" t="s">
        <v>563</v>
      </c>
      <c r="P669" s="2041" t="s">
        <v>620</v>
      </c>
      <c r="R669" s="2039" t="s">
        <v>562</v>
      </c>
      <c r="S669" s="2040" t="s">
        <v>563</v>
      </c>
      <c r="T669" s="2041" t="s">
        <v>620</v>
      </c>
      <c r="V669" s="2039" t="s">
        <v>562</v>
      </c>
      <c r="W669" s="2040" t="s">
        <v>563</v>
      </c>
      <c r="X669" s="2041" t="s">
        <v>620</v>
      </c>
      <c r="Z669" s="2039" t="s">
        <v>562</v>
      </c>
      <c r="AA669" s="2040" t="s">
        <v>563</v>
      </c>
      <c r="AB669" s="2041" t="s">
        <v>620</v>
      </c>
      <c r="AD669" s="2039" t="s">
        <v>562</v>
      </c>
      <c r="AE669" s="2040" t="s">
        <v>563</v>
      </c>
      <c r="AF669" s="2041" t="s">
        <v>620</v>
      </c>
      <c r="AH669" s="2039" t="s">
        <v>562</v>
      </c>
      <c r="AI669" s="2040" t="s">
        <v>563</v>
      </c>
      <c r="AJ669" s="2041" t="s">
        <v>620</v>
      </c>
      <c r="AL669" s="2039" t="s">
        <v>562</v>
      </c>
      <c r="AM669" s="2040" t="s">
        <v>563</v>
      </c>
      <c r="AN669" s="2041" t="s">
        <v>620</v>
      </c>
      <c r="AP669" s="2036"/>
      <c r="AQ669" s="2036"/>
    </row>
    <row r="670" spans="1:43" ht="15">
      <c r="A670" s="477"/>
      <c r="B670" s="2019"/>
      <c r="C670" s="2021"/>
      <c r="D670" s="2018"/>
      <c r="E670" s="477"/>
      <c r="F670" s="2019"/>
      <c r="G670" s="2021"/>
      <c r="H670" s="2018"/>
      <c r="I670" s="477"/>
      <c r="J670" s="2019"/>
      <c r="K670" s="2021"/>
      <c r="L670" s="2018"/>
      <c r="M670" s="477"/>
      <c r="N670" s="2019"/>
      <c r="O670" s="2021"/>
      <c r="P670" s="2018"/>
      <c r="Q670" s="477"/>
      <c r="R670" s="2019"/>
      <c r="S670" s="2021"/>
      <c r="T670" s="2018"/>
      <c r="U670" s="477"/>
      <c r="V670" s="2019"/>
      <c r="W670" s="2021"/>
      <c r="X670" s="2018"/>
      <c r="Y670" s="477"/>
      <c r="Z670" s="2019"/>
      <c r="AA670" s="2021"/>
      <c r="AB670" s="2018"/>
      <c r="AC670" s="477"/>
      <c r="AD670" s="2013"/>
      <c r="AE670" s="2015"/>
      <c r="AF670" s="2012"/>
      <c r="AG670" s="477"/>
      <c r="AH670" s="2013"/>
      <c r="AI670" s="2015"/>
      <c r="AJ670" s="2012"/>
      <c r="AK670" s="477"/>
      <c r="AL670" s="2013"/>
      <c r="AM670" s="2015"/>
      <c r="AN670" s="2012"/>
      <c r="AO670" s="477"/>
      <c r="AP670" s="477"/>
      <c r="AQ670" s="477"/>
    </row>
    <row r="671" spans="1:43" ht="15">
      <c r="A671" s="477"/>
      <c r="B671" s="2019"/>
      <c r="C671" s="2021"/>
      <c r="D671" s="2018"/>
      <c r="E671" s="477"/>
      <c r="F671" s="2019"/>
      <c r="G671" s="2021"/>
      <c r="H671" s="2018"/>
      <c r="I671" s="477"/>
      <c r="J671" s="2019"/>
      <c r="K671" s="2021"/>
      <c r="L671" s="2018"/>
      <c r="M671" s="477"/>
      <c r="N671" s="2019"/>
      <c r="O671" s="2021"/>
      <c r="P671" s="2018"/>
      <c r="Q671" s="477"/>
      <c r="R671" s="2019"/>
      <c r="S671" s="2021"/>
      <c r="T671" s="2018"/>
      <c r="U671" s="477"/>
      <c r="V671" s="2019"/>
      <c r="W671" s="2021"/>
      <c r="X671" s="2018"/>
      <c r="Y671" s="477"/>
      <c r="Z671" s="2019"/>
      <c r="AA671" s="2021"/>
      <c r="AB671" s="2018"/>
      <c r="AC671" s="477"/>
      <c r="AD671" s="2019"/>
      <c r="AE671" s="2021"/>
      <c r="AF671" s="2018"/>
      <c r="AG671" s="477"/>
      <c r="AH671" s="2019"/>
      <c r="AI671" s="2021"/>
      <c r="AJ671" s="2018"/>
      <c r="AK671" s="477"/>
      <c r="AL671" s="2019"/>
      <c r="AM671" s="2021"/>
      <c r="AN671" s="2018"/>
      <c r="AO671" s="477"/>
      <c r="AP671" s="477"/>
      <c r="AQ671" s="477"/>
    </row>
    <row r="672" spans="1:43" ht="15">
      <c r="A672" s="477"/>
      <c r="B672" s="2019"/>
      <c r="C672" s="2021"/>
      <c r="D672" s="2018"/>
      <c r="E672" s="477"/>
      <c r="F672" s="2019"/>
      <c r="G672" s="2021"/>
      <c r="H672" s="2018"/>
      <c r="I672" s="477"/>
      <c r="J672" s="2019"/>
      <c r="K672" s="2021"/>
      <c r="L672" s="2018"/>
      <c r="M672" s="477"/>
      <c r="N672" s="2019"/>
      <c r="O672" s="2021"/>
      <c r="P672" s="2018"/>
      <c r="Q672" s="477"/>
      <c r="R672" s="2019"/>
      <c r="S672" s="2021"/>
      <c r="T672" s="2018"/>
      <c r="U672" s="477"/>
      <c r="V672" s="2019"/>
      <c r="W672" s="2021"/>
      <c r="X672" s="2018"/>
      <c r="Y672" s="477"/>
      <c r="Z672" s="2019"/>
      <c r="AA672" s="2021"/>
      <c r="AB672" s="2018"/>
      <c r="AC672" s="477"/>
      <c r="AD672" s="2019"/>
      <c r="AE672" s="2021"/>
      <c r="AF672" s="2018"/>
      <c r="AG672" s="477"/>
      <c r="AH672" s="2019"/>
      <c r="AI672" s="2021"/>
      <c r="AJ672" s="2018"/>
      <c r="AK672" s="477"/>
      <c r="AL672" s="2019"/>
      <c r="AM672" s="2021"/>
      <c r="AN672" s="2018"/>
      <c r="AO672" s="477"/>
      <c r="AP672" s="477"/>
      <c r="AQ672" s="477"/>
    </row>
    <row r="673" spans="1:43" ht="15">
      <c r="A673" s="477"/>
      <c r="B673" s="2019"/>
      <c r="C673" s="2021"/>
      <c r="D673" s="2018"/>
      <c r="E673" s="477"/>
      <c r="F673" s="2019"/>
      <c r="G673" s="2021"/>
      <c r="H673" s="2018"/>
      <c r="I673" s="477"/>
      <c r="J673" s="2019"/>
      <c r="K673" s="2021"/>
      <c r="L673" s="2018"/>
      <c r="M673" s="477"/>
      <c r="N673" s="2019"/>
      <c r="O673" s="2021"/>
      <c r="P673" s="2018"/>
      <c r="Q673" s="477"/>
      <c r="R673" s="2019"/>
      <c r="S673" s="2021"/>
      <c r="T673" s="2018"/>
      <c r="U673" s="477"/>
      <c r="V673" s="2019"/>
      <c r="W673" s="2021"/>
      <c r="X673" s="2018"/>
      <c r="Y673" s="477"/>
      <c r="Z673" s="2019"/>
      <c r="AA673" s="2021"/>
      <c r="AB673" s="2018"/>
      <c r="AC673" s="477"/>
      <c r="AD673" s="2019"/>
      <c r="AE673" s="2021"/>
      <c r="AF673" s="2018"/>
      <c r="AG673" s="477"/>
      <c r="AH673" s="2019"/>
      <c r="AI673" s="2021"/>
      <c r="AJ673" s="2018"/>
      <c r="AK673" s="477"/>
      <c r="AL673" s="2019"/>
      <c r="AM673" s="2021"/>
      <c r="AN673" s="2018"/>
      <c r="AO673" s="477"/>
      <c r="AP673" s="477"/>
      <c r="AQ673" s="477"/>
    </row>
    <row r="674" spans="1:43" ht="15">
      <c r="A674" s="477"/>
      <c r="B674" s="2019"/>
      <c r="C674" s="2021"/>
      <c r="D674" s="2018"/>
      <c r="E674" s="477"/>
      <c r="F674" s="2019"/>
      <c r="G674" s="2021"/>
      <c r="H674" s="2018"/>
      <c r="I674" s="477"/>
      <c r="J674" s="2019"/>
      <c r="K674" s="2021"/>
      <c r="L674" s="2018"/>
      <c r="M674" s="477"/>
      <c r="N674" s="2019"/>
      <c r="O674" s="2021"/>
      <c r="P674" s="2018"/>
      <c r="Q674" s="477"/>
      <c r="R674" s="2019"/>
      <c r="S674" s="2021"/>
      <c r="T674" s="2018"/>
      <c r="U674" s="477"/>
      <c r="V674" s="2019"/>
      <c r="W674" s="2021"/>
      <c r="X674" s="2018"/>
      <c r="Y674" s="477"/>
      <c r="Z674" s="2019"/>
      <c r="AA674" s="2021"/>
      <c r="AB674" s="2018"/>
      <c r="AC674" s="477"/>
      <c r="AD674" s="2019"/>
      <c r="AE674" s="2021"/>
      <c r="AF674" s="2018"/>
      <c r="AG674" s="477"/>
      <c r="AH674" s="2019"/>
      <c r="AI674" s="2021"/>
      <c r="AJ674" s="2018"/>
      <c r="AK674" s="477"/>
      <c r="AL674" s="2019"/>
      <c r="AM674" s="2021"/>
      <c r="AN674" s="2018"/>
      <c r="AO674" s="477"/>
      <c r="AP674" s="477"/>
      <c r="AQ674" s="477"/>
    </row>
    <row r="675" spans="1:43" ht="15">
      <c r="A675" s="477"/>
      <c r="B675" s="2019"/>
      <c r="C675" s="2021"/>
      <c r="D675" s="2018"/>
      <c r="E675" s="477"/>
      <c r="F675" s="2019"/>
      <c r="G675" s="2021"/>
      <c r="H675" s="2018"/>
      <c r="I675" s="477"/>
      <c r="J675" s="2019"/>
      <c r="K675" s="2021"/>
      <c r="L675" s="2018"/>
      <c r="M675" s="477"/>
      <c r="N675" s="2019"/>
      <c r="O675" s="2021"/>
      <c r="P675" s="2018"/>
      <c r="Q675" s="477"/>
      <c r="R675" s="2019"/>
      <c r="S675" s="2021"/>
      <c r="T675" s="2018"/>
      <c r="U675" s="477"/>
      <c r="V675" s="2019"/>
      <c r="W675" s="2021"/>
      <c r="X675" s="2018"/>
      <c r="Y675" s="477"/>
      <c r="Z675" s="2019"/>
      <c r="AA675" s="2021"/>
      <c r="AB675" s="2018"/>
      <c r="AC675" s="477"/>
      <c r="AD675" s="2019"/>
      <c r="AE675" s="2021"/>
      <c r="AF675" s="2018"/>
      <c r="AG675" s="477"/>
      <c r="AH675" s="2019"/>
      <c r="AI675" s="2021"/>
      <c r="AJ675" s="2018"/>
      <c r="AK675" s="477"/>
      <c r="AL675" s="2019"/>
      <c r="AM675" s="2021"/>
      <c r="AN675" s="2018"/>
      <c r="AO675" s="477"/>
      <c r="AP675" s="477"/>
      <c r="AQ675" s="477"/>
    </row>
    <row r="676" spans="1:43" ht="15">
      <c r="A676" s="477"/>
      <c r="B676" s="2019"/>
      <c r="C676" s="2021"/>
      <c r="D676" s="2018"/>
      <c r="E676" s="477"/>
      <c r="F676" s="2019"/>
      <c r="G676" s="2021"/>
      <c r="H676" s="2018"/>
      <c r="I676" s="477"/>
      <c r="J676" s="2019"/>
      <c r="K676" s="2021"/>
      <c r="L676" s="2018"/>
      <c r="M676" s="477"/>
      <c r="N676" s="2019"/>
      <c r="O676" s="2021"/>
      <c r="P676" s="2018"/>
      <c r="Q676" s="477"/>
      <c r="R676" s="2019"/>
      <c r="S676" s="2021"/>
      <c r="T676" s="2018"/>
      <c r="U676" s="477"/>
      <c r="V676" s="2019"/>
      <c r="W676" s="2021"/>
      <c r="X676" s="2018"/>
      <c r="Y676" s="477"/>
      <c r="Z676" s="2019"/>
      <c r="AA676" s="2021"/>
      <c r="AB676" s="2018"/>
      <c r="AC676" s="477"/>
      <c r="AD676" s="2019"/>
      <c r="AE676" s="2021"/>
      <c r="AF676" s="2018"/>
      <c r="AG676" s="477"/>
      <c r="AH676" s="2019"/>
      <c r="AI676" s="2021"/>
      <c r="AJ676" s="2018"/>
      <c r="AK676" s="477"/>
      <c r="AL676" s="2019"/>
      <c r="AM676" s="2021"/>
      <c r="AN676" s="2018"/>
      <c r="AO676" s="477"/>
      <c r="AP676" s="477"/>
      <c r="AQ676" s="477"/>
    </row>
    <row r="677" spans="1:43" ht="15">
      <c r="A677" s="477"/>
      <c r="B677" s="2019"/>
      <c r="C677" s="2021"/>
      <c r="D677" s="2018"/>
      <c r="E677" s="477"/>
      <c r="F677" s="2019"/>
      <c r="G677" s="2021"/>
      <c r="H677" s="2018"/>
      <c r="I677" s="477"/>
      <c r="J677" s="2019"/>
      <c r="K677" s="2021"/>
      <c r="L677" s="2018"/>
      <c r="M677" s="477"/>
      <c r="N677" s="2019"/>
      <c r="O677" s="2021"/>
      <c r="P677" s="2018"/>
      <c r="Q677" s="477"/>
      <c r="R677" s="2019"/>
      <c r="S677" s="2021"/>
      <c r="T677" s="2018"/>
      <c r="U677" s="477"/>
      <c r="V677" s="2019"/>
      <c r="W677" s="2021"/>
      <c r="X677" s="2018"/>
      <c r="Y677" s="477"/>
      <c r="Z677" s="2019"/>
      <c r="AA677" s="2021"/>
      <c r="AB677" s="2018"/>
      <c r="AC677" s="477"/>
      <c r="AD677" s="2019"/>
      <c r="AE677" s="2021"/>
      <c r="AF677" s="2018"/>
      <c r="AG677" s="477"/>
      <c r="AH677" s="2019"/>
      <c r="AI677" s="2021"/>
      <c r="AJ677" s="2018"/>
      <c r="AK677" s="477"/>
      <c r="AL677" s="2019"/>
      <c r="AM677" s="2021"/>
      <c r="AN677" s="2018"/>
      <c r="AO677" s="477"/>
      <c r="AP677" s="477"/>
      <c r="AQ677" s="477"/>
    </row>
    <row r="678" spans="1:43" ht="15">
      <c r="A678" s="477"/>
      <c r="B678" s="2019"/>
      <c r="C678" s="2021"/>
      <c r="D678" s="2018"/>
      <c r="E678" s="477"/>
      <c r="F678" s="2019"/>
      <c r="G678" s="2021"/>
      <c r="H678" s="2018"/>
      <c r="I678" s="477"/>
      <c r="J678" s="2019"/>
      <c r="K678" s="2021"/>
      <c r="L678" s="2018"/>
      <c r="M678" s="477"/>
      <c r="N678" s="2019"/>
      <c r="O678" s="2021"/>
      <c r="P678" s="2018"/>
      <c r="Q678" s="477"/>
      <c r="R678" s="2019"/>
      <c r="S678" s="2021"/>
      <c r="T678" s="2018"/>
      <c r="U678" s="477"/>
      <c r="V678" s="2019"/>
      <c r="W678" s="2021"/>
      <c r="X678" s="2018"/>
      <c r="Y678" s="477"/>
      <c r="Z678" s="2019"/>
      <c r="AA678" s="2021"/>
      <c r="AB678" s="2018"/>
      <c r="AC678" s="477"/>
      <c r="AD678" s="2019"/>
      <c r="AE678" s="2021"/>
      <c r="AF678" s="2018"/>
      <c r="AG678" s="477"/>
      <c r="AH678" s="2019"/>
      <c r="AI678" s="2021"/>
      <c r="AJ678" s="2018"/>
      <c r="AK678" s="477"/>
      <c r="AL678" s="2019"/>
      <c r="AM678" s="2021"/>
      <c r="AN678" s="2018"/>
      <c r="AO678" s="477"/>
      <c r="AP678" s="477"/>
      <c r="AQ678" s="477"/>
    </row>
    <row r="679" spans="1:43" ht="15">
      <c r="A679" s="477"/>
      <c r="B679" s="2019"/>
      <c r="C679" s="2021"/>
      <c r="D679" s="2018"/>
      <c r="E679" s="477"/>
      <c r="F679" s="2019"/>
      <c r="G679" s="2021"/>
      <c r="H679" s="2018"/>
      <c r="I679" s="477"/>
      <c r="J679" s="2019"/>
      <c r="K679" s="2021"/>
      <c r="L679" s="2018"/>
      <c r="M679" s="477"/>
      <c r="N679" s="2019"/>
      <c r="O679" s="2021"/>
      <c r="P679" s="2018"/>
      <c r="Q679" s="477"/>
      <c r="R679" s="2019"/>
      <c r="S679" s="2021"/>
      <c r="T679" s="2018"/>
      <c r="U679" s="477"/>
      <c r="V679" s="2019"/>
      <c r="W679" s="2021"/>
      <c r="X679" s="2018"/>
      <c r="Y679" s="477"/>
      <c r="Z679" s="2019"/>
      <c r="AA679" s="2021"/>
      <c r="AB679" s="2018"/>
      <c r="AC679" s="477"/>
      <c r="AD679" s="2019"/>
      <c r="AE679" s="2021"/>
      <c r="AF679" s="2018"/>
      <c r="AG679" s="477"/>
      <c r="AH679" s="2019"/>
      <c r="AI679" s="2021"/>
      <c r="AJ679" s="2018"/>
      <c r="AK679" s="477"/>
      <c r="AL679" s="2019"/>
      <c r="AM679" s="2021"/>
      <c r="AN679" s="2018"/>
      <c r="AO679" s="477"/>
      <c r="AP679" s="477"/>
      <c r="AQ679" s="477"/>
    </row>
    <row r="680" spans="1:43" ht="15">
      <c r="A680" s="477"/>
      <c r="B680" s="2019"/>
      <c r="C680" s="2021"/>
      <c r="D680" s="2018"/>
      <c r="E680" s="477"/>
      <c r="F680" s="2019"/>
      <c r="G680" s="2021"/>
      <c r="H680" s="2018"/>
      <c r="I680" s="477"/>
      <c r="J680" s="2019"/>
      <c r="K680" s="2021"/>
      <c r="L680" s="2018"/>
      <c r="M680" s="477"/>
      <c r="N680" s="2019"/>
      <c r="O680" s="2021"/>
      <c r="P680" s="2018"/>
      <c r="Q680" s="477"/>
      <c r="R680" s="2019"/>
      <c r="S680" s="2021"/>
      <c r="T680" s="2018"/>
      <c r="U680" s="477"/>
      <c r="V680" s="2019"/>
      <c r="W680" s="2021"/>
      <c r="X680" s="2018"/>
      <c r="Y680" s="477"/>
      <c r="Z680" s="2019"/>
      <c r="AA680" s="2021"/>
      <c r="AB680" s="2018"/>
      <c r="AC680" s="477"/>
      <c r="AD680" s="2019"/>
      <c r="AE680" s="2021"/>
      <c r="AF680" s="2018"/>
      <c r="AG680" s="477"/>
      <c r="AH680" s="2019"/>
      <c r="AI680" s="2021"/>
      <c r="AJ680" s="2018"/>
      <c r="AK680" s="477"/>
      <c r="AL680" s="2019"/>
      <c r="AM680" s="2021"/>
      <c r="AN680" s="2018"/>
      <c r="AO680" s="477"/>
      <c r="AP680" s="477"/>
      <c r="AQ680" s="477"/>
    </row>
    <row r="681" spans="1:43" ht="15">
      <c r="A681" s="477"/>
      <c r="B681" s="2019"/>
      <c r="C681" s="2021"/>
      <c r="D681" s="2018"/>
      <c r="E681" s="477"/>
      <c r="F681" s="2019"/>
      <c r="G681" s="2021"/>
      <c r="H681" s="2018"/>
      <c r="I681" s="477"/>
      <c r="J681" s="2019"/>
      <c r="K681" s="2021"/>
      <c r="L681" s="2018"/>
      <c r="M681" s="477"/>
      <c r="N681" s="2019"/>
      <c r="O681" s="2021"/>
      <c r="P681" s="2018"/>
      <c r="Q681" s="477"/>
      <c r="R681" s="2019"/>
      <c r="S681" s="2021"/>
      <c r="T681" s="2018"/>
      <c r="U681" s="477"/>
      <c r="V681" s="2019"/>
      <c r="W681" s="2021"/>
      <c r="X681" s="2018"/>
      <c r="Y681" s="477"/>
      <c r="Z681" s="2019"/>
      <c r="AA681" s="2021"/>
      <c r="AB681" s="2018"/>
      <c r="AC681" s="477"/>
      <c r="AD681" s="2019"/>
      <c r="AE681" s="2021"/>
      <c r="AF681" s="2018"/>
      <c r="AG681" s="477"/>
      <c r="AH681" s="2019"/>
      <c r="AI681" s="2021"/>
      <c r="AJ681" s="2018"/>
      <c r="AK681" s="477"/>
      <c r="AL681" s="2019"/>
      <c r="AM681" s="2021"/>
      <c r="AN681" s="2018"/>
      <c r="AO681" s="477"/>
      <c r="AP681" s="477"/>
      <c r="AQ681" s="477"/>
    </row>
    <row r="682" spans="1:43" ht="15">
      <c r="A682" s="477"/>
      <c r="B682" s="2019"/>
      <c r="C682" s="2021"/>
      <c r="D682" s="2018"/>
      <c r="E682" s="477"/>
      <c r="F682" s="2019"/>
      <c r="G682" s="2021"/>
      <c r="H682" s="2018"/>
      <c r="I682" s="477"/>
      <c r="J682" s="2019"/>
      <c r="K682" s="2021"/>
      <c r="L682" s="2018"/>
      <c r="M682" s="477"/>
      <c r="N682" s="2019"/>
      <c r="O682" s="2021"/>
      <c r="P682" s="2018"/>
      <c r="Q682" s="477"/>
      <c r="R682" s="2019"/>
      <c r="S682" s="2021"/>
      <c r="T682" s="2018"/>
      <c r="U682" s="477"/>
      <c r="V682" s="2019"/>
      <c r="W682" s="2021"/>
      <c r="X682" s="2018"/>
      <c r="Y682" s="477"/>
      <c r="Z682" s="2019"/>
      <c r="AA682" s="2021"/>
      <c r="AB682" s="2018"/>
      <c r="AC682" s="477"/>
      <c r="AD682" s="2019"/>
      <c r="AE682" s="2021"/>
      <c r="AF682" s="2018"/>
      <c r="AG682" s="477"/>
      <c r="AH682" s="2019"/>
      <c r="AI682" s="2021"/>
      <c r="AJ682" s="2018"/>
      <c r="AK682" s="477"/>
      <c r="AL682" s="2019"/>
      <c r="AM682" s="2021"/>
      <c r="AN682" s="2018"/>
      <c r="AO682" s="477"/>
      <c r="AP682" s="477"/>
      <c r="AQ682" s="477"/>
    </row>
    <row r="683" spans="1:43" ht="15">
      <c r="A683" s="477"/>
      <c r="B683" s="2019"/>
      <c r="C683" s="2021"/>
      <c r="D683" s="2018"/>
      <c r="E683" s="477"/>
      <c r="F683" s="2019"/>
      <c r="G683" s="2021"/>
      <c r="H683" s="2018"/>
      <c r="I683" s="477"/>
      <c r="J683" s="2019"/>
      <c r="K683" s="2021"/>
      <c r="L683" s="2018"/>
      <c r="M683" s="477"/>
      <c r="N683" s="2019"/>
      <c r="O683" s="2021"/>
      <c r="P683" s="2018"/>
      <c r="Q683" s="477"/>
      <c r="R683" s="2019"/>
      <c r="S683" s="2021"/>
      <c r="T683" s="2018"/>
      <c r="U683" s="477"/>
      <c r="V683" s="2019"/>
      <c r="W683" s="2021"/>
      <c r="X683" s="2018"/>
      <c r="Y683" s="477"/>
      <c r="Z683" s="2019"/>
      <c r="AA683" s="2021"/>
      <c r="AB683" s="2018"/>
      <c r="AC683" s="477"/>
      <c r="AD683" s="2019"/>
      <c r="AE683" s="2021"/>
      <c r="AF683" s="2018"/>
      <c r="AG683" s="477"/>
      <c r="AH683" s="2019"/>
      <c r="AI683" s="2021"/>
      <c r="AJ683" s="2018"/>
      <c r="AK683" s="477"/>
      <c r="AL683" s="2019"/>
      <c r="AM683" s="2021"/>
      <c r="AN683" s="2018"/>
      <c r="AO683" s="477"/>
      <c r="AP683" s="477"/>
      <c r="AQ683" s="477"/>
    </row>
    <row r="684" spans="1:43" ht="15">
      <c r="A684" s="477"/>
      <c r="B684" s="2019"/>
      <c r="C684" s="2021"/>
      <c r="D684" s="2018"/>
      <c r="E684" s="477"/>
      <c r="F684" s="2019"/>
      <c r="G684" s="2021"/>
      <c r="H684" s="2018"/>
      <c r="I684" s="477"/>
      <c r="J684" s="2019"/>
      <c r="K684" s="2021"/>
      <c r="L684" s="2018"/>
      <c r="M684" s="477"/>
      <c r="N684" s="2019"/>
      <c r="O684" s="2021"/>
      <c r="P684" s="2018"/>
      <c r="Q684" s="477"/>
      <c r="R684" s="2019"/>
      <c r="S684" s="2021"/>
      <c r="T684" s="2018"/>
      <c r="U684" s="477"/>
      <c r="V684" s="2019"/>
      <c r="W684" s="2021"/>
      <c r="X684" s="2018"/>
      <c r="Y684" s="477"/>
      <c r="Z684" s="2019"/>
      <c r="AA684" s="2021"/>
      <c r="AB684" s="2018"/>
      <c r="AC684" s="477"/>
      <c r="AD684" s="2019"/>
      <c r="AE684" s="2021"/>
      <c r="AF684" s="2018"/>
      <c r="AG684" s="477"/>
      <c r="AH684" s="2019"/>
      <c r="AI684" s="2021"/>
      <c r="AJ684" s="2018"/>
      <c r="AK684" s="477"/>
      <c r="AL684" s="2019"/>
      <c r="AM684" s="2021"/>
      <c r="AN684" s="2018"/>
      <c r="AO684" s="477"/>
      <c r="AP684" s="477"/>
      <c r="AQ684" s="477"/>
    </row>
    <row r="685" spans="1:43" ht="15">
      <c r="A685" s="477"/>
      <c r="B685" s="2019"/>
      <c r="C685" s="2021"/>
      <c r="D685" s="2018"/>
      <c r="E685" s="477"/>
      <c r="F685" s="2019"/>
      <c r="G685" s="2021"/>
      <c r="H685" s="2018"/>
      <c r="I685" s="477"/>
      <c r="J685" s="2019"/>
      <c r="K685" s="2021"/>
      <c r="L685" s="2018"/>
      <c r="M685" s="477"/>
      <c r="N685" s="2019"/>
      <c r="O685" s="2021"/>
      <c r="P685" s="2018"/>
      <c r="Q685" s="477"/>
      <c r="R685" s="2019"/>
      <c r="S685" s="2021"/>
      <c r="T685" s="2018"/>
      <c r="U685" s="477"/>
      <c r="V685" s="2019"/>
      <c r="W685" s="2021"/>
      <c r="X685" s="2018"/>
      <c r="Y685" s="477"/>
      <c r="Z685" s="2019"/>
      <c r="AA685" s="2021"/>
      <c r="AB685" s="2018"/>
      <c r="AC685" s="477"/>
      <c r="AD685" s="2019"/>
      <c r="AE685" s="2021"/>
      <c r="AF685" s="2018"/>
      <c r="AG685" s="477"/>
      <c r="AH685" s="2019"/>
      <c r="AI685" s="2021"/>
      <c r="AJ685" s="2018"/>
      <c r="AK685" s="477"/>
      <c r="AL685" s="2019"/>
      <c r="AM685" s="2021"/>
      <c r="AN685" s="2018"/>
      <c r="AO685" s="477"/>
      <c r="AP685" s="477"/>
      <c r="AQ685" s="477"/>
    </row>
    <row r="686" spans="1:43" ht="15">
      <c r="A686" s="477"/>
      <c r="B686" s="2019"/>
      <c r="C686" s="2021"/>
      <c r="D686" s="2018"/>
      <c r="E686" s="477"/>
      <c r="F686" s="2019"/>
      <c r="G686" s="2021"/>
      <c r="H686" s="2018"/>
      <c r="I686" s="477"/>
      <c r="J686" s="2019"/>
      <c r="K686" s="2021"/>
      <c r="L686" s="2018"/>
      <c r="M686" s="477"/>
      <c r="N686" s="2019"/>
      <c r="O686" s="2021"/>
      <c r="P686" s="2018"/>
      <c r="Q686" s="477"/>
      <c r="R686" s="2019"/>
      <c r="S686" s="2021"/>
      <c r="T686" s="2018"/>
      <c r="U686" s="477"/>
      <c r="V686" s="2019"/>
      <c r="W686" s="2021"/>
      <c r="X686" s="2018"/>
      <c r="Y686" s="477"/>
      <c r="Z686" s="2019"/>
      <c r="AA686" s="2021"/>
      <c r="AB686" s="2018"/>
      <c r="AC686" s="477"/>
      <c r="AD686" s="2019"/>
      <c r="AE686" s="2021"/>
      <c r="AF686" s="2018"/>
      <c r="AG686" s="477"/>
      <c r="AH686" s="2019"/>
      <c r="AI686" s="2021"/>
      <c r="AJ686" s="2018"/>
      <c r="AK686" s="477"/>
      <c r="AL686" s="2019"/>
      <c r="AM686" s="2021"/>
      <c r="AN686" s="2018"/>
      <c r="AO686" s="477"/>
      <c r="AP686" s="477"/>
      <c r="AQ686" s="477"/>
    </row>
    <row r="687" spans="1:43" ht="15">
      <c r="A687" s="477"/>
      <c r="B687" s="2019"/>
      <c r="C687" s="2021"/>
      <c r="D687" s="2018"/>
      <c r="E687" s="477"/>
      <c r="F687" s="2019"/>
      <c r="G687" s="2021"/>
      <c r="H687" s="2018"/>
      <c r="I687" s="477"/>
      <c r="J687" s="2019"/>
      <c r="K687" s="2021"/>
      <c r="L687" s="2018"/>
      <c r="M687" s="477"/>
      <c r="N687" s="2019"/>
      <c r="O687" s="2021"/>
      <c r="P687" s="2018"/>
      <c r="Q687" s="477"/>
      <c r="R687" s="2019"/>
      <c r="S687" s="2021"/>
      <c r="T687" s="2018"/>
      <c r="U687" s="477"/>
      <c r="V687" s="2019"/>
      <c r="W687" s="2021"/>
      <c r="X687" s="2018"/>
      <c r="Y687" s="477"/>
      <c r="Z687" s="2019"/>
      <c r="AA687" s="2021"/>
      <c r="AB687" s="2018"/>
      <c r="AC687" s="477"/>
      <c r="AD687" s="2019"/>
      <c r="AE687" s="2021"/>
      <c r="AF687" s="2018"/>
      <c r="AG687" s="477"/>
      <c r="AH687" s="2019"/>
      <c r="AI687" s="2021"/>
      <c r="AJ687" s="2018"/>
      <c r="AK687" s="477"/>
      <c r="AL687" s="2019"/>
      <c r="AM687" s="2021"/>
      <c r="AN687" s="2018"/>
      <c r="AO687" s="477"/>
      <c r="AP687" s="477"/>
      <c r="AQ687" s="477"/>
    </row>
    <row r="688" spans="1:43" ht="15">
      <c r="A688" s="477"/>
      <c r="B688" s="2019"/>
      <c r="C688" s="2021"/>
      <c r="D688" s="2018"/>
      <c r="E688" s="477"/>
      <c r="F688" s="2019"/>
      <c r="G688" s="2021"/>
      <c r="H688" s="2018"/>
      <c r="I688" s="477"/>
      <c r="J688" s="2019"/>
      <c r="K688" s="2021"/>
      <c r="L688" s="2018"/>
      <c r="M688" s="477"/>
      <c r="N688" s="2019"/>
      <c r="O688" s="2021"/>
      <c r="P688" s="2018"/>
      <c r="Q688" s="477"/>
      <c r="R688" s="2019"/>
      <c r="S688" s="2021"/>
      <c r="T688" s="2018"/>
      <c r="U688" s="477"/>
      <c r="V688" s="2019"/>
      <c r="W688" s="2021"/>
      <c r="X688" s="2018"/>
      <c r="Y688" s="477"/>
      <c r="Z688" s="2019"/>
      <c r="AA688" s="2021"/>
      <c r="AB688" s="2018"/>
      <c r="AC688" s="477"/>
      <c r="AD688" s="2019"/>
      <c r="AE688" s="2021"/>
      <c r="AF688" s="2018"/>
      <c r="AG688" s="477"/>
      <c r="AH688" s="2019"/>
      <c r="AI688" s="2021"/>
      <c r="AJ688" s="2018"/>
      <c r="AK688" s="477"/>
      <c r="AL688" s="2019"/>
      <c r="AM688" s="2021"/>
      <c r="AN688" s="2018"/>
      <c r="AO688" s="477"/>
      <c r="AP688" s="477"/>
      <c r="AQ688" s="477"/>
    </row>
    <row r="689" spans="1:43" ht="15">
      <c r="A689" s="477"/>
      <c r="B689" s="2019"/>
      <c r="C689" s="2021"/>
      <c r="D689" s="2018"/>
      <c r="E689" s="477"/>
      <c r="F689" s="2019"/>
      <c r="G689" s="2021"/>
      <c r="H689" s="2018"/>
      <c r="I689" s="477"/>
      <c r="J689" s="2019"/>
      <c r="K689" s="2021"/>
      <c r="L689" s="2018"/>
      <c r="M689" s="477"/>
      <c r="N689" s="2019"/>
      <c r="O689" s="2021"/>
      <c r="P689" s="2018"/>
      <c r="Q689" s="477"/>
      <c r="R689" s="2019"/>
      <c r="S689" s="2021"/>
      <c r="T689" s="2018"/>
      <c r="U689" s="477"/>
      <c r="V689" s="2019"/>
      <c r="W689" s="2021"/>
      <c r="X689" s="2018"/>
      <c r="Y689" s="477"/>
      <c r="Z689" s="2019"/>
      <c r="AA689" s="2021"/>
      <c r="AB689" s="2018"/>
      <c r="AC689" s="477"/>
      <c r="AD689" s="2019"/>
      <c r="AE689" s="2021"/>
      <c r="AF689" s="2018"/>
      <c r="AG689" s="477"/>
      <c r="AH689" s="2019"/>
      <c r="AI689" s="2021"/>
      <c r="AJ689" s="2018"/>
      <c r="AK689" s="477"/>
      <c r="AL689" s="2019"/>
      <c r="AM689" s="2021"/>
      <c r="AN689" s="2018"/>
      <c r="AO689" s="477"/>
      <c r="AP689" s="477"/>
      <c r="AQ689" s="477"/>
    </row>
    <row r="690" spans="1:43" ht="15">
      <c r="A690" s="477"/>
      <c r="B690" s="2019"/>
      <c r="C690" s="2021"/>
      <c r="D690" s="2018"/>
      <c r="E690" s="477"/>
      <c r="F690" s="2019"/>
      <c r="G690" s="2021"/>
      <c r="H690" s="2018"/>
      <c r="I690" s="477"/>
      <c r="J690" s="2019"/>
      <c r="K690" s="2021"/>
      <c r="L690" s="2018"/>
      <c r="M690" s="477"/>
      <c r="N690" s="2019"/>
      <c r="O690" s="2021"/>
      <c r="P690" s="2018"/>
      <c r="Q690" s="477"/>
      <c r="R690" s="2019"/>
      <c r="S690" s="2021"/>
      <c r="T690" s="2018"/>
      <c r="U690" s="477"/>
      <c r="V690" s="2019"/>
      <c r="W690" s="2021"/>
      <c r="X690" s="2018"/>
      <c r="Y690" s="477"/>
      <c r="Z690" s="2019"/>
      <c r="AA690" s="2021"/>
      <c r="AB690" s="2018"/>
      <c r="AC690" s="477"/>
      <c r="AD690" s="2019"/>
      <c r="AE690" s="2021"/>
      <c r="AF690" s="2018"/>
      <c r="AG690" s="477"/>
      <c r="AH690" s="2019"/>
      <c r="AI690" s="2021"/>
      <c r="AJ690" s="2018"/>
      <c r="AK690" s="477"/>
      <c r="AL690" s="2019"/>
      <c r="AM690" s="2021"/>
      <c r="AN690" s="2018"/>
      <c r="AO690" s="477"/>
      <c r="AP690" s="477"/>
      <c r="AQ690" s="477"/>
    </row>
    <row r="691" spans="1:43" ht="15">
      <c r="A691" s="477"/>
      <c r="B691" s="2019"/>
      <c r="C691" s="2021"/>
      <c r="D691" s="2018"/>
      <c r="E691" s="477"/>
      <c r="F691" s="2019"/>
      <c r="G691" s="2021"/>
      <c r="H691" s="2018"/>
      <c r="I691" s="477"/>
      <c r="J691" s="2019"/>
      <c r="K691" s="2021"/>
      <c r="L691" s="2018"/>
      <c r="M691" s="477"/>
      <c r="N691" s="2019"/>
      <c r="O691" s="2021"/>
      <c r="P691" s="2018"/>
      <c r="Q691" s="477"/>
      <c r="R691" s="2019"/>
      <c r="S691" s="2021"/>
      <c r="T691" s="2018"/>
      <c r="U691" s="477"/>
      <c r="V691" s="2019"/>
      <c r="W691" s="2021"/>
      <c r="X691" s="2018"/>
      <c r="Y691" s="477"/>
      <c r="Z691" s="2019"/>
      <c r="AA691" s="2021"/>
      <c r="AB691" s="2018"/>
      <c r="AC691" s="477"/>
      <c r="AD691" s="2019"/>
      <c r="AE691" s="2021"/>
      <c r="AF691" s="2018"/>
      <c r="AG691" s="477"/>
      <c r="AH691" s="2019"/>
      <c r="AI691" s="2021"/>
      <c r="AJ691" s="2018"/>
      <c r="AK691" s="477"/>
      <c r="AL691" s="2019"/>
      <c r="AM691" s="2021"/>
      <c r="AN691" s="2018"/>
      <c r="AO691" s="477"/>
      <c r="AP691" s="477"/>
      <c r="AQ691" s="477"/>
    </row>
    <row r="692" spans="1:43" ht="15">
      <c r="A692" s="477"/>
      <c r="B692" s="2019"/>
      <c r="C692" s="2021"/>
      <c r="D692" s="2018"/>
      <c r="E692" s="477"/>
      <c r="F692" s="2019"/>
      <c r="G692" s="2021"/>
      <c r="H692" s="2018"/>
      <c r="I692" s="477"/>
      <c r="J692" s="2019"/>
      <c r="K692" s="2021"/>
      <c r="L692" s="2018"/>
      <c r="M692" s="477"/>
      <c r="N692" s="2019"/>
      <c r="O692" s="2021"/>
      <c r="P692" s="2018"/>
      <c r="Q692" s="477"/>
      <c r="R692" s="2019"/>
      <c r="S692" s="2021"/>
      <c r="T692" s="2018"/>
      <c r="U692" s="477"/>
      <c r="V692" s="2019"/>
      <c r="W692" s="2021"/>
      <c r="X692" s="2018"/>
      <c r="Y692" s="477"/>
      <c r="Z692" s="2019"/>
      <c r="AA692" s="2021"/>
      <c r="AB692" s="2018"/>
      <c r="AC692" s="477"/>
      <c r="AD692" s="2019"/>
      <c r="AE692" s="2021"/>
      <c r="AF692" s="2018"/>
      <c r="AG692" s="477"/>
      <c r="AH692" s="2019"/>
      <c r="AI692" s="2021"/>
      <c r="AJ692" s="2018"/>
      <c r="AK692" s="477"/>
      <c r="AL692" s="2019"/>
      <c r="AM692" s="2021"/>
      <c r="AN692" s="2018"/>
      <c r="AO692" s="477"/>
      <c r="AP692" s="477"/>
      <c r="AQ692" s="477"/>
    </row>
    <row r="693" spans="1:43" ht="15">
      <c r="A693" s="477"/>
      <c r="B693" s="2019"/>
      <c r="C693" s="2021"/>
      <c r="D693" s="2018"/>
      <c r="E693" s="477"/>
      <c r="F693" s="2019"/>
      <c r="G693" s="2021"/>
      <c r="H693" s="2018"/>
      <c r="I693" s="477"/>
      <c r="J693" s="2019"/>
      <c r="K693" s="2021"/>
      <c r="L693" s="2018"/>
      <c r="M693" s="477"/>
      <c r="N693" s="2019"/>
      <c r="O693" s="2021"/>
      <c r="P693" s="2018"/>
      <c r="Q693" s="477"/>
      <c r="R693" s="2019"/>
      <c r="S693" s="2021"/>
      <c r="T693" s="2018"/>
      <c r="U693" s="477"/>
      <c r="V693" s="2019"/>
      <c r="W693" s="2021"/>
      <c r="X693" s="2018"/>
      <c r="Y693" s="477"/>
      <c r="Z693" s="2019"/>
      <c r="AA693" s="2021"/>
      <c r="AB693" s="2018"/>
      <c r="AC693" s="477"/>
      <c r="AD693" s="2019"/>
      <c r="AE693" s="2021"/>
      <c r="AF693" s="2018"/>
      <c r="AG693" s="477"/>
      <c r="AH693" s="2019"/>
      <c r="AI693" s="2021"/>
      <c r="AJ693" s="2018"/>
      <c r="AK693" s="477"/>
      <c r="AL693" s="2019"/>
      <c r="AM693" s="2021"/>
      <c r="AN693" s="2018"/>
      <c r="AO693" s="477"/>
      <c r="AP693" s="477"/>
      <c r="AQ693" s="477"/>
    </row>
    <row r="694" spans="1:43" ht="15">
      <c r="A694" s="477"/>
      <c r="B694" s="2019"/>
      <c r="C694" s="2021"/>
      <c r="D694" s="2018"/>
      <c r="E694" s="477"/>
      <c r="F694" s="2019"/>
      <c r="G694" s="2021"/>
      <c r="H694" s="2018"/>
      <c r="I694" s="477"/>
      <c r="J694" s="2019"/>
      <c r="K694" s="2021"/>
      <c r="L694" s="2018"/>
      <c r="M694" s="477"/>
      <c r="N694" s="2019"/>
      <c r="O694" s="2021"/>
      <c r="P694" s="2018"/>
      <c r="Q694" s="477"/>
      <c r="R694" s="2019"/>
      <c r="S694" s="2021"/>
      <c r="T694" s="2018"/>
      <c r="U694" s="477"/>
      <c r="V694" s="2019"/>
      <c r="W694" s="2021"/>
      <c r="X694" s="2018"/>
      <c r="Y694" s="477"/>
      <c r="Z694" s="2019"/>
      <c r="AA694" s="2021"/>
      <c r="AB694" s="2018"/>
      <c r="AC694" s="477"/>
      <c r="AD694" s="2019"/>
      <c r="AE694" s="2021"/>
      <c r="AF694" s="2018"/>
      <c r="AG694" s="477"/>
      <c r="AH694" s="2019"/>
      <c r="AI694" s="2021"/>
      <c r="AJ694" s="2018"/>
      <c r="AK694" s="477"/>
      <c r="AL694" s="2019"/>
      <c r="AM694" s="2021"/>
      <c r="AN694" s="2018"/>
      <c r="AO694" s="477"/>
      <c r="AP694" s="477"/>
      <c r="AQ694" s="477"/>
    </row>
    <row r="695" spans="1:43" ht="15">
      <c r="A695" s="477"/>
      <c r="B695" s="2019"/>
      <c r="C695" s="2021"/>
      <c r="D695" s="2018"/>
      <c r="E695" s="477"/>
      <c r="F695" s="2019"/>
      <c r="G695" s="2021"/>
      <c r="H695" s="2018"/>
      <c r="I695" s="477"/>
      <c r="J695" s="2019"/>
      <c r="K695" s="2021"/>
      <c r="L695" s="2018"/>
      <c r="M695" s="477"/>
      <c r="N695" s="2019"/>
      <c r="O695" s="2021"/>
      <c r="P695" s="2018"/>
      <c r="Q695" s="477"/>
      <c r="R695" s="2019"/>
      <c r="S695" s="2021"/>
      <c r="T695" s="2018"/>
      <c r="U695" s="477"/>
      <c r="V695" s="2019"/>
      <c r="W695" s="2021"/>
      <c r="X695" s="2018"/>
      <c r="Y695" s="477"/>
      <c r="Z695" s="2019"/>
      <c r="AA695" s="2021"/>
      <c r="AB695" s="2018"/>
      <c r="AC695" s="477"/>
      <c r="AD695" s="2019"/>
      <c r="AE695" s="2021"/>
      <c r="AF695" s="2018"/>
      <c r="AG695" s="477"/>
      <c r="AH695" s="2019"/>
      <c r="AI695" s="2021"/>
      <c r="AJ695" s="2018"/>
      <c r="AK695" s="477"/>
      <c r="AL695" s="2019"/>
      <c r="AM695" s="2021"/>
      <c r="AN695" s="2018"/>
      <c r="AO695" s="477"/>
      <c r="AP695" s="477"/>
      <c r="AQ695" s="477"/>
    </row>
    <row r="696" spans="1:43" ht="15">
      <c r="A696" s="477"/>
      <c r="B696" s="2019"/>
      <c r="C696" s="2021"/>
      <c r="D696" s="2018"/>
      <c r="E696" s="477"/>
      <c r="F696" s="2019"/>
      <c r="G696" s="2021"/>
      <c r="H696" s="2018"/>
      <c r="I696" s="477"/>
      <c r="J696" s="2019"/>
      <c r="K696" s="2021"/>
      <c r="L696" s="2018"/>
      <c r="M696" s="477"/>
      <c r="N696" s="2019"/>
      <c r="O696" s="2021"/>
      <c r="P696" s="2018"/>
      <c r="Q696" s="477"/>
      <c r="R696" s="2019"/>
      <c r="S696" s="2021"/>
      <c r="T696" s="2018"/>
      <c r="U696" s="477"/>
      <c r="V696" s="2019"/>
      <c r="W696" s="2021"/>
      <c r="X696" s="2018"/>
      <c r="Y696" s="477"/>
      <c r="Z696" s="2019"/>
      <c r="AA696" s="2021"/>
      <c r="AB696" s="2018"/>
      <c r="AC696" s="477"/>
      <c r="AD696" s="2019"/>
      <c r="AE696" s="2021"/>
      <c r="AF696" s="2018"/>
      <c r="AG696" s="477"/>
      <c r="AH696" s="2019"/>
      <c r="AI696" s="2021"/>
      <c r="AJ696" s="2018"/>
      <c r="AK696" s="477"/>
      <c r="AL696" s="2019"/>
      <c r="AM696" s="2021"/>
      <c r="AN696" s="2018"/>
      <c r="AO696" s="477"/>
      <c r="AP696" s="477"/>
      <c r="AQ696" s="477"/>
    </row>
    <row r="697" spans="1:43" ht="15">
      <c r="A697" s="477"/>
      <c r="B697" s="2019"/>
      <c r="C697" s="2021"/>
      <c r="D697" s="2018"/>
      <c r="E697" s="477"/>
      <c r="F697" s="2019"/>
      <c r="G697" s="2021"/>
      <c r="H697" s="2018"/>
      <c r="I697" s="477"/>
      <c r="J697" s="2019"/>
      <c r="K697" s="2021"/>
      <c r="L697" s="2018"/>
      <c r="M697" s="477"/>
      <c r="N697" s="2019"/>
      <c r="O697" s="2021"/>
      <c r="P697" s="2018"/>
      <c r="Q697" s="477"/>
      <c r="R697" s="2019"/>
      <c r="S697" s="2021"/>
      <c r="T697" s="2018"/>
      <c r="U697" s="477"/>
      <c r="V697" s="2019"/>
      <c r="W697" s="2021"/>
      <c r="X697" s="2018"/>
      <c r="Y697" s="477"/>
      <c r="Z697" s="2019"/>
      <c r="AA697" s="2021"/>
      <c r="AB697" s="2018"/>
      <c r="AC697" s="477"/>
      <c r="AD697" s="2019"/>
      <c r="AE697" s="2021"/>
      <c r="AF697" s="2018"/>
      <c r="AG697" s="477"/>
      <c r="AH697" s="2019"/>
      <c r="AI697" s="2021"/>
      <c r="AJ697" s="2018"/>
      <c r="AK697" s="477"/>
      <c r="AL697" s="2019"/>
      <c r="AM697" s="2021"/>
      <c r="AN697" s="2018"/>
      <c r="AO697" s="477"/>
      <c r="AP697" s="477"/>
      <c r="AQ697" s="477"/>
    </row>
    <row r="698" spans="1:43" ht="15">
      <c r="A698" s="477"/>
      <c r="B698" s="2019"/>
      <c r="C698" s="2021"/>
      <c r="D698" s="2018"/>
      <c r="E698" s="477"/>
      <c r="F698" s="2019"/>
      <c r="G698" s="2021"/>
      <c r="H698" s="2018"/>
      <c r="I698" s="477"/>
      <c r="J698" s="2019"/>
      <c r="K698" s="2021"/>
      <c r="L698" s="2018"/>
      <c r="M698" s="477"/>
      <c r="N698" s="2019"/>
      <c r="O698" s="2021"/>
      <c r="P698" s="2018"/>
      <c r="Q698" s="477"/>
      <c r="R698" s="2019"/>
      <c r="S698" s="2021"/>
      <c r="T698" s="2018"/>
      <c r="U698" s="477"/>
      <c r="V698" s="2019"/>
      <c r="W698" s="2021"/>
      <c r="X698" s="2018"/>
      <c r="Y698" s="477"/>
      <c r="Z698" s="2019"/>
      <c r="AA698" s="2021"/>
      <c r="AB698" s="2018"/>
      <c r="AC698" s="477"/>
      <c r="AD698" s="2019"/>
      <c r="AE698" s="2021"/>
      <c r="AF698" s="2018"/>
      <c r="AG698" s="477"/>
      <c r="AH698" s="2019"/>
      <c r="AI698" s="2021"/>
      <c r="AJ698" s="2018"/>
      <c r="AK698" s="477"/>
      <c r="AL698" s="2019"/>
      <c r="AM698" s="2021"/>
      <c r="AN698" s="2018"/>
      <c r="AO698" s="477"/>
      <c r="AP698" s="477"/>
      <c r="AQ698" s="477"/>
    </row>
    <row r="699" spans="1:43" ht="15">
      <c r="A699" s="477"/>
      <c r="B699" s="2019"/>
      <c r="C699" s="2021"/>
      <c r="D699" s="2018"/>
      <c r="E699" s="477"/>
      <c r="F699" s="2019"/>
      <c r="G699" s="2021"/>
      <c r="H699" s="2018"/>
      <c r="I699" s="477"/>
      <c r="J699" s="2019"/>
      <c r="K699" s="2021"/>
      <c r="L699" s="2018"/>
      <c r="M699" s="477"/>
      <c r="N699" s="2019"/>
      <c r="O699" s="2021"/>
      <c r="P699" s="2018"/>
      <c r="Q699" s="477"/>
      <c r="R699" s="2019"/>
      <c r="S699" s="2021"/>
      <c r="T699" s="2018"/>
      <c r="U699" s="477"/>
      <c r="V699" s="2019"/>
      <c r="W699" s="2021"/>
      <c r="X699" s="2018"/>
      <c r="Y699" s="477"/>
      <c r="Z699" s="2019"/>
      <c r="AA699" s="2021"/>
      <c r="AB699" s="2018"/>
      <c r="AC699" s="477"/>
      <c r="AD699" s="2019"/>
      <c r="AE699" s="2021"/>
      <c r="AF699" s="2018"/>
      <c r="AG699" s="477"/>
      <c r="AH699" s="2019"/>
      <c r="AI699" s="2021"/>
      <c r="AJ699" s="2018"/>
      <c r="AK699" s="477"/>
      <c r="AL699" s="2019"/>
      <c r="AM699" s="2021"/>
      <c r="AN699" s="2018"/>
      <c r="AO699" s="477"/>
      <c r="AP699" s="477"/>
      <c r="AQ699" s="477"/>
    </row>
    <row r="700" spans="1:43" ht="15">
      <c r="A700" s="477"/>
      <c r="B700" s="2019"/>
      <c r="C700" s="2021"/>
      <c r="D700" s="2018"/>
      <c r="E700" s="477"/>
      <c r="F700" s="2019"/>
      <c r="G700" s="2021"/>
      <c r="H700" s="2018"/>
      <c r="I700" s="477"/>
      <c r="J700" s="2019"/>
      <c r="K700" s="2021"/>
      <c r="L700" s="2018"/>
      <c r="M700" s="477"/>
      <c r="N700" s="2019"/>
      <c r="O700" s="2021"/>
      <c r="P700" s="2018"/>
      <c r="Q700" s="477"/>
      <c r="R700" s="2019"/>
      <c r="S700" s="2021"/>
      <c r="T700" s="2018"/>
      <c r="U700" s="477"/>
      <c r="V700" s="2019"/>
      <c r="W700" s="2021"/>
      <c r="X700" s="2018"/>
      <c r="Y700" s="477"/>
      <c r="Z700" s="2019"/>
      <c r="AA700" s="2021"/>
      <c r="AB700" s="2018"/>
      <c r="AC700" s="477"/>
      <c r="AD700" s="2019"/>
      <c r="AE700" s="2021"/>
      <c r="AF700" s="2018"/>
      <c r="AG700" s="477"/>
      <c r="AH700" s="2019"/>
      <c r="AI700" s="2021"/>
      <c r="AJ700" s="2018"/>
      <c r="AK700" s="477"/>
      <c r="AL700" s="2019"/>
      <c r="AM700" s="2021"/>
      <c r="AN700" s="2018"/>
      <c r="AO700" s="477"/>
      <c r="AP700" s="477"/>
      <c r="AQ700" s="477"/>
    </row>
    <row r="701" spans="1:43" ht="15">
      <c r="A701" s="477"/>
      <c r="B701" s="2019"/>
      <c r="C701" s="2021"/>
      <c r="D701" s="2018"/>
      <c r="E701" s="477"/>
      <c r="F701" s="2019"/>
      <c r="G701" s="2021"/>
      <c r="H701" s="2018"/>
      <c r="I701" s="477"/>
      <c r="J701" s="2019"/>
      <c r="K701" s="2021"/>
      <c r="L701" s="2018"/>
      <c r="M701" s="477"/>
      <c r="N701" s="2019"/>
      <c r="O701" s="2021"/>
      <c r="P701" s="2018"/>
      <c r="Q701" s="477"/>
      <c r="R701" s="2019"/>
      <c r="S701" s="2021"/>
      <c r="T701" s="2018"/>
      <c r="U701" s="477"/>
      <c r="V701" s="2019"/>
      <c r="W701" s="2021"/>
      <c r="X701" s="2018"/>
      <c r="Y701" s="477"/>
      <c r="Z701" s="2019"/>
      <c r="AA701" s="2021"/>
      <c r="AB701" s="2018"/>
      <c r="AC701" s="477"/>
      <c r="AD701" s="2019"/>
      <c r="AE701" s="2021"/>
      <c r="AF701" s="2018"/>
      <c r="AG701" s="477"/>
      <c r="AH701" s="2019"/>
      <c r="AI701" s="2021"/>
      <c r="AJ701" s="2018"/>
      <c r="AK701" s="477"/>
      <c r="AL701" s="2019"/>
      <c r="AM701" s="2021"/>
      <c r="AN701" s="2018"/>
      <c r="AO701" s="477"/>
      <c r="AP701" s="477"/>
      <c r="AQ701" s="477"/>
    </row>
    <row r="702" spans="1:43" ht="15">
      <c r="A702" s="477"/>
      <c r="B702" s="2019"/>
      <c r="C702" s="2021"/>
      <c r="D702" s="2018"/>
      <c r="E702" s="477"/>
      <c r="F702" s="2019"/>
      <c r="G702" s="2021"/>
      <c r="H702" s="2018"/>
      <c r="I702" s="477"/>
      <c r="J702" s="2019"/>
      <c r="K702" s="2021"/>
      <c r="L702" s="2018"/>
      <c r="M702" s="477"/>
      <c r="N702" s="2019"/>
      <c r="O702" s="2021"/>
      <c r="P702" s="2018"/>
      <c r="Q702" s="477"/>
      <c r="R702" s="2019"/>
      <c r="S702" s="2021"/>
      <c r="T702" s="2018"/>
      <c r="U702" s="477"/>
      <c r="V702" s="2019"/>
      <c r="W702" s="2021"/>
      <c r="X702" s="2018"/>
      <c r="Y702" s="477"/>
      <c r="Z702" s="2019"/>
      <c r="AA702" s="2021"/>
      <c r="AB702" s="2018"/>
      <c r="AC702" s="477"/>
      <c r="AD702" s="2019"/>
      <c r="AE702" s="2021"/>
      <c r="AF702" s="2018"/>
      <c r="AG702" s="477"/>
      <c r="AH702" s="2019"/>
      <c r="AI702" s="2021"/>
      <c r="AJ702" s="2018"/>
      <c r="AK702" s="477"/>
      <c r="AL702" s="2019"/>
      <c r="AM702" s="2021"/>
      <c r="AN702" s="2018"/>
      <c r="AO702" s="477"/>
      <c r="AP702" s="477"/>
      <c r="AQ702" s="477"/>
    </row>
    <row r="703" spans="1:43" ht="15">
      <c r="A703" s="477"/>
      <c r="B703" s="2019"/>
      <c r="C703" s="2021"/>
      <c r="D703" s="2018"/>
      <c r="E703" s="477"/>
      <c r="F703" s="2019"/>
      <c r="G703" s="2021"/>
      <c r="H703" s="2018"/>
      <c r="I703" s="477"/>
      <c r="J703" s="2019"/>
      <c r="K703" s="2021"/>
      <c r="L703" s="2018"/>
      <c r="M703" s="477"/>
      <c r="N703" s="2019"/>
      <c r="O703" s="2021"/>
      <c r="P703" s="2018"/>
      <c r="Q703" s="477"/>
      <c r="R703" s="2019"/>
      <c r="S703" s="2021"/>
      <c r="T703" s="2018"/>
      <c r="U703" s="477"/>
      <c r="V703" s="2019"/>
      <c r="W703" s="2021"/>
      <c r="X703" s="2018"/>
      <c r="Y703" s="477"/>
      <c r="Z703" s="2019"/>
      <c r="AA703" s="2021"/>
      <c r="AB703" s="2018"/>
      <c r="AC703" s="477"/>
      <c r="AD703" s="2019"/>
      <c r="AE703" s="2021"/>
      <c r="AF703" s="2018"/>
      <c r="AG703" s="477"/>
      <c r="AH703" s="2019"/>
      <c r="AI703" s="2021"/>
      <c r="AJ703" s="2018"/>
      <c r="AK703" s="477"/>
      <c r="AL703" s="2019"/>
      <c r="AM703" s="2021"/>
      <c r="AN703" s="2018"/>
      <c r="AO703" s="477"/>
      <c r="AP703" s="477"/>
      <c r="AQ703" s="477"/>
    </row>
    <row r="704" spans="1:43" ht="15">
      <c r="A704" s="477"/>
      <c r="B704" s="2019"/>
      <c r="C704" s="2021"/>
      <c r="D704" s="2018"/>
      <c r="E704" s="477"/>
      <c r="F704" s="2019"/>
      <c r="G704" s="2021"/>
      <c r="H704" s="2018"/>
      <c r="I704" s="477"/>
      <c r="J704" s="2019"/>
      <c r="K704" s="2021"/>
      <c r="L704" s="2018"/>
      <c r="M704" s="477"/>
      <c r="N704" s="2019"/>
      <c r="O704" s="2021"/>
      <c r="P704" s="2018"/>
      <c r="Q704" s="477"/>
      <c r="R704" s="2019"/>
      <c r="S704" s="2021"/>
      <c r="T704" s="2018"/>
      <c r="U704" s="477"/>
      <c r="V704" s="2019"/>
      <c r="W704" s="2021"/>
      <c r="X704" s="2018"/>
      <c r="Y704" s="477"/>
      <c r="Z704" s="2019"/>
      <c r="AA704" s="2021"/>
      <c r="AB704" s="2018"/>
      <c r="AC704" s="477"/>
      <c r="AD704" s="2019"/>
      <c r="AE704" s="2021"/>
      <c r="AF704" s="2018"/>
      <c r="AG704" s="477"/>
      <c r="AH704" s="2019"/>
      <c r="AI704" s="2021"/>
      <c r="AJ704" s="2018"/>
      <c r="AK704" s="477"/>
      <c r="AL704" s="2019"/>
      <c r="AM704" s="2021"/>
      <c r="AN704" s="2018"/>
      <c r="AO704" s="477"/>
      <c r="AP704" s="477"/>
      <c r="AQ704" s="477"/>
    </row>
    <row r="705" spans="1:43" ht="15">
      <c r="A705" s="477"/>
      <c r="B705" s="2019"/>
      <c r="C705" s="2021"/>
      <c r="D705" s="2018"/>
      <c r="E705" s="477"/>
      <c r="F705" s="2019"/>
      <c r="G705" s="2021"/>
      <c r="H705" s="2018"/>
      <c r="I705" s="477"/>
      <c r="J705" s="2019"/>
      <c r="K705" s="2021"/>
      <c r="L705" s="2018"/>
      <c r="M705" s="477"/>
      <c r="N705" s="2019"/>
      <c r="O705" s="2021"/>
      <c r="P705" s="2018"/>
      <c r="Q705" s="477"/>
      <c r="R705" s="2019"/>
      <c r="S705" s="2021"/>
      <c r="T705" s="2018"/>
      <c r="U705" s="477"/>
      <c r="V705" s="2019"/>
      <c r="W705" s="2021"/>
      <c r="X705" s="2018"/>
      <c r="Y705" s="477"/>
      <c r="Z705" s="2019"/>
      <c r="AA705" s="2021"/>
      <c r="AB705" s="2018"/>
      <c r="AC705" s="477"/>
      <c r="AD705" s="2019"/>
      <c r="AE705" s="2021"/>
      <c r="AF705" s="2018"/>
      <c r="AG705" s="477"/>
      <c r="AH705" s="2019"/>
      <c r="AI705" s="2021"/>
      <c r="AJ705" s="2018"/>
      <c r="AK705" s="477"/>
      <c r="AL705" s="2019"/>
      <c r="AM705" s="2021"/>
      <c r="AN705" s="2018"/>
      <c r="AO705" s="477"/>
      <c r="AP705" s="477"/>
      <c r="AQ705" s="477"/>
    </row>
    <row r="706" spans="1:43" ht="15">
      <c r="A706" s="477"/>
      <c r="B706" s="2019"/>
      <c r="C706" s="2021"/>
      <c r="D706" s="2018"/>
      <c r="E706" s="477"/>
      <c r="F706" s="2019"/>
      <c r="G706" s="2021"/>
      <c r="H706" s="2018"/>
      <c r="I706" s="477"/>
      <c r="J706" s="2019"/>
      <c r="K706" s="2021"/>
      <c r="L706" s="2018"/>
      <c r="M706" s="477"/>
      <c r="N706" s="2019"/>
      <c r="O706" s="2021"/>
      <c r="P706" s="2018"/>
      <c r="Q706" s="477"/>
      <c r="R706" s="2019"/>
      <c r="S706" s="2021"/>
      <c r="T706" s="2018"/>
      <c r="U706" s="477"/>
      <c r="V706" s="2019"/>
      <c r="W706" s="2021"/>
      <c r="X706" s="2018"/>
      <c r="Y706" s="477"/>
      <c r="Z706" s="2019"/>
      <c r="AA706" s="2021"/>
      <c r="AB706" s="2018"/>
      <c r="AC706" s="477"/>
      <c r="AD706" s="2019"/>
      <c r="AE706" s="2021"/>
      <c r="AF706" s="2018"/>
      <c r="AG706" s="477"/>
      <c r="AH706" s="2019"/>
      <c r="AI706" s="2021"/>
      <c r="AJ706" s="2018"/>
      <c r="AK706" s="477"/>
      <c r="AL706" s="2019"/>
      <c r="AM706" s="2021"/>
      <c r="AN706" s="2018"/>
      <c r="AO706" s="477"/>
      <c r="AP706" s="477"/>
      <c r="AQ706" s="477"/>
    </row>
    <row r="707" spans="1:43" ht="15">
      <c r="A707" s="477"/>
      <c r="B707" s="2019"/>
      <c r="C707" s="2021"/>
      <c r="D707" s="2018"/>
      <c r="E707" s="477"/>
      <c r="F707" s="2019"/>
      <c r="G707" s="2021"/>
      <c r="H707" s="2018"/>
      <c r="I707" s="477"/>
      <c r="J707" s="2019"/>
      <c r="K707" s="2021"/>
      <c r="L707" s="2018"/>
      <c r="M707" s="477"/>
      <c r="N707" s="2019"/>
      <c r="O707" s="2021"/>
      <c r="P707" s="2018"/>
      <c r="Q707" s="477"/>
      <c r="R707" s="2019"/>
      <c r="S707" s="2021"/>
      <c r="T707" s="2018"/>
      <c r="U707" s="477"/>
      <c r="V707" s="2019"/>
      <c r="W707" s="2021"/>
      <c r="X707" s="2018"/>
      <c r="Y707" s="477"/>
      <c r="Z707" s="2019"/>
      <c r="AA707" s="2021"/>
      <c r="AB707" s="2018"/>
      <c r="AC707" s="477"/>
      <c r="AD707" s="2019"/>
      <c r="AE707" s="2021"/>
      <c r="AF707" s="2018"/>
      <c r="AG707" s="477"/>
      <c r="AH707" s="2019"/>
      <c r="AI707" s="2021"/>
      <c r="AJ707" s="2018"/>
      <c r="AK707" s="477"/>
      <c r="AL707" s="2019"/>
      <c r="AM707" s="2021"/>
      <c r="AN707" s="2018"/>
      <c r="AO707" s="477"/>
      <c r="AP707" s="477"/>
      <c r="AQ707" s="477"/>
    </row>
    <row r="708" spans="1:43" ht="15">
      <c r="A708" s="477"/>
      <c r="B708" s="2019"/>
      <c r="C708" s="2021"/>
      <c r="D708" s="2018"/>
      <c r="E708" s="477"/>
      <c r="F708" s="2019"/>
      <c r="G708" s="2021"/>
      <c r="H708" s="2018"/>
      <c r="I708" s="477"/>
      <c r="J708" s="2019"/>
      <c r="K708" s="2021"/>
      <c r="L708" s="2018"/>
      <c r="M708" s="477"/>
      <c r="N708" s="2019"/>
      <c r="O708" s="2021"/>
      <c r="P708" s="2018"/>
      <c r="Q708" s="477"/>
      <c r="R708" s="2019"/>
      <c r="S708" s="2021"/>
      <c r="T708" s="2018"/>
      <c r="U708" s="477"/>
      <c r="V708" s="2019"/>
      <c r="W708" s="2021"/>
      <c r="X708" s="2018"/>
      <c r="Y708" s="477"/>
      <c r="Z708" s="2019"/>
      <c r="AA708" s="2021"/>
      <c r="AB708" s="2018"/>
      <c r="AC708" s="477"/>
      <c r="AD708" s="2019"/>
      <c r="AE708" s="2021"/>
      <c r="AF708" s="2018"/>
      <c r="AG708" s="477"/>
      <c r="AH708" s="2019"/>
      <c r="AI708" s="2021"/>
      <c r="AJ708" s="2018"/>
      <c r="AK708" s="477"/>
      <c r="AL708" s="2019"/>
      <c r="AM708" s="2021"/>
      <c r="AN708" s="2018"/>
      <c r="AO708" s="477"/>
      <c r="AP708" s="477"/>
      <c r="AQ708" s="477"/>
    </row>
    <row r="709" spans="1:43" ht="15">
      <c r="A709" s="477"/>
      <c r="B709" s="2019"/>
      <c r="C709" s="2021"/>
      <c r="D709" s="2018"/>
      <c r="E709" s="477"/>
      <c r="F709" s="2019"/>
      <c r="G709" s="2021"/>
      <c r="H709" s="2018"/>
      <c r="I709" s="477"/>
      <c r="J709" s="2019"/>
      <c r="K709" s="2021"/>
      <c r="L709" s="2018"/>
      <c r="M709" s="477"/>
      <c r="N709" s="2019"/>
      <c r="O709" s="2021"/>
      <c r="P709" s="2018"/>
      <c r="Q709" s="477"/>
      <c r="R709" s="2019"/>
      <c r="S709" s="2021"/>
      <c r="T709" s="2018"/>
      <c r="U709" s="477"/>
      <c r="V709" s="2019"/>
      <c r="W709" s="2021"/>
      <c r="X709" s="2018"/>
      <c r="Y709" s="477"/>
      <c r="Z709" s="2019"/>
      <c r="AA709" s="2021"/>
      <c r="AB709" s="2018"/>
      <c r="AC709" s="477"/>
      <c r="AD709" s="2019"/>
      <c r="AE709" s="2021"/>
      <c r="AF709" s="2018"/>
      <c r="AG709" s="477"/>
      <c r="AH709" s="2019"/>
      <c r="AI709" s="2021"/>
      <c r="AJ709" s="2018"/>
      <c r="AK709" s="477"/>
      <c r="AL709" s="2019"/>
      <c r="AM709" s="2021"/>
      <c r="AN709" s="2018"/>
      <c r="AO709" s="477"/>
      <c r="AP709" s="477"/>
      <c r="AQ709" s="477"/>
    </row>
    <row r="710" spans="1:43" ht="15">
      <c r="A710" s="477"/>
      <c r="B710" s="2019"/>
      <c r="C710" s="2021"/>
      <c r="D710" s="2018"/>
      <c r="E710" s="477"/>
      <c r="F710" s="2019"/>
      <c r="G710" s="2021"/>
      <c r="H710" s="2018"/>
      <c r="I710" s="477"/>
      <c r="J710" s="2019"/>
      <c r="K710" s="2021"/>
      <c r="L710" s="2018"/>
      <c r="M710" s="477"/>
      <c r="N710" s="2019"/>
      <c r="O710" s="2021"/>
      <c r="P710" s="2018"/>
      <c r="Q710" s="477"/>
      <c r="R710" s="2019"/>
      <c r="S710" s="2021"/>
      <c r="T710" s="2018"/>
      <c r="U710" s="477"/>
      <c r="V710" s="2019"/>
      <c r="W710" s="2021"/>
      <c r="X710" s="2018"/>
      <c r="Y710" s="477"/>
      <c r="Z710" s="2019"/>
      <c r="AA710" s="2021"/>
      <c r="AB710" s="2018"/>
      <c r="AC710" s="477"/>
      <c r="AD710" s="2019"/>
      <c r="AE710" s="2021"/>
      <c r="AF710" s="2018"/>
      <c r="AG710" s="477"/>
      <c r="AH710" s="2019"/>
      <c r="AI710" s="2021"/>
      <c r="AJ710" s="2018"/>
      <c r="AK710" s="477"/>
      <c r="AL710" s="2019"/>
      <c r="AM710" s="2021"/>
      <c r="AN710" s="2018"/>
      <c r="AO710" s="477"/>
      <c r="AP710" s="477"/>
      <c r="AQ710" s="477"/>
    </row>
    <row r="711" spans="1:43" ht="15">
      <c r="A711" s="477"/>
      <c r="B711" s="2019"/>
      <c r="C711" s="2021"/>
      <c r="D711" s="2018"/>
      <c r="E711" s="477"/>
      <c r="F711" s="2019"/>
      <c r="G711" s="2021"/>
      <c r="H711" s="2018"/>
      <c r="I711" s="477"/>
      <c r="J711" s="2019"/>
      <c r="K711" s="2021"/>
      <c r="L711" s="2018"/>
      <c r="M711" s="477"/>
      <c r="N711" s="2019"/>
      <c r="O711" s="2021"/>
      <c r="P711" s="2018"/>
      <c r="Q711" s="477"/>
      <c r="R711" s="2019"/>
      <c r="S711" s="2021"/>
      <c r="T711" s="2018"/>
      <c r="U711" s="477"/>
      <c r="V711" s="2019"/>
      <c r="W711" s="2021"/>
      <c r="X711" s="2018"/>
      <c r="Y711" s="477"/>
      <c r="Z711" s="2019"/>
      <c r="AA711" s="2021"/>
      <c r="AB711" s="2018"/>
      <c r="AC711" s="477"/>
      <c r="AD711" s="2019"/>
      <c r="AE711" s="2021"/>
      <c r="AF711" s="2018"/>
      <c r="AG711" s="477"/>
      <c r="AH711" s="2019"/>
      <c r="AI711" s="2021"/>
      <c r="AJ711" s="2018"/>
      <c r="AK711" s="477"/>
      <c r="AL711" s="2019"/>
      <c r="AM711" s="2021"/>
      <c r="AN711" s="2018"/>
      <c r="AO711" s="477"/>
      <c r="AP711" s="477"/>
      <c r="AQ711" s="477"/>
    </row>
    <row r="712" spans="1:43" ht="15">
      <c r="A712" s="477"/>
      <c r="B712" s="2019"/>
      <c r="C712" s="2021"/>
      <c r="D712" s="2018"/>
      <c r="E712" s="477"/>
      <c r="F712" s="2019"/>
      <c r="G712" s="2021"/>
      <c r="H712" s="2018"/>
      <c r="I712" s="477"/>
      <c r="J712" s="2019"/>
      <c r="K712" s="2021"/>
      <c r="L712" s="2018"/>
      <c r="M712" s="477"/>
      <c r="N712" s="2019"/>
      <c r="O712" s="2021"/>
      <c r="P712" s="2018"/>
      <c r="Q712" s="477"/>
      <c r="R712" s="2019"/>
      <c r="S712" s="2021"/>
      <c r="T712" s="2018"/>
      <c r="U712" s="477"/>
      <c r="V712" s="2019"/>
      <c r="W712" s="2021"/>
      <c r="X712" s="2018"/>
      <c r="Y712" s="477"/>
      <c r="Z712" s="2019"/>
      <c r="AA712" s="2021"/>
      <c r="AB712" s="2018"/>
      <c r="AC712" s="477"/>
      <c r="AD712" s="2019"/>
      <c r="AE712" s="2021"/>
      <c r="AF712" s="2018"/>
      <c r="AG712" s="477"/>
      <c r="AH712" s="2019"/>
      <c r="AI712" s="2021"/>
      <c r="AJ712" s="2018"/>
      <c r="AK712" s="477"/>
      <c r="AL712" s="2019"/>
      <c r="AM712" s="2021"/>
      <c r="AN712" s="2018"/>
      <c r="AO712" s="477"/>
      <c r="AP712" s="477"/>
      <c r="AQ712" s="477"/>
    </row>
    <row r="713" spans="1:43" ht="15">
      <c r="A713" s="477"/>
      <c r="B713" s="2019"/>
      <c r="C713" s="2021"/>
      <c r="D713" s="2018"/>
      <c r="E713" s="477"/>
      <c r="F713" s="2019"/>
      <c r="G713" s="2021"/>
      <c r="H713" s="2018"/>
      <c r="I713" s="477"/>
      <c r="J713" s="2019"/>
      <c r="K713" s="2021"/>
      <c r="L713" s="2018"/>
      <c r="M713" s="477"/>
      <c r="N713" s="2019"/>
      <c r="O713" s="2021"/>
      <c r="P713" s="2018"/>
      <c r="Q713" s="477"/>
      <c r="R713" s="2019"/>
      <c r="S713" s="2021"/>
      <c r="T713" s="2018"/>
      <c r="U713" s="477"/>
      <c r="V713" s="2019"/>
      <c r="W713" s="2021"/>
      <c r="X713" s="2018"/>
      <c r="Y713" s="477"/>
      <c r="Z713" s="2019"/>
      <c r="AA713" s="2021"/>
      <c r="AB713" s="2018"/>
      <c r="AC713" s="477"/>
      <c r="AD713" s="2019"/>
      <c r="AE713" s="2021"/>
      <c r="AF713" s="2018"/>
      <c r="AG713" s="477"/>
      <c r="AH713" s="2019"/>
      <c r="AI713" s="2021"/>
      <c r="AJ713" s="2018"/>
      <c r="AK713" s="477"/>
      <c r="AL713" s="2019"/>
      <c r="AM713" s="2021"/>
      <c r="AN713" s="2018"/>
      <c r="AO713" s="477"/>
      <c r="AP713" s="477"/>
      <c r="AQ713" s="477"/>
    </row>
    <row r="714" spans="1:43" ht="15">
      <c r="A714" s="477"/>
      <c r="B714" s="2019"/>
      <c r="C714" s="2021"/>
      <c r="D714" s="2018"/>
      <c r="E714" s="477"/>
      <c r="F714" s="2019"/>
      <c r="G714" s="2021"/>
      <c r="H714" s="2018"/>
      <c r="I714" s="477"/>
      <c r="J714" s="2019"/>
      <c r="K714" s="2021"/>
      <c r="L714" s="2018"/>
      <c r="M714" s="477"/>
      <c r="N714" s="2019"/>
      <c r="O714" s="2021"/>
      <c r="P714" s="2018"/>
      <c r="Q714" s="477"/>
      <c r="R714" s="2019"/>
      <c r="S714" s="2021"/>
      <c r="T714" s="2018"/>
      <c r="U714" s="477"/>
      <c r="V714" s="2019"/>
      <c r="W714" s="2021"/>
      <c r="X714" s="2018"/>
      <c r="Y714" s="477"/>
      <c r="Z714" s="2019"/>
      <c r="AA714" s="2021"/>
      <c r="AB714" s="2018"/>
      <c r="AC714" s="477"/>
      <c r="AD714" s="2019"/>
      <c r="AE714" s="2021"/>
      <c r="AF714" s="2018"/>
      <c r="AG714" s="477"/>
      <c r="AH714" s="2019"/>
      <c r="AI714" s="2021"/>
      <c r="AJ714" s="2018"/>
      <c r="AK714" s="477"/>
      <c r="AL714" s="2019"/>
      <c r="AM714" s="2021"/>
      <c r="AN714" s="2018"/>
      <c r="AO714" s="477"/>
      <c r="AP714" s="477"/>
      <c r="AQ714" s="477"/>
    </row>
    <row r="715" spans="1:43" ht="15">
      <c r="A715" s="477"/>
      <c r="B715" s="2019"/>
      <c r="C715" s="2021"/>
      <c r="D715" s="2018"/>
      <c r="E715" s="477"/>
      <c r="F715" s="2019"/>
      <c r="G715" s="2021"/>
      <c r="H715" s="2018"/>
      <c r="I715" s="477"/>
      <c r="J715" s="2019"/>
      <c r="K715" s="2021"/>
      <c r="L715" s="2018"/>
      <c r="M715" s="477"/>
      <c r="N715" s="2019"/>
      <c r="O715" s="2021"/>
      <c r="P715" s="2018"/>
      <c r="Q715" s="477"/>
      <c r="R715" s="2019"/>
      <c r="S715" s="2021"/>
      <c r="T715" s="2018"/>
      <c r="U715" s="477"/>
      <c r="V715" s="2019"/>
      <c r="W715" s="2021"/>
      <c r="X715" s="2018"/>
      <c r="Y715" s="477"/>
      <c r="Z715" s="2019"/>
      <c r="AA715" s="2021"/>
      <c r="AB715" s="2018"/>
      <c r="AC715" s="477"/>
      <c r="AD715" s="2019"/>
      <c r="AE715" s="2021"/>
      <c r="AF715" s="2018"/>
      <c r="AG715" s="477"/>
      <c r="AH715" s="2019"/>
      <c r="AI715" s="2021"/>
      <c r="AJ715" s="2018"/>
      <c r="AK715" s="477"/>
      <c r="AL715" s="2019"/>
      <c r="AM715" s="2021"/>
      <c r="AN715" s="2018"/>
      <c r="AO715" s="477"/>
      <c r="AP715" s="477"/>
      <c r="AQ715" s="477"/>
    </row>
    <row r="716" spans="1:43" ht="15">
      <c r="A716" s="477"/>
      <c r="B716" s="2019"/>
      <c r="C716" s="2021"/>
      <c r="D716" s="2018"/>
      <c r="E716" s="477"/>
      <c r="F716" s="2019"/>
      <c r="G716" s="2021"/>
      <c r="H716" s="2018"/>
      <c r="I716" s="477"/>
      <c r="J716" s="2019"/>
      <c r="K716" s="2021"/>
      <c r="L716" s="2018"/>
      <c r="M716" s="477"/>
      <c r="N716" s="2019"/>
      <c r="O716" s="2021"/>
      <c r="P716" s="2018"/>
      <c r="Q716" s="477"/>
      <c r="R716" s="2019"/>
      <c r="S716" s="2021"/>
      <c r="T716" s="2018"/>
      <c r="U716" s="477"/>
      <c r="V716" s="2019"/>
      <c r="W716" s="2021"/>
      <c r="X716" s="2018"/>
      <c r="Y716" s="477"/>
      <c r="Z716" s="2019"/>
      <c r="AA716" s="2021"/>
      <c r="AB716" s="2018"/>
      <c r="AC716" s="477"/>
      <c r="AD716" s="2019"/>
      <c r="AE716" s="2021"/>
      <c r="AF716" s="2018"/>
      <c r="AG716" s="477"/>
      <c r="AH716" s="2019"/>
      <c r="AI716" s="2021"/>
      <c r="AJ716" s="2018"/>
      <c r="AK716" s="477"/>
      <c r="AL716" s="2019"/>
      <c r="AM716" s="2021"/>
      <c r="AN716" s="2018"/>
      <c r="AO716" s="477"/>
      <c r="AP716" s="477"/>
      <c r="AQ716" s="477"/>
    </row>
    <row r="717" spans="1:43" ht="15">
      <c r="A717" s="477"/>
      <c r="B717" s="2019"/>
      <c r="C717" s="2021"/>
      <c r="D717" s="2018"/>
      <c r="E717" s="477"/>
      <c r="F717" s="2019"/>
      <c r="G717" s="2021"/>
      <c r="H717" s="2018"/>
      <c r="I717" s="477"/>
      <c r="J717" s="2019"/>
      <c r="K717" s="2021"/>
      <c r="L717" s="2018"/>
      <c r="M717" s="477"/>
      <c r="N717" s="2019"/>
      <c r="O717" s="2021"/>
      <c r="P717" s="2018"/>
      <c r="Q717" s="477"/>
      <c r="R717" s="2019"/>
      <c r="S717" s="2021"/>
      <c r="T717" s="2018"/>
      <c r="U717" s="477"/>
      <c r="V717" s="2019"/>
      <c r="W717" s="2021"/>
      <c r="X717" s="2018"/>
      <c r="Y717" s="477"/>
      <c r="Z717" s="2019"/>
      <c r="AA717" s="2021"/>
      <c r="AB717" s="2018"/>
      <c r="AC717" s="477"/>
      <c r="AD717" s="2019"/>
      <c r="AE717" s="2021"/>
      <c r="AF717" s="2018"/>
      <c r="AG717" s="477"/>
      <c r="AH717" s="2019"/>
      <c r="AI717" s="2021"/>
      <c r="AJ717" s="2018"/>
      <c r="AK717" s="477"/>
      <c r="AL717" s="2019"/>
      <c r="AM717" s="2021"/>
      <c r="AN717" s="2018"/>
      <c r="AO717" s="477"/>
      <c r="AP717" s="477"/>
      <c r="AQ717" s="477"/>
    </row>
    <row r="718" spans="1:43" ht="15">
      <c r="A718" s="477"/>
      <c r="B718" s="2019"/>
      <c r="C718" s="2021"/>
      <c r="D718" s="2018"/>
      <c r="E718" s="477"/>
      <c r="F718" s="2019"/>
      <c r="G718" s="2021"/>
      <c r="H718" s="2018"/>
      <c r="I718" s="477"/>
      <c r="J718" s="2019"/>
      <c r="K718" s="2021"/>
      <c r="L718" s="2018"/>
      <c r="M718" s="477"/>
      <c r="N718" s="2019"/>
      <c r="O718" s="2021"/>
      <c r="P718" s="2018"/>
      <c r="Q718" s="477"/>
      <c r="R718" s="2019"/>
      <c r="S718" s="2021"/>
      <c r="T718" s="2018"/>
      <c r="U718" s="477"/>
      <c r="V718" s="2019"/>
      <c r="W718" s="2021"/>
      <c r="X718" s="2018"/>
      <c r="Y718" s="477"/>
      <c r="Z718" s="2019"/>
      <c r="AA718" s="2021"/>
      <c r="AB718" s="2018"/>
      <c r="AC718" s="477"/>
      <c r="AD718" s="2019"/>
      <c r="AE718" s="2021"/>
      <c r="AF718" s="2018"/>
      <c r="AG718" s="477"/>
      <c r="AH718" s="2019"/>
      <c r="AI718" s="2021"/>
      <c r="AJ718" s="2018"/>
      <c r="AK718" s="477"/>
      <c r="AL718" s="2019"/>
      <c r="AM718" s="2021"/>
      <c r="AN718" s="2018"/>
      <c r="AO718" s="477"/>
      <c r="AP718" s="477"/>
      <c r="AQ718" s="477"/>
    </row>
    <row r="719" spans="1:43" ht="15">
      <c r="A719" s="477"/>
      <c r="B719" s="2019"/>
      <c r="C719" s="2021"/>
      <c r="D719" s="2018"/>
      <c r="E719" s="477"/>
      <c r="F719" s="2019"/>
      <c r="G719" s="2021"/>
      <c r="H719" s="2018"/>
      <c r="I719" s="477"/>
      <c r="J719" s="2019"/>
      <c r="K719" s="2021"/>
      <c r="L719" s="2018"/>
      <c r="M719" s="477"/>
      <c r="N719" s="2019"/>
      <c r="O719" s="2021"/>
      <c r="P719" s="2018"/>
      <c r="Q719" s="477"/>
      <c r="R719" s="2019"/>
      <c r="S719" s="2021"/>
      <c r="T719" s="2018"/>
      <c r="U719" s="477"/>
      <c r="V719" s="2019"/>
      <c r="W719" s="2021"/>
      <c r="X719" s="2018"/>
      <c r="Y719" s="477"/>
      <c r="Z719" s="2019"/>
      <c r="AA719" s="2021"/>
      <c r="AB719" s="2018"/>
      <c r="AC719" s="477"/>
      <c r="AD719" s="2019"/>
      <c r="AE719" s="2021"/>
      <c r="AF719" s="2018"/>
      <c r="AG719" s="477"/>
      <c r="AH719" s="2019"/>
      <c r="AI719" s="2021"/>
      <c r="AJ719" s="2018"/>
      <c r="AK719" s="477"/>
      <c r="AL719" s="2019"/>
      <c r="AM719" s="2021"/>
      <c r="AN719" s="2018"/>
      <c r="AO719" s="477"/>
      <c r="AP719" s="477"/>
      <c r="AQ719" s="477"/>
    </row>
    <row r="720" spans="1:43" ht="15">
      <c r="A720" s="477"/>
      <c r="B720" s="2019"/>
      <c r="C720" s="2021"/>
      <c r="D720" s="2018"/>
      <c r="E720" s="477"/>
      <c r="F720" s="2019"/>
      <c r="G720" s="2021"/>
      <c r="H720" s="2018"/>
      <c r="I720" s="477"/>
      <c r="J720" s="2019"/>
      <c r="K720" s="2021"/>
      <c r="L720" s="2018"/>
      <c r="M720" s="477"/>
      <c r="N720" s="2019"/>
      <c r="O720" s="2021"/>
      <c r="P720" s="2018"/>
      <c r="Q720" s="477"/>
      <c r="R720" s="2019"/>
      <c r="S720" s="2021"/>
      <c r="T720" s="2018"/>
      <c r="U720" s="477"/>
      <c r="V720" s="2019"/>
      <c r="W720" s="2021"/>
      <c r="X720" s="2018"/>
      <c r="Y720" s="477"/>
      <c r="Z720" s="2019"/>
      <c r="AA720" s="2021"/>
      <c r="AB720" s="2018"/>
      <c r="AC720" s="477"/>
      <c r="AD720" s="2019"/>
      <c r="AE720" s="2021"/>
      <c r="AF720" s="2018"/>
      <c r="AG720" s="477"/>
      <c r="AH720" s="2019"/>
      <c r="AI720" s="2021"/>
      <c r="AJ720" s="2018"/>
      <c r="AK720" s="477"/>
      <c r="AL720" s="2019"/>
      <c r="AM720" s="2021"/>
      <c r="AN720" s="2018"/>
      <c r="AO720" s="477"/>
      <c r="AP720" s="477"/>
      <c r="AQ720" s="477"/>
    </row>
    <row r="721" spans="1:43" ht="15">
      <c r="A721" s="477"/>
      <c r="B721" s="2019"/>
      <c r="C721" s="2021"/>
      <c r="D721" s="2018"/>
      <c r="E721" s="477"/>
      <c r="F721" s="2019"/>
      <c r="G721" s="2021"/>
      <c r="H721" s="2018"/>
      <c r="I721" s="477"/>
      <c r="J721" s="2019"/>
      <c r="K721" s="2021"/>
      <c r="L721" s="2018"/>
      <c r="M721" s="477"/>
      <c r="N721" s="2019"/>
      <c r="O721" s="2021"/>
      <c r="P721" s="2018"/>
      <c r="Q721" s="477"/>
      <c r="R721" s="2019"/>
      <c r="S721" s="2021"/>
      <c r="T721" s="2018"/>
      <c r="U721" s="477"/>
      <c r="V721" s="2019"/>
      <c r="W721" s="2021"/>
      <c r="X721" s="2018"/>
      <c r="Y721" s="477"/>
      <c r="Z721" s="2019"/>
      <c r="AA721" s="2021"/>
      <c r="AB721" s="2018"/>
      <c r="AC721" s="477"/>
      <c r="AD721" s="2019"/>
      <c r="AE721" s="2021"/>
      <c r="AF721" s="2018"/>
      <c r="AG721" s="477"/>
      <c r="AH721" s="2019"/>
      <c r="AI721" s="2021"/>
      <c r="AJ721" s="2018"/>
      <c r="AK721" s="477"/>
      <c r="AL721" s="2019"/>
      <c r="AM721" s="2021"/>
      <c r="AN721" s="2018"/>
      <c r="AO721" s="477"/>
      <c r="AP721" s="477"/>
      <c r="AQ721" s="477"/>
    </row>
    <row r="722" spans="1:43" ht="15">
      <c r="A722" s="477"/>
      <c r="B722" s="2019"/>
      <c r="C722" s="2021"/>
      <c r="D722" s="2018"/>
      <c r="E722" s="477"/>
      <c r="F722" s="2019"/>
      <c r="G722" s="2021"/>
      <c r="H722" s="2018"/>
      <c r="I722" s="477"/>
      <c r="J722" s="2019"/>
      <c r="K722" s="2021"/>
      <c r="L722" s="2018"/>
      <c r="M722" s="477"/>
      <c r="N722" s="2019"/>
      <c r="O722" s="2021"/>
      <c r="P722" s="2018"/>
      <c r="Q722" s="477"/>
      <c r="R722" s="2019"/>
      <c r="S722" s="2021"/>
      <c r="T722" s="2018"/>
      <c r="U722" s="477"/>
      <c r="V722" s="2019"/>
      <c r="W722" s="2021"/>
      <c r="X722" s="2018"/>
      <c r="Y722" s="477"/>
      <c r="Z722" s="2019"/>
      <c r="AA722" s="2021"/>
      <c r="AB722" s="2018"/>
      <c r="AC722" s="477"/>
      <c r="AD722" s="2019"/>
      <c r="AE722" s="2021"/>
      <c r="AF722" s="2018"/>
      <c r="AG722" s="477"/>
      <c r="AH722" s="2019"/>
      <c r="AI722" s="2021"/>
      <c r="AJ722" s="2018"/>
      <c r="AK722" s="477"/>
      <c r="AL722" s="2019"/>
      <c r="AM722" s="2021"/>
      <c r="AN722" s="2018"/>
      <c r="AO722" s="477"/>
      <c r="AP722" s="477"/>
      <c r="AQ722" s="477"/>
    </row>
    <row r="723" spans="1:43" ht="15">
      <c r="A723" s="477"/>
      <c r="B723" s="2019"/>
      <c r="C723" s="2021"/>
      <c r="D723" s="2018"/>
      <c r="E723" s="477"/>
      <c r="F723" s="2019"/>
      <c r="G723" s="2021"/>
      <c r="H723" s="2018"/>
      <c r="I723" s="477"/>
      <c r="J723" s="2019"/>
      <c r="K723" s="2021"/>
      <c r="L723" s="2018"/>
      <c r="M723" s="477"/>
      <c r="N723" s="2019"/>
      <c r="O723" s="2021"/>
      <c r="P723" s="2018"/>
      <c r="Q723" s="477"/>
      <c r="R723" s="2019"/>
      <c r="S723" s="2021"/>
      <c r="T723" s="2018"/>
      <c r="U723" s="477"/>
      <c r="V723" s="2019"/>
      <c r="W723" s="2021"/>
      <c r="X723" s="2018"/>
      <c r="Y723" s="477"/>
      <c r="Z723" s="2019"/>
      <c r="AA723" s="2021"/>
      <c r="AB723" s="2018"/>
      <c r="AC723" s="477"/>
      <c r="AD723" s="2019"/>
      <c r="AE723" s="2021"/>
      <c r="AF723" s="2018"/>
      <c r="AG723" s="477"/>
      <c r="AH723" s="2019"/>
      <c r="AI723" s="2021"/>
      <c r="AJ723" s="2018"/>
      <c r="AK723" s="477"/>
      <c r="AL723" s="2019"/>
      <c r="AM723" s="2021"/>
      <c r="AN723" s="2018"/>
      <c r="AO723" s="477"/>
      <c r="AP723" s="477"/>
      <c r="AQ723" s="477"/>
    </row>
    <row r="724" spans="1:43" ht="15">
      <c r="A724" s="477"/>
      <c r="B724" s="2019"/>
      <c r="C724" s="2021"/>
      <c r="D724" s="2018"/>
      <c r="E724" s="477"/>
      <c r="F724" s="2019"/>
      <c r="G724" s="2021"/>
      <c r="H724" s="2018"/>
      <c r="I724" s="477"/>
      <c r="J724" s="2019"/>
      <c r="K724" s="2021"/>
      <c r="L724" s="2018"/>
      <c r="M724" s="477"/>
      <c r="N724" s="2019"/>
      <c r="O724" s="2021"/>
      <c r="P724" s="2018"/>
      <c r="Q724" s="477"/>
      <c r="R724" s="2019"/>
      <c r="S724" s="2021"/>
      <c r="T724" s="2018"/>
      <c r="U724" s="477"/>
      <c r="V724" s="2019"/>
      <c r="W724" s="2021"/>
      <c r="X724" s="2018"/>
      <c r="Y724" s="477"/>
      <c r="Z724" s="2019"/>
      <c r="AA724" s="2021"/>
      <c r="AB724" s="2018"/>
      <c r="AC724" s="477"/>
      <c r="AD724" s="2019"/>
      <c r="AE724" s="2021"/>
      <c r="AF724" s="2018"/>
      <c r="AG724" s="477"/>
      <c r="AH724" s="2019"/>
      <c r="AI724" s="2021"/>
      <c r="AJ724" s="2018"/>
      <c r="AK724" s="477"/>
      <c r="AL724" s="2019"/>
      <c r="AM724" s="2021"/>
      <c r="AN724" s="2018"/>
      <c r="AO724" s="477"/>
      <c r="AP724" s="477"/>
      <c r="AQ724" s="477"/>
    </row>
    <row r="725" spans="1:43" ht="15">
      <c r="A725" s="477"/>
      <c r="B725" s="2019"/>
      <c r="C725" s="2021"/>
      <c r="D725" s="2018"/>
      <c r="E725" s="477"/>
      <c r="F725" s="2019"/>
      <c r="G725" s="2021"/>
      <c r="H725" s="2018"/>
      <c r="I725" s="477"/>
      <c r="J725" s="2019"/>
      <c r="K725" s="2021"/>
      <c r="L725" s="2018"/>
      <c r="M725" s="477"/>
      <c r="N725" s="2019"/>
      <c r="O725" s="2021"/>
      <c r="P725" s="2018"/>
      <c r="Q725" s="477"/>
      <c r="R725" s="2019"/>
      <c r="S725" s="2021"/>
      <c r="T725" s="2018"/>
      <c r="U725" s="477"/>
      <c r="V725" s="2019"/>
      <c r="W725" s="2021"/>
      <c r="X725" s="2018"/>
      <c r="Y725" s="477"/>
      <c r="Z725" s="2019"/>
      <c r="AA725" s="2021"/>
      <c r="AB725" s="2018"/>
      <c r="AC725" s="477"/>
      <c r="AD725" s="2019"/>
      <c r="AE725" s="2021"/>
      <c r="AF725" s="2018"/>
      <c r="AG725" s="477"/>
      <c r="AH725" s="2019"/>
      <c r="AI725" s="2021"/>
      <c r="AJ725" s="2018"/>
      <c r="AK725" s="477"/>
      <c r="AL725" s="2019"/>
      <c r="AM725" s="2021"/>
      <c r="AN725" s="2018"/>
      <c r="AO725" s="477"/>
      <c r="AP725" s="477"/>
      <c r="AQ725" s="477"/>
    </row>
    <row r="726" spans="1:43" ht="15">
      <c r="A726" s="477"/>
      <c r="B726" s="2019"/>
      <c r="C726" s="2021"/>
      <c r="D726" s="2018"/>
      <c r="E726" s="477"/>
      <c r="F726" s="2019"/>
      <c r="G726" s="2021"/>
      <c r="H726" s="2018"/>
      <c r="I726" s="477"/>
      <c r="J726" s="2019"/>
      <c r="K726" s="2021"/>
      <c r="L726" s="2018"/>
      <c r="M726" s="477"/>
      <c r="N726" s="2019"/>
      <c r="O726" s="2021"/>
      <c r="P726" s="2018"/>
      <c r="Q726" s="477"/>
      <c r="R726" s="2019"/>
      <c r="S726" s="2021"/>
      <c r="T726" s="2018"/>
      <c r="U726" s="477"/>
      <c r="V726" s="2019"/>
      <c r="W726" s="2021"/>
      <c r="X726" s="2018"/>
      <c r="Y726" s="477"/>
      <c r="Z726" s="2019"/>
      <c r="AA726" s="2021"/>
      <c r="AB726" s="2018"/>
      <c r="AC726" s="477"/>
      <c r="AD726" s="2019"/>
      <c r="AE726" s="2021"/>
      <c r="AF726" s="2018"/>
      <c r="AG726" s="477"/>
      <c r="AH726" s="2019"/>
      <c r="AI726" s="2021"/>
      <c r="AJ726" s="2018"/>
      <c r="AK726" s="477"/>
      <c r="AL726" s="2019"/>
      <c r="AM726" s="2021"/>
      <c r="AN726" s="2018"/>
      <c r="AO726" s="477"/>
      <c r="AP726" s="477"/>
      <c r="AQ726" s="477"/>
    </row>
    <row r="727" spans="1:43" ht="15">
      <c r="A727" s="477"/>
      <c r="B727" s="2019"/>
      <c r="C727" s="2021"/>
      <c r="D727" s="2018"/>
      <c r="E727" s="477"/>
      <c r="F727" s="2019"/>
      <c r="G727" s="2021"/>
      <c r="H727" s="2018"/>
      <c r="I727" s="477"/>
      <c r="J727" s="2019"/>
      <c r="K727" s="2021"/>
      <c r="L727" s="2018"/>
      <c r="M727" s="477"/>
      <c r="N727" s="2019"/>
      <c r="O727" s="2021"/>
      <c r="P727" s="2018"/>
      <c r="Q727" s="477"/>
      <c r="R727" s="2019"/>
      <c r="S727" s="2021"/>
      <c r="T727" s="2018"/>
      <c r="U727" s="477"/>
      <c r="V727" s="2019"/>
      <c r="W727" s="2021"/>
      <c r="X727" s="2018"/>
      <c r="Y727" s="477"/>
      <c r="Z727" s="2019"/>
      <c r="AA727" s="2021"/>
      <c r="AB727" s="2018"/>
      <c r="AC727" s="477"/>
      <c r="AD727" s="2019"/>
      <c r="AE727" s="2021"/>
      <c r="AF727" s="2018"/>
      <c r="AG727" s="477"/>
      <c r="AH727" s="2019"/>
      <c r="AI727" s="2021"/>
      <c r="AJ727" s="2018"/>
      <c r="AK727" s="477"/>
      <c r="AL727" s="2019"/>
      <c r="AM727" s="2021"/>
      <c r="AN727" s="2018"/>
      <c r="AO727" s="477"/>
      <c r="AP727" s="477"/>
      <c r="AQ727" s="477"/>
    </row>
    <row r="728" spans="1:43" ht="15">
      <c r="A728" s="477"/>
      <c r="B728" s="2019"/>
      <c r="C728" s="2021"/>
      <c r="D728" s="2018"/>
      <c r="E728" s="477"/>
      <c r="F728" s="2019"/>
      <c r="G728" s="2021"/>
      <c r="H728" s="2018"/>
      <c r="I728" s="477"/>
      <c r="J728" s="2019"/>
      <c r="K728" s="2021"/>
      <c r="L728" s="2018"/>
      <c r="M728" s="477"/>
      <c r="N728" s="2019"/>
      <c r="O728" s="2021"/>
      <c r="P728" s="2018"/>
      <c r="Q728" s="477"/>
      <c r="R728" s="2019"/>
      <c r="S728" s="2021"/>
      <c r="T728" s="2018"/>
      <c r="U728" s="477"/>
      <c r="V728" s="2019"/>
      <c r="W728" s="2021"/>
      <c r="X728" s="2018"/>
      <c r="Y728" s="477"/>
      <c r="Z728" s="2019"/>
      <c r="AA728" s="2021"/>
      <c r="AB728" s="2018"/>
      <c r="AC728" s="477"/>
      <c r="AD728" s="2019"/>
      <c r="AE728" s="2021"/>
      <c r="AF728" s="2018"/>
      <c r="AG728" s="477"/>
      <c r="AH728" s="2019"/>
      <c r="AI728" s="2021"/>
      <c r="AJ728" s="2018"/>
      <c r="AK728" s="477"/>
      <c r="AL728" s="2019"/>
      <c r="AM728" s="2021"/>
      <c r="AN728" s="2018"/>
      <c r="AO728" s="477"/>
      <c r="AP728" s="477"/>
      <c r="AQ728" s="477"/>
    </row>
    <row r="729" spans="1:43" ht="15">
      <c r="A729" s="477"/>
      <c r="B729" s="2019"/>
      <c r="C729" s="2021"/>
      <c r="D729" s="2018"/>
      <c r="E729" s="477"/>
      <c r="F729" s="2019"/>
      <c r="G729" s="2021"/>
      <c r="H729" s="2018"/>
      <c r="I729" s="477"/>
      <c r="J729" s="2019"/>
      <c r="K729" s="2021"/>
      <c r="L729" s="2018"/>
      <c r="M729" s="477"/>
      <c r="N729" s="2019"/>
      <c r="O729" s="2021"/>
      <c r="P729" s="2018"/>
      <c r="Q729" s="477"/>
      <c r="R729" s="2019"/>
      <c r="S729" s="2021"/>
      <c r="T729" s="2018"/>
      <c r="U729" s="477"/>
      <c r="V729" s="2019"/>
      <c r="W729" s="2021"/>
      <c r="X729" s="2018"/>
      <c r="Y729" s="477"/>
      <c r="Z729" s="2019"/>
      <c r="AA729" s="2021"/>
      <c r="AB729" s="2018"/>
      <c r="AC729" s="477"/>
      <c r="AD729" s="2019"/>
      <c r="AE729" s="2021"/>
      <c r="AF729" s="2018"/>
      <c r="AG729" s="477"/>
      <c r="AH729" s="2019"/>
      <c r="AI729" s="2021"/>
      <c r="AJ729" s="2018"/>
      <c r="AK729" s="477"/>
      <c r="AL729" s="2019"/>
      <c r="AM729" s="2021"/>
      <c r="AN729" s="2018"/>
      <c r="AO729" s="477"/>
      <c r="AP729" s="477"/>
      <c r="AQ729" s="477"/>
    </row>
    <row r="730" spans="1:43" ht="15">
      <c r="A730" s="477"/>
      <c r="B730" s="2019"/>
      <c r="C730" s="2021"/>
      <c r="D730" s="2018"/>
      <c r="E730" s="477"/>
      <c r="F730" s="2019"/>
      <c r="G730" s="2021"/>
      <c r="H730" s="2018"/>
      <c r="I730" s="477"/>
      <c r="J730" s="2019"/>
      <c r="K730" s="2021"/>
      <c r="L730" s="2018"/>
      <c r="M730" s="477"/>
      <c r="N730" s="2019"/>
      <c r="O730" s="2021"/>
      <c r="P730" s="2018"/>
      <c r="Q730" s="477"/>
      <c r="R730" s="2019"/>
      <c r="S730" s="2021"/>
      <c r="T730" s="2018"/>
      <c r="U730" s="477"/>
      <c r="V730" s="2019"/>
      <c r="W730" s="2021"/>
      <c r="X730" s="2018"/>
      <c r="Y730" s="477"/>
      <c r="Z730" s="2019"/>
      <c r="AA730" s="2021"/>
      <c r="AB730" s="2018"/>
      <c r="AC730" s="477"/>
      <c r="AD730" s="2019"/>
      <c r="AE730" s="2021"/>
      <c r="AF730" s="2018"/>
      <c r="AG730" s="477"/>
      <c r="AH730" s="2019"/>
      <c r="AI730" s="2021"/>
      <c r="AJ730" s="2018"/>
      <c r="AK730" s="477"/>
      <c r="AL730" s="2019"/>
      <c r="AM730" s="2021"/>
      <c r="AN730" s="2018"/>
      <c r="AO730" s="477"/>
      <c r="AP730" s="477"/>
      <c r="AQ730" s="477"/>
    </row>
    <row r="731" spans="1:43" ht="15">
      <c r="A731" s="477"/>
      <c r="B731" s="2019"/>
      <c r="C731" s="2021"/>
      <c r="D731" s="2018"/>
      <c r="E731" s="477"/>
      <c r="F731" s="2019"/>
      <c r="G731" s="2021"/>
      <c r="H731" s="2018"/>
      <c r="I731" s="477"/>
      <c r="J731" s="2019"/>
      <c r="K731" s="2021"/>
      <c r="L731" s="2018"/>
      <c r="M731" s="477"/>
      <c r="N731" s="2019"/>
      <c r="O731" s="2021"/>
      <c r="P731" s="2018"/>
      <c r="Q731" s="477"/>
      <c r="R731" s="2019"/>
      <c r="S731" s="2021"/>
      <c r="T731" s="2018"/>
      <c r="U731" s="477"/>
      <c r="V731" s="2019"/>
      <c r="W731" s="2021"/>
      <c r="X731" s="2018"/>
      <c r="Y731" s="477"/>
      <c r="Z731" s="2019"/>
      <c r="AA731" s="2021"/>
      <c r="AB731" s="2018"/>
      <c r="AC731" s="477"/>
      <c r="AD731" s="2019"/>
      <c r="AE731" s="2021"/>
      <c r="AF731" s="2018"/>
      <c r="AG731" s="477"/>
      <c r="AH731" s="2019"/>
      <c r="AI731" s="2021"/>
      <c r="AJ731" s="2018"/>
      <c r="AK731" s="477"/>
      <c r="AL731" s="2019"/>
      <c r="AM731" s="2021"/>
      <c r="AN731" s="2018"/>
      <c r="AO731" s="477"/>
      <c r="AP731" s="477"/>
      <c r="AQ731" s="477"/>
    </row>
    <row r="732" spans="1:43" ht="15">
      <c r="A732" s="477"/>
      <c r="B732" s="2019"/>
      <c r="C732" s="2021"/>
      <c r="D732" s="2018"/>
      <c r="E732" s="477"/>
      <c r="F732" s="2019"/>
      <c r="G732" s="2021"/>
      <c r="H732" s="2018"/>
      <c r="I732" s="477"/>
      <c r="J732" s="2019"/>
      <c r="K732" s="2021"/>
      <c r="L732" s="2018"/>
      <c r="M732" s="477"/>
      <c r="N732" s="2019"/>
      <c r="O732" s="2021"/>
      <c r="P732" s="2018"/>
      <c r="Q732" s="477"/>
      <c r="R732" s="2019"/>
      <c r="S732" s="2021"/>
      <c r="T732" s="2018"/>
      <c r="U732" s="477"/>
      <c r="V732" s="2019"/>
      <c r="W732" s="2021"/>
      <c r="X732" s="2018"/>
      <c r="Y732" s="477"/>
      <c r="Z732" s="2019"/>
      <c r="AA732" s="2021"/>
      <c r="AB732" s="2018"/>
      <c r="AC732" s="477"/>
      <c r="AD732" s="2019"/>
      <c r="AE732" s="2021"/>
      <c r="AF732" s="2018"/>
      <c r="AG732" s="477"/>
      <c r="AH732" s="2019"/>
      <c r="AI732" s="2021"/>
      <c r="AJ732" s="2018"/>
      <c r="AK732" s="477"/>
      <c r="AL732" s="2019"/>
      <c r="AM732" s="2021"/>
      <c r="AN732" s="2018"/>
      <c r="AO732" s="477"/>
      <c r="AP732" s="477"/>
      <c r="AQ732" s="477"/>
    </row>
    <row r="733" spans="1:43" ht="15">
      <c r="A733" s="477"/>
      <c r="B733" s="2019"/>
      <c r="C733" s="2021"/>
      <c r="D733" s="2018"/>
      <c r="E733" s="477"/>
      <c r="F733" s="2019"/>
      <c r="G733" s="2021"/>
      <c r="H733" s="2018"/>
      <c r="I733" s="477"/>
      <c r="J733" s="2019"/>
      <c r="K733" s="2021"/>
      <c r="L733" s="2018"/>
      <c r="M733" s="477"/>
      <c r="N733" s="2019"/>
      <c r="O733" s="2021"/>
      <c r="P733" s="2018"/>
      <c r="Q733" s="477"/>
      <c r="R733" s="2019"/>
      <c r="S733" s="2021"/>
      <c r="T733" s="2018"/>
      <c r="U733" s="477"/>
      <c r="V733" s="2019"/>
      <c r="W733" s="2021"/>
      <c r="X733" s="2018"/>
      <c r="Y733" s="477"/>
      <c r="Z733" s="2019"/>
      <c r="AA733" s="2021"/>
      <c r="AB733" s="2018"/>
      <c r="AC733" s="477"/>
      <c r="AD733" s="2019"/>
      <c r="AE733" s="2021"/>
      <c r="AF733" s="2018"/>
      <c r="AG733" s="477"/>
      <c r="AH733" s="2019"/>
      <c r="AI733" s="2021"/>
      <c r="AJ733" s="2018"/>
      <c r="AK733" s="477"/>
      <c r="AL733" s="2019"/>
      <c r="AM733" s="2021"/>
      <c r="AN733" s="2018"/>
      <c r="AO733" s="477"/>
      <c r="AP733" s="477"/>
      <c r="AQ733" s="477"/>
    </row>
    <row r="734" spans="1:43" ht="15">
      <c r="A734" s="477"/>
      <c r="B734" s="2019"/>
      <c r="C734" s="2021"/>
      <c r="D734" s="2018"/>
      <c r="E734" s="477"/>
      <c r="F734" s="2019"/>
      <c r="G734" s="2021"/>
      <c r="H734" s="2018"/>
      <c r="I734" s="477"/>
      <c r="J734" s="2019"/>
      <c r="K734" s="2021"/>
      <c r="L734" s="2018"/>
      <c r="M734" s="477"/>
      <c r="N734" s="2019"/>
      <c r="O734" s="2021"/>
      <c r="P734" s="2018"/>
      <c r="Q734" s="477"/>
      <c r="R734" s="2019"/>
      <c r="S734" s="2021"/>
      <c r="T734" s="2018"/>
      <c r="U734" s="477"/>
      <c r="V734" s="2019"/>
      <c r="W734" s="2021"/>
      <c r="X734" s="2018"/>
      <c r="Y734" s="477"/>
      <c r="Z734" s="2019"/>
      <c r="AA734" s="2021"/>
      <c r="AB734" s="2018"/>
      <c r="AC734" s="477"/>
      <c r="AD734" s="2019"/>
      <c r="AE734" s="2021"/>
      <c r="AF734" s="2018"/>
      <c r="AG734" s="477"/>
      <c r="AH734" s="2019"/>
      <c r="AI734" s="2021"/>
      <c r="AJ734" s="2018"/>
      <c r="AK734" s="477"/>
      <c r="AL734" s="2019"/>
      <c r="AM734" s="2021"/>
      <c r="AN734" s="2018"/>
      <c r="AO734" s="477"/>
      <c r="AP734" s="477"/>
      <c r="AQ734" s="477"/>
    </row>
    <row r="735" spans="1:43" ht="15">
      <c r="A735" s="477"/>
      <c r="B735" s="2019"/>
      <c r="C735" s="2021"/>
      <c r="D735" s="2018"/>
      <c r="E735" s="477"/>
      <c r="F735" s="2019"/>
      <c r="G735" s="2021"/>
      <c r="H735" s="2018"/>
      <c r="I735" s="477"/>
      <c r="J735" s="2019"/>
      <c r="K735" s="2021"/>
      <c r="L735" s="2018"/>
      <c r="M735" s="477"/>
      <c r="N735" s="2019"/>
      <c r="O735" s="2021"/>
      <c r="P735" s="2018"/>
      <c r="Q735" s="477"/>
      <c r="R735" s="2019"/>
      <c r="S735" s="2021"/>
      <c r="T735" s="2018"/>
      <c r="U735" s="477"/>
      <c r="V735" s="2019"/>
      <c r="W735" s="2021"/>
      <c r="X735" s="2018"/>
      <c r="Y735" s="477"/>
      <c r="Z735" s="2019"/>
      <c r="AA735" s="2021"/>
      <c r="AB735" s="2018"/>
      <c r="AC735" s="477"/>
      <c r="AD735" s="2019"/>
      <c r="AE735" s="2021"/>
      <c r="AF735" s="2018"/>
      <c r="AG735" s="477"/>
      <c r="AH735" s="2019"/>
      <c r="AI735" s="2021"/>
      <c r="AJ735" s="2018"/>
      <c r="AK735" s="477"/>
      <c r="AL735" s="2019"/>
      <c r="AM735" s="2021"/>
      <c r="AN735" s="2018"/>
      <c r="AO735" s="477"/>
      <c r="AP735" s="477"/>
      <c r="AQ735" s="477"/>
    </row>
    <row r="736" spans="1:43" ht="15">
      <c r="A736" s="477"/>
      <c r="B736" s="2019"/>
      <c r="C736" s="2021"/>
      <c r="D736" s="2018"/>
      <c r="E736" s="477"/>
      <c r="F736" s="2019"/>
      <c r="G736" s="2021"/>
      <c r="H736" s="2018"/>
      <c r="I736" s="477"/>
      <c r="J736" s="2019"/>
      <c r="K736" s="2021"/>
      <c r="L736" s="2018"/>
      <c r="M736" s="477"/>
      <c r="N736" s="2019"/>
      <c r="O736" s="2021"/>
      <c r="P736" s="2018"/>
      <c r="Q736" s="477"/>
      <c r="R736" s="2019"/>
      <c r="S736" s="2021"/>
      <c r="T736" s="2018"/>
      <c r="U736" s="477"/>
      <c r="V736" s="2019"/>
      <c r="W736" s="2021"/>
      <c r="X736" s="2018"/>
      <c r="Y736" s="477"/>
      <c r="Z736" s="2019"/>
      <c r="AA736" s="2021"/>
      <c r="AB736" s="2018"/>
      <c r="AC736" s="477"/>
      <c r="AD736" s="2019"/>
      <c r="AE736" s="2021"/>
      <c r="AF736" s="2018"/>
      <c r="AG736" s="477"/>
      <c r="AH736" s="2019"/>
      <c r="AI736" s="2021"/>
      <c r="AJ736" s="2018"/>
      <c r="AK736" s="477"/>
      <c r="AL736" s="2019"/>
      <c r="AM736" s="2021"/>
      <c r="AN736" s="2018"/>
      <c r="AO736" s="477"/>
      <c r="AP736" s="477"/>
      <c r="AQ736" s="477"/>
    </row>
    <row r="737" spans="1:43" ht="15">
      <c r="A737" s="477"/>
      <c r="B737" s="2019"/>
      <c r="C737" s="2021"/>
      <c r="D737" s="2018"/>
      <c r="E737" s="477"/>
      <c r="F737" s="2019"/>
      <c r="G737" s="2021"/>
      <c r="H737" s="2018"/>
      <c r="I737" s="477"/>
      <c r="J737" s="2019"/>
      <c r="K737" s="2021"/>
      <c r="L737" s="2018"/>
      <c r="M737" s="477"/>
      <c r="N737" s="2019"/>
      <c r="O737" s="2021"/>
      <c r="P737" s="2018"/>
      <c r="Q737" s="477"/>
      <c r="R737" s="2019"/>
      <c r="S737" s="2021"/>
      <c r="T737" s="2018"/>
      <c r="U737" s="477"/>
      <c r="V737" s="2019"/>
      <c r="W737" s="2021"/>
      <c r="X737" s="2018"/>
      <c r="Y737" s="477"/>
      <c r="Z737" s="2019"/>
      <c r="AA737" s="2021"/>
      <c r="AB737" s="2018"/>
      <c r="AC737" s="477"/>
      <c r="AD737" s="2019"/>
      <c r="AE737" s="2021"/>
      <c r="AF737" s="2018"/>
      <c r="AG737" s="477"/>
      <c r="AH737" s="2019"/>
      <c r="AI737" s="2021"/>
      <c r="AJ737" s="2018"/>
      <c r="AK737" s="477"/>
      <c r="AL737" s="2019"/>
      <c r="AM737" s="2021"/>
      <c r="AN737" s="2018"/>
      <c r="AO737" s="477"/>
      <c r="AP737" s="477"/>
      <c r="AQ737" s="477"/>
    </row>
    <row r="738" spans="1:43" ht="15">
      <c r="A738" s="477"/>
      <c r="B738" s="2019"/>
      <c r="C738" s="2021"/>
      <c r="D738" s="2018"/>
      <c r="E738" s="477"/>
      <c r="F738" s="2019"/>
      <c r="G738" s="2021"/>
      <c r="H738" s="2018"/>
      <c r="I738" s="477"/>
      <c r="J738" s="2019"/>
      <c r="K738" s="2021"/>
      <c r="L738" s="2018"/>
      <c r="M738" s="477"/>
      <c r="N738" s="2019"/>
      <c r="O738" s="2021"/>
      <c r="P738" s="2018"/>
      <c r="Q738" s="477"/>
      <c r="R738" s="2019"/>
      <c r="S738" s="2021"/>
      <c r="T738" s="2018"/>
      <c r="U738" s="477"/>
      <c r="V738" s="2019"/>
      <c r="W738" s="2021"/>
      <c r="X738" s="2018"/>
      <c r="Y738" s="477"/>
      <c r="Z738" s="2019"/>
      <c r="AA738" s="2021"/>
      <c r="AB738" s="2018"/>
      <c r="AC738" s="477"/>
      <c r="AD738" s="2019"/>
      <c r="AE738" s="2021"/>
      <c r="AF738" s="2018"/>
      <c r="AG738" s="477"/>
      <c r="AH738" s="2019"/>
      <c r="AI738" s="2021"/>
      <c r="AJ738" s="2018"/>
      <c r="AK738" s="477"/>
      <c r="AL738" s="2019"/>
      <c r="AM738" s="2021"/>
      <c r="AN738" s="2018"/>
      <c r="AO738" s="477"/>
      <c r="AP738" s="477"/>
      <c r="AQ738" s="477"/>
    </row>
    <row r="739" spans="1:43" ht="15">
      <c r="A739" s="477"/>
      <c r="B739" s="2019"/>
      <c r="C739" s="2021"/>
      <c r="D739" s="2018"/>
      <c r="E739" s="477"/>
      <c r="F739" s="2019"/>
      <c r="G739" s="2021"/>
      <c r="H739" s="2018"/>
      <c r="I739" s="477"/>
      <c r="J739" s="2019"/>
      <c r="K739" s="2021"/>
      <c r="L739" s="2018"/>
      <c r="M739" s="477"/>
      <c r="N739" s="2019"/>
      <c r="O739" s="2021"/>
      <c r="P739" s="2018"/>
      <c r="Q739" s="477"/>
      <c r="R739" s="2019"/>
      <c r="S739" s="2021"/>
      <c r="T739" s="2018"/>
      <c r="U739" s="477"/>
      <c r="V739" s="2019"/>
      <c r="W739" s="2021"/>
      <c r="X739" s="2018"/>
      <c r="Y739" s="477"/>
      <c r="Z739" s="2019"/>
      <c r="AA739" s="2021"/>
      <c r="AB739" s="2018"/>
      <c r="AC739" s="477"/>
      <c r="AD739" s="2019"/>
      <c r="AE739" s="2021"/>
      <c r="AF739" s="2018"/>
      <c r="AG739" s="477"/>
      <c r="AH739" s="2019"/>
      <c r="AI739" s="2021"/>
      <c r="AJ739" s="2018"/>
      <c r="AK739" s="477"/>
      <c r="AL739" s="2019"/>
      <c r="AM739" s="2021"/>
      <c r="AN739" s="2018"/>
      <c r="AO739" s="477"/>
      <c r="AP739" s="477"/>
      <c r="AQ739" s="477"/>
    </row>
    <row r="740" spans="1:43" ht="15">
      <c r="A740" s="477"/>
      <c r="B740" s="2019"/>
      <c r="C740" s="2021"/>
      <c r="D740" s="2018"/>
      <c r="E740" s="477"/>
      <c r="F740" s="2019"/>
      <c r="G740" s="2021"/>
      <c r="H740" s="2018"/>
      <c r="I740" s="477"/>
      <c r="J740" s="2019"/>
      <c r="K740" s="2021"/>
      <c r="L740" s="2018"/>
      <c r="M740" s="477"/>
      <c r="N740" s="2019"/>
      <c r="O740" s="2021"/>
      <c r="P740" s="2018"/>
      <c r="Q740" s="477"/>
      <c r="R740" s="2019"/>
      <c r="S740" s="2021"/>
      <c r="T740" s="2018"/>
      <c r="U740" s="477"/>
      <c r="V740" s="2019"/>
      <c r="W740" s="2021"/>
      <c r="X740" s="2018"/>
      <c r="Y740" s="477"/>
      <c r="Z740" s="2019"/>
      <c r="AA740" s="2021"/>
      <c r="AB740" s="2018"/>
      <c r="AC740" s="477"/>
      <c r="AD740" s="2019"/>
      <c r="AE740" s="2021"/>
      <c r="AF740" s="2018"/>
      <c r="AG740" s="477"/>
      <c r="AH740" s="2019"/>
      <c r="AI740" s="2021"/>
      <c r="AJ740" s="2018"/>
      <c r="AK740" s="477"/>
      <c r="AL740" s="2019"/>
      <c r="AM740" s="2021"/>
      <c r="AN740" s="2018"/>
      <c r="AO740" s="477"/>
      <c r="AP740" s="477"/>
      <c r="AQ740" s="477"/>
    </row>
    <row r="741" spans="1:43" ht="15">
      <c r="A741" s="477"/>
      <c r="B741" s="2019"/>
      <c r="C741" s="2021"/>
      <c r="D741" s="2018"/>
      <c r="E741" s="477"/>
      <c r="F741" s="2019"/>
      <c r="G741" s="2021"/>
      <c r="H741" s="2018"/>
      <c r="I741" s="477"/>
      <c r="J741" s="2019"/>
      <c r="K741" s="2021"/>
      <c r="L741" s="2018"/>
      <c r="M741" s="477"/>
      <c r="N741" s="2019"/>
      <c r="O741" s="2021"/>
      <c r="P741" s="2018"/>
      <c r="Q741" s="477"/>
      <c r="R741" s="2019"/>
      <c r="S741" s="2021"/>
      <c r="T741" s="2018"/>
      <c r="U741" s="477"/>
      <c r="V741" s="2019"/>
      <c r="W741" s="2021"/>
      <c r="X741" s="2018"/>
      <c r="Y741" s="477"/>
      <c r="Z741" s="2019"/>
      <c r="AA741" s="2021"/>
      <c r="AB741" s="2018"/>
      <c r="AC741" s="477"/>
      <c r="AD741" s="2019"/>
      <c r="AE741" s="2021"/>
      <c r="AF741" s="2018"/>
      <c r="AG741" s="477"/>
      <c r="AH741" s="2019"/>
      <c r="AI741" s="2021"/>
      <c r="AJ741" s="2018"/>
      <c r="AK741" s="477"/>
      <c r="AL741" s="2019"/>
      <c r="AM741" s="2021"/>
      <c r="AN741" s="2018"/>
      <c r="AO741" s="477"/>
      <c r="AP741" s="477"/>
      <c r="AQ741" s="477"/>
    </row>
    <row r="742" spans="1:43" ht="15">
      <c r="A742" s="477"/>
      <c r="B742" s="2019"/>
      <c r="C742" s="2021"/>
      <c r="D742" s="2018"/>
      <c r="E742" s="477"/>
      <c r="F742" s="2019"/>
      <c r="G742" s="2021"/>
      <c r="H742" s="2018"/>
      <c r="I742" s="477"/>
      <c r="J742" s="2019"/>
      <c r="K742" s="2021"/>
      <c r="L742" s="2018"/>
      <c r="M742" s="477"/>
      <c r="N742" s="2019"/>
      <c r="O742" s="2021"/>
      <c r="P742" s="2018"/>
      <c r="Q742" s="477"/>
      <c r="R742" s="2019"/>
      <c r="S742" s="2021"/>
      <c r="T742" s="2018"/>
      <c r="U742" s="477"/>
      <c r="V742" s="2019"/>
      <c r="W742" s="2021"/>
      <c r="X742" s="2018"/>
      <c r="Y742" s="477"/>
      <c r="Z742" s="2019"/>
      <c r="AA742" s="2021"/>
      <c r="AB742" s="2018"/>
      <c r="AC742" s="477"/>
      <c r="AD742" s="2019"/>
      <c r="AE742" s="2021"/>
      <c r="AF742" s="2018"/>
      <c r="AG742" s="477"/>
      <c r="AH742" s="2019"/>
      <c r="AI742" s="2021"/>
      <c r="AJ742" s="2018"/>
      <c r="AK742" s="477"/>
      <c r="AL742" s="2019"/>
      <c r="AM742" s="2021"/>
      <c r="AN742" s="2018"/>
      <c r="AO742" s="477"/>
      <c r="AP742" s="477"/>
      <c r="AQ742" s="477"/>
    </row>
    <row r="743" spans="1:43" ht="15">
      <c r="A743" s="477"/>
      <c r="B743" s="2019"/>
      <c r="C743" s="2021"/>
      <c r="D743" s="2018"/>
      <c r="E743" s="477"/>
      <c r="F743" s="2019"/>
      <c r="G743" s="2021"/>
      <c r="H743" s="2018"/>
      <c r="I743" s="477"/>
      <c r="J743" s="2019"/>
      <c r="K743" s="2021"/>
      <c r="L743" s="2018"/>
      <c r="M743" s="477"/>
      <c r="N743" s="2019"/>
      <c r="O743" s="2021"/>
      <c r="P743" s="2018"/>
      <c r="Q743" s="477"/>
      <c r="R743" s="2019"/>
      <c r="S743" s="2021"/>
      <c r="T743" s="2018"/>
      <c r="U743" s="477"/>
      <c r="V743" s="2019"/>
      <c r="W743" s="2021"/>
      <c r="X743" s="2018"/>
      <c r="Y743" s="477"/>
      <c r="Z743" s="2019"/>
      <c r="AA743" s="2021"/>
      <c r="AB743" s="2018"/>
      <c r="AC743" s="477"/>
      <c r="AD743" s="2019"/>
      <c r="AE743" s="2021"/>
      <c r="AF743" s="2018"/>
      <c r="AG743" s="477"/>
      <c r="AH743" s="2019"/>
      <c r="AI743" s="2021"/>
      <c r="AJ743" s="2018"/>
      <c r="AK743" s="477"/>
      <c r="AL743" s="2019"/>
      <c r="AM743" s="2021"/>
      <c r="AN743" s="2018"/>
      <c r="AO743" s="477"/>
      <c r="AP743" s="477"/>
      <c r="AQ743" s="477"/>
    </row>
    <row r="744" spans="1:43" ht="15">
      <c r="A744" s="477"/>
      <c r="B744" s="2019"/>
      <c r="C744" s="2021"/>
      <c r="D744" s="2018"/>
      <c r="E744" s="477"/>
      <c r="F744" s="2019"/>
      <c r="G744" s="2021"/>
      <c r="H744" s="2018"/>
      <c r="I744" s="477"/>
      <c r="J744" s="2019"/>
      <c r="K744" s="2021"/>
      <c r="L744" s="2018"/>
      <c r="M744" s="477"/>
      <c r="N744" s="2019"/>
      <c r="O744" s="2021"/>
      <c r="P744" s="2018"/>
      <c r="Q744" s="477"/>
      <c r="R744" s="2019"/>
      <c r="S744" s="2021"/>
      <c r="T744" s="2018"/>
      <c r="U744" s="477"/>
      <c r="V744" s="2019"/>
      <c r="W744" s="2021"/>
      <c r="X744" s="2018"/>
      <c r="Y744" s="477"/>
      <c r="Z744" s="2019"/>
      <c r="AA744" s="2021"/>
      <c r="AB744" s="2018"/>
      <c r="AC744" s="477"/>
      <c r="AD744" s="2019"/>
      <c r="AE744" s="2021"/>
      <c r="AF744" s="2018"/>
      <c r="AG744" s="477"/>
      <c r="AH744" s="2019"/>
      <c r="AI744" s="2021"/>
      <c r="AJ744" s="2018"/>
      <c r="AK744" s="477"/>
      <c r="AL744" s="2019"/>
      <c r="AM744" s="2021"/>
      <c r="AN744" s="2018"/>
      <c r="AO744" s="477"/>
      <c r="AP744" s="477"/>
      <c r="AQ744" s="477"/>
    </row>
    <row r="745" spans="1:43" ht="15">
      <c r="A745" s="477"/>
      <c r="B745" s="2019"/>
      <c r="C745" s="2021"/>
      <c r="D745" s="2018"/>
      <c r="E745" s="477"/>
      <c r="F745" s="2019"/>
      <c r="G745" s="2021"/>
      <c r="H745" s="2018"/>
      <c r="I745" s="477"/>
      <c r="J745" s="2019"/>
      <c r="K745" s="2021"/>
      <c r="L745" s="2018"/>
      <c r="M745" s="477"/>
      <c r="N745" s="2019"/>
      <c r="O745" s="2021"/>
      <c r="P745" s="2018"/>
      <c r="Q745" s="477"/>
      <c r="R745" s="2019"/>
      <c r="S745" s="2021"/>
      <c r="T745" s="2018"/>
      <c r="U745" s="477"/>
      <c r="V745" s="2019"/>
      <c r="W745" s="2021"/>
      <c r="X745" s="2018"/>
      <c r="Y745" s="477"/>
      <c r="Z745" s="2019"/>
      <c r="AA745" s="2021"/>
      <c r="AB745" s="2018"/>
      <c r="AC745" s="477"/>
      <c r="AD745" s="2019"/>
      <c r="AE745" s="2021"/>
      <c r="AF745" s="2018"/>
      <c r="AG745" s="477"/>
      <c r="AH745" s="2019"/>
      <c r="AI745" s="2021"/>
      <c r="AJ745" s="2018"/>
      <c r="AK745" s="477"/>
      <c r="AL745" s="2019"/>
      <c r="AM745" s="2021"/>
      <c r="AN745" s="2018"/>
      <c r="AO745" s="477"/>
      <c r="AP745" s="477"/>
      <c r="AQ745" s="477"/>
    </row>
    <row r="746" spans="1:43" ht="15">
      <c r="A746" s="477"/>
      <c r="B746" s="2019"/>
      <c r="C746" s="2021"/>
      <c r="D746" s="2018"/>
      <c r="E746" s="477"/>
      <c r="F746" s="2019"/>
      <c r="G746" s="2021"/>
      <c r="H746" s="2018"/>
      <c r="I746" s="477"/>
      <c r="J746" s="2019"/>
      <c r="K746" s="2021"/>
      <c r="L746" s="2018"/>
      <c r="M746" s="477"/>
      <c r="N746" s="2019"/>
      <c r="O746" s="2021"/>
      <c r="P746" s="2018"/>
      <c r="Q746" s="477"/>
      <c r="R746" s="2019"/>
      <c r="S746" s="2021"/>
      <c r="T746" s="2018"/>
      <c r="U746" s="477"/>
      <c r="V746" s="2019"/>
      <c r="W746" s="2021"/>
      <c r="X746" s="2018"/>
      <c r="Y746" s="477"/>
      <c r="Z746" s="2019"/>
      <c r="AA746" s="2021"/>
      <c r="AB746" s="2018"/>
      <c r="AC746" s="477"/>
      <c r="AD746" s="2019"/>
      <c r="AE746" s="2021"/>
      <c r="AF746" s="2018"/>
      <c r="AG746" s="477"/>
      <c r="AH746" s="2019"/>
      <c r="AI746" s="2021"/>
      <c r="AJ746" s="2018"/>
      <c r="AK746" s="477"/>
      <c r="AL746" s="2019"/>
      <c r="AM746" s="2021"/>
      <c r="AN746" s="2018"/>
      <c r="AO746" s="477"/>
      <c r="AP746" s="477"/>
      <c r="AQ746" s="477"/>
    </row>
    <row r="747" spans="1:43" ht="15">
      <c r="A747" s="477"/>
      <c r="B747" s="2019"/>
      <c r="C747" s="2021"/>
      <c r="D747" s="2018"/>
      <c r="E747" s="477"/>
      <c r="F747" s="2019"/>
      <c r="G747" s="2021"/>
      <c r="H747" s="2018"/>
      <c r="I747" s="477"/>
      <c r="J747" s="2019"/>
      <c r="K747" s="2021"/>
      <c r="L747" s="2018"/>
      <c r="M747" s="477"/>
      <c r="N747" s="2019"/>
      <c r="O747" s="2021"/>
      <c r="P747" s="2018"/>
      <c r="Q747" s="477"/>
      <c r="R747" s="2019"/>
      <c r="S747" s="2021"/>
      <c r="T747" s="2018"/>
      <c r="U747" s="477"/>
      <c r="V747" s="2019"/>
      <c r="W747" s="2021"/>
      <c r="X747" s="2018"/>
      <c r="Y747" s="477"/>
      <c r="Z747" s="2019"/>
      <c r="AA747" s="2021"/>
      <c r="AB747" s="2018"/>
      <c r="AC747" s="477"/>
      <c r="AD747" s="2019"/>
      <c r="AE747" s="2021"/>
      <c r="AF747" s="2018"/>
      <c r="AG747" s="477"/>
      <c r="AH747" s="2019"/>
      <c r="AI747" s="2021"/>
      <c r="AJ747" s="2018"/>
      <c r="AK747" s="477"/>
      <c r="AL747" s="2019"/>
      <c r="AM747" s="2021"/>
      <c r="AN747" s="2018"/>
      <c r="AO747" s="477"/>
      <c r="AP747" s="477"/>
      <c r="AQ747" s="477"/>
    </row>
    <row r="748" spans="1:43" ht="15">
      <c r="A748" s="477"/>
      <c r="B748" s="2019"/>
      <c r="C748" s="2021"/>
      <c r="D748" s="2018"/>
      <c r="E748" s="477"/>
      <c r="F748" s="2019"/>
      <c r="G748" s="2021"/>
      <c r="H748" s="2018"/>
      <c r="I748" s="477"/>
      <c r="J748" s="2019"/>
      <c r="K748" s="2021"/>
      <c r="L748" s="2018"/>
      <c r="M748" s="477"/>
      <c r="N748" s="2019"/>
      <c r="O748" s="2021"/>
      <c r="P748" s="2018"/>
      <c r="Q748" s="477"/>
      <c r="R748" s="2019"/>
      <c r="S748" s="2021"/>
      <c r="T748" s="2018"/>
      <c r="U748" s="477"/>
      <c r="V748" s="2019"/>
      <c r="W748" s="2021"/>
      <c r="X748" s="2018"/>
      <c r="Y748" s="477"/>
      <c r="Z748" s="2019"/>
      <c r="AA748" s="2021"/>
      <c r="AB748" s="2018"/>
      <c r="AC748" s="477"/>
      <c r="AD748" s="2019"/>
      <c r="AE748" s="2021"/>
      <c r="AF748" s="2018"/>
      <c r="AG748" s="477"/>
      <c r="AH748" s="2019"/>
      <c r="AI748" s="2021"/>
      <c r="AJ748" s="2018"/>
      <c r="AK748" s="477"/>
      <c r="AL748" s="2019"/>
      <c r="AM748" s="2021"/>
      <c r="AN748" s="2018"/>
      <c r="AO748" s="477"/>
      <c r="AP748" s="477"/>
      <c r="AQ748" s="477"/>
    </row>
    <row r="749" spans="1:43" ht="15">
      <c r="A749" s="477"/>
      <c r="B749" s="2019"/>
      <c r="C749" s="2021"/>
      <c r="D749" s="2018"/>
      <c r="E749" s="477"/>
      <c r="F749" s="2019"/>
      <c r="G749" s="2021"/>
      <c r="H749" s="2018"/>
      <c r="I749" s="477"/>
      <c r="J749" s="2019"/>
      <c r="K749" s="2021"/>
      <c r="L749" s="2018"/>
      <c r="M749" s="477"/>
      <c r="N749" s="2019"/>
      <c r="O749" s="2021"/>
      <c r="P749" s="2018"/>
      <c r="Q749" s="477"/>
      <c r="R749" s="2019"/>
      <c r="S749" s="2021"/>
      <c r="T749" s="2018"/>
      <c r="U749" s="477"/>
      <c r="V749" s="2019"/>
      <c r="W749" s="2021"/>
      <c r="X749" s="2018"/>
      <c r="Y749" s="477"/>
      <c r="Z749" s="2019"/>
      <c r="AA749" s="2021"/>
      <c r="AB749" s="2018"/>
      <c r="AC749" s="477"/>
      <c r="AD749" s="2019"/>
      <c r="AE749" s="2021"/>
      <c r="AF749" s="2018"/>
      <c r="AG749" s="477"/>
      <c r="AH749" s="2019"/>
      <c r="AI749" s="2021"/>
      <c r="AJ749" s="2018"/>
      <c r="AK749" s="477"/>
      <c r="AL749" s="2019"/>
      <c r="AM749" s="2021"/>
      <c r="AN749" s="2018"/>
      <c r="AO749" s="477"/>
      <c r="AP749" s="477"/>
      <c r="AQ749" s="477"/>
    </row>
    <row r="750" spans="1:43" ht="15">
      <c r="A750" s="477"/>
      <c r="B750" s="2019"/>
      <c r="C750" s="2021"/>
      <c r="D750" s="2018"/>
      <c r="E750" s="477"/>
      <c r="F750" s="2019"/>
      <c r="G750" s="2021"/>
      <c r="H750" s="2018"/>
      <c r="I750" s="477"/>
      <c r="J750" s="2019"/>
      <c r="K750" s="2021"/>
      <c r="L750" s="2018"/>
      <c r="M750" s="477"/>
      <c r="N750" s="2019"/>
      <c r="O750" s="2021"/>
      <c r="P750" s="2018"/>
      <c r="Q750" s="477"/>
      <c r="R750" s="2019"/>
      <c r="S750" s="2021"/>
      <c r="T750" s="2018"/>
      <c r="U750" s="477"/>
      <c r="V750" s="2019"/>
      <c r="W750" s="2021"/>
      <c r="X750" s="2018"/>
      <c r="Y750" s="477"/>
      <c r="Z750" s="2019"/>
      <c r="AA750" s="2021"/>
      <c r="AB750" s="2018"/>
      <c r="AC750" s="477"/>
      <c r="AD750" s="2019"/>
      <c r="AE750" s="2021"/>
      <c r="AF750" s="2018"/>
      <c r="AG750" s="477"/>
      <c r="AH750" s="2019"/>
      <c r="AI750" s="2021"/>
      <c r="AJ750" s="2018"/>
      <c r="AK750" s="477"/>
      <c r="AL750" s="2019"/>
      <c r="AM750" s="2021"/>
      <c r="AN750" s="2018"/>
      <c r="AO750" s="477"/>
      <c r="AP750" s="477"/>
      <c r="AQ750" s="477"/>
    </row>
    <row r="751" spans="1:43" ht="15">
      <c r="A751" s="477"/>
      <c r="B751" s="2019"/>
      <c r="C751" s="2021"/>
      <c r="D751" s="2018"/>
      <c r="E751" s="477"/>
      <c r="F751" s="2019"/>
      <c r="G751" s="2021"/>
      <c r="H751" s="2018"/>
      <c r="I751" s="477"/>
      <c r="J751" s="2019"/>
      <c r="K751" s="2021"/>
      <c r="L751" s="2018"/>
      <c r="M751" s="477"/>
      <c r="N751" s="2019"/>
      <c r="O751" s="2021"/>
      <c r="P751" s="2018"/>
      <c r="Q751" s="477"/>
      <c r="R751" s="2019"/>
      <c r="S751" s="2021"/>
      <c r="T751" s="2018"/>
      <c r="U751" s="477"/>
      <c r="V751" s="2019"/>
      <c r="W751" s="2021"/>
      <c r="X751" s="2018"/>
      <c r="Y751" s="477"/>
      <c r="Z751" s="2019"/>
      <c r="AA751" s="2021"/>
      <c r="AB751" s="2018"/>
      <c r="AC751" s="477"/>
      <c r="AD751" s="2019"/>
      <c r="AE751" s="2021"/>
      <c r="AF751" s="2018"/>
      <c r="AG751" s="477"/>
      <c r="AH751" s="2019"/>
      <c r="AI751" s="2021"/>
      <c r="AJ751" s="2018"/>
      <c r="AK751" s="477"/>
      <c r="AL751" s="2019"/>
      <c r="AM751" s="2021"/>
      <c r="AN751" s="2018"/>
      <c r="AO751" s="477"/>
      <c r="AP751" s="477"/>
      <c r="AQ751" s="477"/>
    </row>
    <row r="752" spans="1:43" ht="15">
      <c r="A752" s="477"/>
      <c r="B752" s="2019"/>
      <c r="C752" s="2021"/>
      <c r="D752" s="2018"/>
      <c r="E752" s="477"/>
      <c r="F752" s="2019"/>
      <c r="G752" s="2021"/>
      <c r="H752" s="2018"/>
      <c r="I752" s="477"/>
      <c r="J752" s="2019"/>
      <c r="K752" s="2021"/>
      <c r="L752" s="2018"/>
      <c r="M752" s="477"/>
      <c r="N752" s="2019"/>
      <c r="O752" s="2021"/>
      <c r="P752" s="2018"/>
      <c r="Q752" s="477"/>
      <c r="R752" s="2019"/>
      <c r="S752" s="2021"/>
      <c r="T752" s="2018"/>
      <c r="U752" s="477"/>
      <c r="V752" s="2019"/>
      <c r="W752" s="2021"/>
      <c r="X752" s="2018"/>
      <c r="Y752" s="477"/>
      <c r="Z752" s="2019"/>
      <c r="AA752" s="2021"/>
      <c r="AB752" s="2018"/>
      <c r="AC752" s="477"/>
      <c r="AD752" s="2019"/>
      <c r="AE752" s="2021"/>
      <c r="AF752" s="2018"/>
      <c r="AG752" s="477"/>
      <c r="AH752" s="2019"/>
      <c r="AI752" s="2021"/>
      <c r="AJ752" s="2018"/>
      <c r="AK752" s="477"/>
      <c r="AL752" s="2019"/>
      <c r="AM752" s="2021"/>
      <c r="AN752" s="2018"/>
      <c r="AO752" s="477"/>
      <c r="AP752" s="477"/>
      <c r="AQ752" s="477"/>
    </row>
    <row r="753" spans="1:43" ht="15">
      <c r="A753" s="477"/>
      <c r="B753" s="2019"/>
      <c r="C753" s="2021"/>
      <c r="D753" s="2018"/>
      <c r="E753" s="477"/>
      <c r="F753" s="2019"/>
      <c r="G753" s="2021"/>
      <c r="H753" s="2018"/>
      <c r="I753" s="477"/>
      <c r="J753" s="2019"/>
      <c r="K753" s="2021"/>
      <c r="L753" s="2018"/>
      <c r="M753" s="477"/>
      <c r="N753" s="2019"/>
      <c r="O753" s="2021"/>
      <c r="P753" s="2018"/>
      <c r="Q753" s="477"/>
      <c r="R753" s="2019"/>
      <c r="S753" s="2021"/>
      <c r="T753" s="2018"/>
      <c r="U753" s="477"/>
      <c r="V753" s="2019"/>
      <c r="W753" s="2021"/>
      <c r="X753" s="2018"/>
      <c r="Y753" s="477"/>
      <c r="Z753" s="2019"/>
      <c r="AA753" s="2021"/>
      <c r="AB753" s="2018"/>
      <c r="AC753" s="477"/>
      <c r="AD753" s="2019"/>
      <c r="AE753" s="2021"/>
      <c r="AF753" s="2018"/>
      <c r="AG753" s="477"/>
      <c r="AH753" s="2019"/>
      <c r="AI753" s="2021"/>
      <c r="AJ753" s="2018"/>
      <c r="AK753" s="477"/>
      <c r="AL753" s="2019"/>
      <c r="AM753" s="2021"/>
      <c r="AN753" s="2018"/>
      <c r="AO753" s="477"/>
      <c r="AP753" s="477"/>
      <c r="AQ753" s="477"/>
    </row>
    <row r="754" spans="1:43" ht="15">
      <c r="A754" s="477"/>
      <c r="B754" s="2019"/>
      <c r="C754" s="2021"/>
      <c r="D754" s="2018"/>
      <c r="E754" s="477"/>
      <c r="F754" s="2019"/>
      <c r="G754" s="2021"/>
      <c r="H754" s="2018"/>
      <c r="I754" s="477"/>
      <c r="J754" s="2019"/>
      <c r="K754" s="2021"/>
      <c r="L754" s="2018"/>
      <c r="M754" s="477"/>
      <c r="N754" s="2019"/>
      <c r="O754" s="2021"/>
      <c r="P754" s="2018"/>
      <c r="Q754" s="477"/>
      <c r="R754" s="2019"/>
      <c r="S754" s="2021"/>
      <c r="T754" s="2018"/>
      <c r="U754" s="477"/>
      <c r="V754" s="2019"/>
      <c r="W754" s="2021"/>
      <c r="X754" s="2018"/>
      <c r="Y754" s="477"/>
      <c r="Z754" s="2019"/>
      <c r="AA754" s="2021"/>
      <c r="AB754" s="2018"/>
      <c r="AC754" s="477"/>
      <c r="AD754" s="2019"/>
      <c r="AE754" s="2021"/>
      <c r="AF754" s="2018"/>
      <c r="AG754" s="477"/>
      <c r="AH754" s="2019"/>
      <c r="AI754" s="2021"/>
      <c r="AJ754" s="2018"/>
      <c r="AK754" s="477"/>
      <c r="AL754" s="2019"/>
      <c r="AM754" s="2021"/>
      <c r="AN754" s="2018"/>
      <c r="AO754" s="477"/>
      <c r="AP754" s="477"/>
      <c r="AQ754" s="477"/>
    </row>
    <row r="755" spans="1:43" ht="15">
      <c r="A755" s="477"/>
      <c r="B755" s="2019"/>
      <c r="C755" s="2021"/>
      <c r="D755" s="2018"/>
      <c r="E755" s="477"/>
      <c r="F755" s="2019"/>
      <c r="G755" s="2021"/>
      <c r="H755" s="2018"/>
      <c r="I755" s="477"/>
      <c r="J755" s="2019"/>
      <c r="K755" s="2021"/>
      <c r="L755" s="2018"/>
      <c r="M755" s="477"/>
      <c r="N755" s="2019"/>
      <c r="O755" s="2021"/>
      <c r="P755" s="2018"/>
      <c r="Q755" s="477"/>
      <c r="R755" s="2019"/>
      <c r="S755" s="2021"/>
      <c r="T755" s="2018"/>
      <c r="U755" s="477"/>
      <c r="V755" s="2019"/>
      <c r="W755" s="2021"/>
      <c r="X755" s="2018"/>
      <c r="Y755" s="477"/>
      <c r="Z755" s="2019"/>
      <c r="AA755" s="2021"/>
      <c r="AB755" s="2018"/>
      <c r="AC755" s="477"/>
      <c r="AD755" s="2019"/>
      <c r="AE755" s="2021"/>
      <c r="AF755" s="2018"/>
      <c r="AG755" s="477"/>
      <c r="AH755" s="2019"/>
      <c r="AI755" s="2021"/>
      <c r="AJ755" s="2018"/>
      <c r="AK755" s="477"/>
      <c r="AL755" s="2019"/>
      <c r="AM755" s="2021"/>
      <c r="AN755" s="2018"/>
      <c r="AO755" s="477"/>
      <c r="AP755" s="477"/>
      <c r="AQ755" s="477"/>
    </row>
    <row r="756" spans="1:43" ht="15">
      <c r="A756" s="477"/>
      <c r="B756" s="2019"/>
      <c r="C756" s="2021"/>
      <c r="D756" s="2018"/>
      <c r="E756" s="477"/>
      <c r="F756" s="2019"/>
      <c r="G756" s="2021"/>
      <c r="H756" s="2018"/>
      <c r="I756" s="477"/>
      <c r="J756" s="2019"/>
      <c r="K756" s="2021"/>
      <c r="L756" s="2018"/>
      <c r="M756" s="477"/>
      <c r="N756" s="2019"/>
      <c r="O756" s="2021"/>
      <c r="P756" s="2018"/>
      <c r="Q756" s="477"/>
      <c r="R756" s="2019"/>
      <c r="S756" s="2021"/>
      <c r="T756" s="2018"/>
      <c r="U756" s="477"/>
      <c r="V756" s="2019"/>
      <c r="W756" s="2021"/>
      <c r="X756" s="2018"/>
      <c r="Y756" s="477"/>
      <c r="Z756" s="2019"/>
      <c r="AA756" s="2021"/>
      <c r="AB756" s="2018"/>
      <c r="AC756" s="477"/>
      <c r="AD756" s="2019"/>
      <c r="AE756" s="2021"/>
      <c r="AF756" s="2018"/>
      <c r="AG756" s="477"/>
      <c r="AH756" s="2019"/>
      <c r="AI756" s="2021"/>
      <c r="AJ756" s="2018"/>
      <c r="AK756" s="477"/>
      <c r="AL756" s="2019"/>
      <c r="AM756" s="2021"/>
      <c r="AN756" s="2018"/>
      <c r="AO756" s="477"/>
      <c r="AP756" s="477"/>
      <c r="AQ756" s="477"/>
    </row>
    <row r="757" spans="1:43" ht="15">
      <c r="A757" s="477"/>
      <c r="B757" s="2019"/>
      <c r="C757" s="2021"/>
      <c r="D757" s="2018"/>
      <c r="E757" s="477"/>
      <c r="F757" s="2019"/>
      <c r="G757" s="2021"/>
      <c r="H757" s="2018"/>
      <c r="I757" s="477"/>
      <c r="J757" s="2019"/>
      <c r="K757" s="2021"/>
      <c r="L757" s="2018"/>
      <c r="M757" s="477"/>
      <c r="N757" s="2019"/>
      <c r="O757" s="2021"/>
      <c r="P757" s="2018"/>
      <c r="Q757" s="477"/>
      <c r="R757" s="2019"/>
      <c r="S757" s="2021"/>
      <c r="T757" s="2018"/>
      <c r="U757" s="477"/>
      <c r="V757" s="2019"/>
      <c r="W757" s="2021"/>
      <c r="X757" s="2018"/>
      <c r="Y757" s="477"/>
      <c r="Z757" s="2019"/>
      <c r="AA757" s="2021"/>
      <c r="AB757" s="2018"/>
      <c r="AC757" s="477"/>
      <c r="AD757" s="2019"/>
      <c r="AE757" s="2021"/>
      <c r="AF757" s="2018"/>
      <c r="AG757" s="477"/>
      <c r="AH757" s="2019"/>
      <c r="AI757" s="2021"/>
      <c r="AJ757" s="2018"/>
      <c r="AK757" s="477"/>
      <c r="AL757" s="2019"/>
      <c r="AM757" s="2021"/>
      <c r="AN757" s="2018"/>
      <c r="AO757" s="477"/>
      <c r="AP757" s="477"/>
      <c r="AQ757" s="477"/>
    </row>
    <row r="758" spans="1:43" ht="15">
      <c r="A758" s="477"/>
      <c r="B758" s="2019"/>
      <c r="C758" s="2021"/>
      <c r="D758" s="2018"/>
      <c r="E758" s="477"/>
      <c r="F758" s="2019"/>
      <c r="G758" s="2021"/>
      <c r="H758" s="2018"/>
      <c r="I758" s="477"/>
      <c r="J758" s="2019"/>
      <c r="K758" s="2021"/>
      <c r="L758" s="2018"/>
      <c r="M758" s="477"/>
      <c r="N758" s="2019"/>
      <c r="O758" s="2021"/>
      <c r="P758" s="2018"/>
      <c r="Q758" s="477"/>
      <c r="R758" s="2019"/>
      <c r="S758" s="2021"/>
      <c r="T758" s="2018"/>
      <c r="U758" s="477"/>
      <c r="V758" s="2019"/>
      <c r="W758" s="2021"/>
      <c r="X758" s="2018"/>
      <c r="Y758" s="477"/>
      <c r="Z758" s="2019"/>
      <c r="AA758" s="2021"/>
      <c r="AB758" s="2018"/>
      <c r="AC758" s="477"/>
      <c r="AD758" s="2019"/>
      <c r="AE758" s="2021"/>
      <c r="AF758" s="2018"/>
      <c r="AG758" s="477"/>
      <c r="AH758" s="2019"/>
      <c r="AI758" s="2021"/>
      <c r="AJ758" s="2018"/>
      <c r="AK758" s="477"/>
      <c r="AL758" s="2019"/>
      <c r="AM758" s="2021"/>
      <c r="AN758" s="2018"/>
      <c r="AO758" s="477"/>
      <c r="AP758" s="477"/>
      <c r="AQ758" s="477"/>
    </row>
    <row r="759" spans="1:43" ht="15">
      <c r="A759" s="477"/>
      <c r="B759" s="2019"/>
      <c r="C759" s="2021"/>
      <c r="D759" s="2018"/>
      <c r="E759" s="477"/>
      <c r="F759" s="2019"/>
      <c r="G759" s="2021"/>
      <c r="H759" s="2018"/>
      <c r="I759" s="477"/>
      <c r="J759" s="2019"/>
      <c r="K759" s="2021"/>
      <c r="L759" s="2018"/>
      <c r="M759" s="477"/>
      <c r="N759" s="2019"/>
      <c r="O759" s="2021"/>
      <c r="P759" s="2018"/>
      <c r="Q759" s="477"/>
      <c r="R759" s="2019"/>
      <c r="S759" s="2021"/>
      <c r="T759" s="2018"/>
      <c r="U759" s="477"/>
      <c r="V759" s="2019"/>
      <c r="W759" s="2021"/>
      <c r="X759" s="2018"/>
      <c r="Y759" s="477"/>
      <c r="Z759" s="2019"/>
      <c r="AA759" s="2021"/>
      <c r="AB759" s="2018"/>
      <c r="AC759" s="477"/>
      <c r="AD759" s="2019"/>
      <c r="AE759" s="2021"/>
      <c r="AF759" s="2018"/>
      <c r="AG759" s="477"/>
      <c r="AH759" s="2019"/>
      <c r="AI759" s="2021"/>
      <c r="AJ759" s="2018"/>
      <c r="AK759" s="477"/>
      <c r="AL759" s="2019"/>
      <c r="AM759" s="2021"/>
      <c r="AN759" s="2018"/>
      <c r="AO759" s="477"/>
      <c r="AP759" s="477"/>
      <c r="AQ759" s="477"/>
    </row>
    <row r="760" spans="1:43" ht="15">
      <c r="A760" s="477"/>
      <c r="B760" s="2019"/>
      <c r="C760" s="2021"/>
      <c r="D760" s="2018"/>
      <c r="E760" s="477"/>
      <c r="F760" s="2019"/>
      <c r="G760" s="2021"/>
      <c r="H760" s="2018"/>
      <c r="I760" s="477"/>
      <c r="J760" s="2019"/>
      <c r="K760" s="2021"/>
      <c r="L760" s="2018"/>
      <c r="M760" s="477"/>
      <c r="N760" s="2019"/>
      <c r="O760" s="2021"/>
      <c r="P760" s="2018"/>
      <c r="Q760" s="477"/>
      <c r="R760" s="2019"/>
      <c r="S760" s="2021"/>
      <c r="T760" s="2018"/>
      <c r="U760" s="477"/>
      <c r="V760" s="2019"/>
      <c r="W760" s="2021"/>
      <c r="X760" s="2018"/>
      <c r="Y760" s="477"/>
      <c r="Z760" s="2019"/>
      <c r="AA760" s="2021"/>
      <c r="AB760" s="2018"/>
      <c r="AC760" s="477"/>
      <c r="AD760" s="2019"/>
      <c r="AE760" s="2021"/>
      <c r="AF760" s="2018"/>
      <c r="AG760" s="477"/>
      <c r="AH760" s="2019"/>
      <c r="AI760" s="2021"/>
      <c r="AJ760" s="2018"/>
      <c r="AK760" s="477"/>
      <c r="AL760" s="2019"/>
      <c r="AM760" s="2021"/>
      <c r="AN760" s="2018"/>
      <c r="AO760" s="477"/>
      <c r="AP760" s="477"/>
      <c r="AQ760" s="477"/>
    </row>
    <row r="761" spans="1:43" ht="15">
      <c r="A761" s="477"/>
      <c r="B761" s="2019"/>
      <c r="C761" s="2021"/>
      <c r="D761" s="2018"/>
      <c r="E761" s="477"/>
      <c r="F761" s="2019"/>
      <c r="G761" s="2021"/>
      <c r="H761" s="2018"/>
      <c r="I761" s="477"/>
      <c r="J761" s="2019"/>
      <c r="K761" s="2021"/>
      <c r="L761" s="2018"/>
      <c r="M761" s="477"/>
      <c r="N761" s="2019"/>
      <c r="O761" s="2021"/>
      <c r="P761" s="2018"/>
      <c r="Q761" s="477"/>
      <c r="R761" s="2019"/>
      <c r="S761" s="2021"/>
      <c r="T761" s="2018"/>
      <c r="U761" s="477"/>
      <c r="V761" s="2019"/>
      <c r="W761" s="2021"/>
      <c r="X761" s="2018"/>
      <c r="Y761" s="477"/>
      <c r="Z761" s="2019"/>
      <c r="AA761" s="2021"/>
      <c r="AB761" s="2018"/>
      <c r="AC761" s="477"/>
      <c r="AD761" s="2019"/>
      <c r="AE761" s="2021"/>
      <c r="AF761" s="2018"/>
      <c r="AG761" s="477"/>
      <c r="AH761" s="2019"/>
      <c r="AI761" s="2021"/>
      <c r="AJ761" s="2018"/>
      <c r="AK761" s="477"/>
      <c r="AL761" s="2019"/>
      <c r="AM761" s="2021"/>
      <c r="AN761" s="2018"/>
      <c r="AO761" s="477"/>
      <c r="AP761" s="477"/>
      <c r="AQ761" s="477"/>
    </row>
    <row r="762" spans="1:43" ht="15">
      <c r="A762" s="477"/>
      <c r="B762" s="2019"/>
      <c r="C762" s="2021"/>
      <c r="D762" s="2018"/>
      <c r="E762" s="477"/>
      <c r="F762" s="2019"/>
      <c r="G762" s="2021"/>
      <c r="H762" s="2018"/>
      <c r="I762" s="477"/>
      <c r="J762" s="2019"/>
      <c r="K762" s="2021"/>
      <c r="L762" s="2018"/>
      <c r="M762" s="477"/>
      <c r="N762" s="2019"/>
      <c r="O762" s="2021"/>
      <c r="P762" s="2018"/>
      <c r="Q762" s="477"/>
      <c r="R762" s="2019"/>
      <c r="S762" s="2021"/>
      <c r="T762" s="2018"/>
      <c r="U762" s="477"/>
      <c r="V762" s="2019"/>
      <c r="W762" s="2021"/>
      <c r="X762" s="2018"/>
      <c r="Y762" s="477"/>
      <c r="Z762" s="2019"/>
      <c r="AA762" s="2021"/>
      <c r="AB762" s="2018"/>
      <c r="AC762" s="477"/>
      <c r="AD762" s="2019"/>
      <c r="AE762" s="2021"/>
      <c r="AF762" s="2018"/>
      <c r="AG762" s="477"/>
      <c r="AH762" s="2019"/>
      <c r="AI762" s="2021"/>
      <c r="AJ762" s="2018"/>
      <c r="AK762" s="477"/>
      <c r="AL762" s="2019"/>
      <c r="AM762" s="2021"/>
      <c r="AN762" s="2018"/>
      <c r="AO762" s="477"/>
      <c r="AP762" s="477"/>
      <c r="AQ762" s="477"/>
    </row>
    <row r="763" spans="1:43" ht="15">
      <c r="A763" s="477"/>
      <c r="B763" s="2019"/>
      <c r="C763" s="2021"/>
      <c r="D763" s="2018"/>
      <c r="E763" s="477"/>
      <c r="F763" s="2019"/>
      <c r="G763" s="2021"/>
      <c r="H763" s="2018"/>
      <c r="I763" s="477"/>
      <c r="J763" s="2019"/>
      <c r="K763" s="2021"/>
      <c r="L763" s="2018"/>
      <c r="M763" s="477"/>
      <c r="N763" s="2019"/>
      <c r="O763" s="2021"/>
      <c r="P763" s="2018"/>
      <c r="Q763" s="477"/>
      <c r="R763" s="2019"/>
      <c r="S763" s="2021"/>
      <c r="T763" s="2018"/>
      <c r="U763" s="477"/>
      <c r="V763" s="2019"/>
      <c r="W763" s="2021"/>
      <c r="X763" s="2018"/>
      <c r="Y763" s="477"/>
      <c r="Z763" s="2019"/>
      <c r="AA763" s="2021"/>
      <c r="AB763" s="2018"/>
      <c r="AC763" s="477"/>
      <c r="AD763" s="2019"/>
      <c r="AE763" s="2021"/>
      <c r="AF763" s="2018"/>
      <c r="AG763" s="477"/>
      <c r="AH763" s="2019"/>
      <c r="AI763" s="2021"/>
      <c r="AJ763" s="2018"/>
      <c r="AK763" s="477"/>
      <c r="AL763" s="2019"/>
      <c r="AM763" s="2021"/>
      <c r="AN763" s="2018"/>
      <c r="AO763" s="477"/>
      <c r="AP763" s="477"/>
      <c r="AQ763" s="477"/>
    </row>
    <row r="764" spans="1:43" ht="15">
      <c r="A764" s="477"/>
      <c r="B764" s="2019"/>
      <c r="C764" s="2021"/>
      <c r="D764" s="2018"/>
      <c r="E764" s="477"/>
      <c r="F764" s="2019"/>
      <c r="G764" s="2021"/>
      <c r="H764" s="2018"/>
      <c r="I764" s="477"/>
      <c r="J764" s="2019"/>
      <c r="K764" s="2021"/>
      <c r="L764" s="2018"/>
      <c r="M764" s="477"/>
      <c r="N764" s="2019"/>
      <c r="O764" s="2021"/>
      <c r="P764" s="2018"/>
      <c r="Q764" s="477"/>
      <c r="R764" s="2019"/>
      <c r="S764" s="2021"/>
      <c r="T764" s="2018"/>
      <c r="U764" s="477"/>
      <c r="V764" s="2019"/>
      <c r="W764" s="2021"/>
      <c r="X764" s="2018"/>
      <c r="Y764" s="477"/>
      <c r="Z764" s="2019"/>
      <c r="AA764" s="2021"/>
      <c r="AB764" s="2018"/>
      <c r="AC764" s="477"/>
      <c r="AD764" s="2019"/>
      <c r="AE764" s="2021"/>
      <c r="AF764" s="2018"/>
      <c r="AG764" s="477"/>
      <c r="AH764" s="2019"/>
      <c r="AI764" s="2021"/>
      <c r="AJ764" s="2018"/>
      <c r="AK764" s="477"/>
      <c r="AL764" s="2019"/>
      <c r="AM764" s="2021"/>
      <c r="AN764" s="2018"/>
      <c r="AO764" s="477"/>
      <c r="AP764" s="477"/>
      <c r="AQ764" s="477"/>
    </row>
    <row r="765" spans="1:43" ht="15">
      <c r="A765" s="477"/>
      <c r="B765" s="2019"/>
      <c r="C765" s="2021"/>
      <c r="D765" s="2018"/>
      <c r="E765" s="477"/>
      <c r="F765" s="2019"/>
      <c r="G765" s="2021"/>
      <c r="H765" s="2018"/>
      <c r="I765" s="477"/>
      <c r="J765" s="2019"/>
      <c r="K765" s="2021"/>
      <c r="L765" s="2018"/>
      <c r="M765" s="477"/>
      <c r="N765" s="2019"/>
      <c r="O765" s="2021"/>
      <c r="P765" s="2018"/>
      <c r="Q765" s="477"/>
      <c r="R765" s="2019"/>
      <c r="S765" s="2021"/>
      <c r="T765" s="2018"/>
      <c r="U765" s="477"/>
      <c r="V765" s="2019"/>
      <c r="W765" s="2021"/>
      <c r="X765" s="2018"/>
      <c r="Y765" s="477"/>
      <c r="Z765" s="2019"/>
      <c r="AA765" s="2021"/>
      <c r="AB765" s="2018"/>
      <c r="AC765" s="477"/>
      <c r="AD765" s="2019"/>
      <c r="AE765" s="2021"/>
      <c r="AF765" s="2018"/>
      <c r="AG765" s="477"/>
      <c r="AH765" s="2019"/>
      <c r="AI765" s="2021"/>
      <c r="AJ765" s="2018"/>
      <c r="AK765" s="477"/>
      <c r="AL765" s="2019"/>
      <c r="AM765" s="2021"/>
      <c r="AN765" s="2018"/>
      <c r="AO765" s="477"/>
      <c r="AP765" s="477"/>
      <c r="AQ765" s="477"/>
    </row>
    <row r="766" spans="1:43" ht="15">
      <c r="A766" s="477"/>
      <c r="B766" s="2019"/>
      <c r="C766" s="2021"/>
      <c r="D766" s="2018"/>
      <c r="E766" s="477"/>
      <c r="F766" s="2019"/>
      <c r="G766" s="2021"/>
      <c r="H766" s="2018"/>
      <c r="I766" s="477"/>
      <c r="J766" s="2019"/>
      <c r="K766" s="2021"/>
      <c r="L766" s="2018"/>
      <c r="M766" s="477"/>
      <c r="N766" s="2019"/>
      <c r="O766" s="2021"/>
      <c r="P766" s="2018"/>
      <c r="Q766" s="477"/>
      <c r="R766" s="2019"/>
      <c r="S766" s="2021"/>
      <c r="T766" s="2018"/>
      <c r="U766" s="477"/>
      <c r="V766" s="2019"/>
      <c r="W766" s="2021"/>
      <c r="X766" s="2018"/>
      <c r="Y766" s="477"/>
      <c r="Z766" s="2019"/>
      <c r="AA766" s="2021"/>
      <c r="AB766" s="2018"/>
      <c r="AC766" s="477"/>
      <c r="AD766" s="2019"/>
      <c r="AE766" s="2021"/>
      <c r="AF766" s="2018"/>
      <c r="AG766" s="477"/>
      <c r="AH766" s="2019"/>
      <c r="AI766" s="2021"/>
      <c r="AJ766" s="2018"/>
      <c r="AK766" s="477"/>
      <c r="AL766" s="2019"/>
      <c r="AM766" s="2021"/>
      <c r="AN766" s="2018"/>
      <c r="AO766" s="477"/>
      <c r="AP766" s="477"/>
      <c r="AQ766" s="477"/>
    </row>
    <row r="767" spans="1:43" ht="15">
      <c r="A767" s="477"/>
      <c r="B767" s="2019"/>
      <c r="C767" s="2021"/>
      <c r="D767" s="2018"/>
      <c r="E767" s="477"/>
      <c r="F767" s="2019"/>
      <c r="G767" s="2021"/>
      <c r="H767" s="2018"/>
      <c r="I767" s="477"/>
      <c r="J767" s="2019"/>
      <c r="K767" s="2021"/>
      <c r="L767" s="2018"/>
      <c r="M767" s="477"/>
      <c r="N767" s="2019"/>
      <c r="O767" s="2021"/>
      <c r="P767" s="2018"/>
      <c r="Q767" s="477"/>
      <c r="R767" s="2019"/>
      <c r="S767" s="2021"/>
      <c r="T767" s="2018"/>
      <c r="U767" s="477"/>
      <c r="V767" s="2019"/>
      <c r="W767" s="2021"/>
      <c r="X767" s="2018"/>
      <c r="Y767" s="477"/>
      <c r="Z767" s="2019"/>
      <c r="AA767" s="2021"/>
      <c r="AB767" s="2018"/>
      <c r="AC767" s="477"/>
      <c r="AD767" s="2019"/>
      <c r="AE767" s="2021"/>
      <c r="AF767" s="2018"/>
      <c r="AG767" s="477"/>
      <c r="AH767" s="2019"/>
      <c r="AI767" s="2021"/>
      <c r="AJ767" s="2018"/>
      <c r="AK767" s="477"/>
      <c r="AL767" s="2019"/>
      <c r="AM767" s="2021"/>
      <c r="AN767" s="2018"/>
      <c r="AO767" s="477"/>
      <c r="AP767" s="477"/>
      <c r="AQ767" s="477"/>
    </row>
    <row r="768" spans="1:43" ht="15">
      <c r="A768" s="477"/>
      <c r="B768" s="2019"/>
      <c r="C768" s="2021"/>
      <c r="D768" s="2018"/>
      <c r="E768" s="477"/>
      <c r="F768" s="2019"/>
      <c r="G768" s="2021"/>
      <c r="H768" s="2018"/>
      <c r="I768" s="477"/>
      <c r="J768" s="2019"/>
      <c r="K768" s="2021"/>
      <c r="L768" s="2018"/>
      <c r="M768" s="477"/>
      <c r="N768" s="2019"/>
      <c r="O768" s="2021"/>
      <c r="P768" s="2018"/>
      <c r="Q768" s="477"/>
      <c r="R768" s="2019"/>
      <c r="S768" s="2021"/>
      <c r="T768" s="2018"/>
      <c r="U768" s="477"/>
      <c r="V768" s="2019"/>
      <c r="W768" s="2021"/>
      <c r="X768" s="2018"/>
      <c r="Y768" s="477"/>
      <c r="Z768" s="2019"/>
      <c r="AA768" s="2021"/>
      <c r="AB768" s="2018"/>
      <c r="AC768" s="477"/>
      <c r="AD768" s="2019"/>
      <c r="AE768" s="2021"/>
      <c r="AF768" s="2018"/>
      <c r="AG768" s="477"/>
      <c r="AH768" s="2019"/>
      <c r="AI768" s="2021"/>
      <c r="AJ768" s="2018"/>
      <c r="AK768" s="477"/>
      <c r="AL768" s="2019"/>
      <c r="AM768" s="2021"/>
      <c r="AN768" s="2018"/>
      <c r="AO768" s="477"/>
      <c r="AP768" s="477"/>
      <c r="AQ768" s="477"/>
    </row>
    <row r="769" spans="1:43" ht="15">
      <c r="A769" s="477"/>
      <c r="B769" s="2019"/>
      <c r="C769" s="2021"/>
      <c r="D769" s="2018"/>
      <c r="E769" s="477"/>
      <c r="F769" s="2019"/>
      <c r="G769" s="2021"/>
      <c r="H769" s="2018"/>
      <c r="I769" s="477"/>
      <c r="J769" s="2019"/>
      <c r="K769" s="2021"/>
      <c r="L769" s="2018"/>
      <c r="M769" s="477"/>
      <c r="N769" s="2019"/>
      <c r="O769" s="2021"/>
      <c r="P769" s="2018"/>
      <c r="Q769" s="477"/>
      <c r="R769" s="2019"/>
      <c r="S769" s="2021"/>
      <c r="T769" s="2018"/>
      <c r="U769" s="477"/>
      <c r="V769" s="2019"/>
      <c r="W769" s="2021"/>
      <c r="X769" s="2018"/>
      <c r="Y769" s="477"/>
      <c r="Z769" s="2019"/>
      <c r="AA769" s="2021"/>
      <c r="AB769" s="2018"/>
      <c r="AC769" s="477"/>
      <c r="AD769" s="2019"/>
      <c r="AE769" s="2021"/>
      <c r="AF769" s="2018"/>
      <c r="AG769" s="477"/>
      <c r="AH769" s="2019"/>
      <c r="AI769" s="2021"/>
      <c r="AJ769" s="2018"/>
      <c r="AK769" s="477"/>
      <c r="AL769" s="2019"/>
      <c r="AM769" s="2021"/>
      <c r="AN769" s="2018"/>
      <c r="AO769" s="477"/>
      <c r="AP769" s="477"/>
      <c r="AQ769" s="477"/>
    </row>
    <row r="770" spans="1:43" ht="15">
      <c r="A770" s="477"/>
      <c r="B770" s="2019"/>
      <c r="C770" s="2021"/>
      <c r="D770" s="2018"/>
      <c r="E770" s="477"/>
      <c r="F770" s="2019"/>
      <c r="G770" s="2021"/>
      <c r="H770" s="2018"/>
      <c r="I770" s="477"/>
      <c r="J770" s="2019"/>
      <c r="K770" s="2021"/>
      <c r="L770" s="2018"/>
      <c r="M770" s="477"/>
      <c r="N770" s="2019"/>
      <c r="O770" s="2021"/>
      <c r="P770" s="2018"/>
      <c r="Q770" s="477"/>
      <c r="R770" s="2019"/>
      <c r="S770" s="2021"/>
      <c r="T770" s="2018"/>
      <c r="U770" s="477"/>
      <c r="V770" s="2019"/>
      <c r="W770" s="2021"/>
      <c r="X770" s="2018"/>
      <c r="Y770" s="477"/>
      <c r="Z770" s="2019"/>
      <c r="AA770" s="2021"/>
      <c r="AB770" s="2018"/>
      <c r="AC770" s="477"/>
      <c r="AD770" s="2019"/>
      <c r="AE770" s="2021"/>
      <c r="AF770" s="2018"/>
      <c r="AG770" s="477"/>
      <c r="AH770" s="2019"/>
      <c r="AI770" s="2021"/>
      <c r="AJ770" s="2018"/>
      <c r="AK770" s="477"/>
      <c r="AL770" s="2019"/>
      <c r="AM770" s="2021"/>
      <c r="AN770" s="2018"/>
      <c r="AO770" s="477"/>
      <c r="AP770" s="477"/>
      <c r="AQ770" s="477"/>
    </row>
    <row r="771" spans="1:43" ht="15">
      <c r="A771" s="477"/>
      <c r="B771" s="2019"/>
      <c r="C771" s="2021"/>
      <c r="D771" s="2018"/>
      <c r="E771" s="477"/>
      <c r="F771" s="2019"/>
      <c r="G771" s="2021"/>
      <c r="H771" s="2018"/>
      <c r="I771" s="477"/>
      <c r="J771" s="2019"/>
      <c r="K771" s="2021"/>
      <c r="L771" s="2018"/>
      <c r="M771" s="477"/>
      <c r="N771" s="2019"/>
      <c r="O771" s="2021"/>
      <c r="P771" s="2018"/>
      <c r="Q771" s="477"/>
      <c r="R771" s="2019"/>
      <c r="S771" s="2021"/>
      <c r="T771" s="2018"/>
      <c r="U771" s="477"/>
      <c r="V771" s="2019"/>
      <c r="W771" s="2021"/>
      <c r="X771" s="2018"/>
      <c r="Y771" s="477"/>
      <c r="Z771" s="2019"/>
      <c r="AA771" s="2021"/>
      <c r="AB771" s="2018"/>
      <c r="AC771" s="477"/>
      <c r="AD771" s="2019"/>
      <c r="AE771" s="2021"/>
      <c r="AF771" s="2018"/>
      <c r="AG771" s="477"/>
      <c r="AH771" s="2019"/>
      <c r="AI771" s="2021"/>
      <c r="AJ771" s="2018"/>
      <c r="AK771" s="477"/>
      <c r="AL771" s="2019"/>
      <c r="AM771" s="2021"/>
      <c r="AN771" s="2018"/>
      <c r="AO771" s="477"/>
      <c r="AP771" s="477"/>
      <c r="AQ771" s="477"/>
    </row>
    <row r="772" spans="1:43" ht="15">
      <c r="A772" s="477"/>
      <c r="B772" s="2019"/>
      <c r="C772" s="2021"/>
      <c r="D772" s="2018"/>
      <c r="E772" s="477"/>
      <c r="F772" s="2019"/>
      <c r="G772" s="2021"/>
      <c r="H772" s="2018"/>
      <c r="I772" s="477"/>
      <c r="J772" s="2019"/>
      <c r="K772" s="2021"/>
      <c r="L772" s="2018"/>
      <c r="M772" s="477"/>
      <c r="N772" s="2019"/>
      <c r="O772" s="2021"/>
      <c r="P772" s="2018"/>
      <c r="Q772" s="477"/>
      <c r="R772" s="2019"/>
      <c r="S772" s="2021"/>
      <c r="T772" s="2018"/>
      <c r="U772" s="477"/>
      <c r="V772" s="2019"/>
      <c r="W772" s="2021"/>
      <c r="X772" s="2018"/>
      <c r="Y772" s="477"/>
      <c r="Z772" s="2019"/>
      <c r="AA772" s="2021"/>
      <c r="AB772" s="2018"/>
      <c r="AC772" s="477"/>
      <c r="AD772" s="2019"/>
      <c r="AE772" s="2021"/>
      <c r="AF772" s="2018"/>
      <c r="AG772" s="477"/>
      <c r="AH772" s="2019"/>
      <c r="AI772" s="2021"/>
      <c r="AJ772" s="2018"/>
      <c r="AK772" s="477"/>
      <c r="AL772" s="2019"/>
      <c r="AM772" s="2021"/>
      <c r="AN772" s="2018"/>
      <c r="AO772" s="477"/>
      <c r="AP772" s="477"/>
      <c r="AQ772" s="477"/>
    </row>
    <row r="773" spans="1:43" ht="15">
      <c r="A773" s="477"/>
      <c r="B773" s="2019"/>
      <c r="C773" s="2021"/>
      <c r="D773" s="2018"/>
      <c r="E773" s="477"/>
      <c r="F773" s="2019"/>
      <c r="G773" s="2021"/>
      <c r="H773" s="2018"/>
      <c r="I773" s="477"/>
      <c r="J773" s="2019"/>
      <c r="K773" s="2021"/>
      <c r="L773" s="2018"/>
      <c r="M773" s="477"/>
      <c r="N773" s="2019"/>
      <c r="O773" s="2021"/>
      <c r="P773" s="2018"/>
      <c r="Q773" s="477"/>
      <c r="R773" s="2019"/>
      <c r="S773" s="2021"/>
      <c r="T773" s="2018"/>
      <c r="U773" s="477"/>
      <c r="V773" s="2019"/>
      <c r="W773" s="2021"/>
      <c r="X773" s="2018"/>
      <c r="Y773" s="477"/>
      <c r="Z773" s="2019"/>
      <c r="AA773" s="2021"/>
      <c r="AB773" s="2018"/>
      <c r="AC773" s="477"/>
      <c r="AD773" s="2019"/>
      <c r="AE773" s="2021"/>
      <c r="AF773" s="2018"/>
      <c r="AG773" s="477"/>
      <c r="AH773" s="2019"/>
      <c r="AI773" s="2021"/>
      <c r="AJ773" s="2018"/>
      <c r="AK773" s="477"/>
      <c r="AL773" s="2019"/>
      <c r="AM773" s="2021"/>
      <c r="AN773" s="2018"/>
      <c r="AO773" s="477"/>
      <c r="AP773" s="477"/>
      <c r="AQ773" s="477"/>
    </row>
    <row r="774" spans="1:43" ht="15">
      <c r="A774" s="477"/>
      <c r="B774" s="2019"/>
      <c r="C774" s="2021"/>
      <c r="D774" s="2018"/>
      <c r="E774" s="477"/>
      <c r="F774" s="2019"/>
      <c r="G774" s="2021"/>
      <c r="H774" s="2018"/>
      <c r="I774" s="477"/>
      <c r="J774" s="2019"/>
      <c r="K774" s="2021"/>
      <c r="L774" s="2018"/>
      <c r="M774" s="477"/>
      <c r="N774" s="2019"/>
      <c r="O774" s="2021"/>
      <c r="P774" s="2018"/>
      <c r="Q774" s="477"/>
      <c r="R774" s="2019"/>
      <c r="S774" s="2021"/>
      <c r="T774" s="2018"/>
      <c r="U774" s="477"/>
      <c r="V774" s="2019"/>
      <c r="W774" s="2021"/>
      <c r="X774" s="2018"/>
      <c r="Y774" s="477"/>
      <c r="Z774" s="2019"/>
      <c r="AA774" s="2021"/>
      <c r="AB774" s="2018"/>
      <c r="AC774" s="477"/>
      <c r="AD774" s="2019"/>
      <c r="AE774" s="2021"/>
      <c r="AF774" s="2018"/>
      <c r="AG774" s="477"/>
      <c r="AH774" s="2019"/>
      <c r="AI774" s="2021"/>
      <c r="AJ774" s="2018"/>
      <c r="AK774" s="477"/>
      <c r="AL774" s="2019"/>
      <c r="AM774" s="2021"/>
      <c r="AN774" s="2018"/>
      <c r="AO774" s="477"/>
      <c r="AP774" s="477"/>
      <c r="AQ774" s="477"/>
    </row>
    <row r="775" spans="1:43" ht="15">
      <c r="A775" s="477"/>
      <c r="B775" s="2019"/>
      <c r="C775" s="2021"/>
      <c r="D775" s="2018"/>
      <c r="E775" s="477"/>
      <c r="F775" s="2019"/>
      <c r="G775" s="2021"/>
      <c r="H775" s="2018"/>
      <c r="I775" s="477"/>
      <c r="J775" s="2019"/>
      <c r="K775" s="2021"/>
      <c r="L775" s="2018"/>
      <c r="M775" s="477"/>
      <c r="N775" s="2019"/>
      <c r="O775" s="2021"/>
      <c r="P775" s="2018"/>
      <c r="Q775" s="477"/>
      <c r="R775" s="2019"/>
      <c r="S775" s="2021"/>
      <c r="T775" s="2018"/>
      <c r="U775" s="477"/>
      <c r="V775" s="2019"/>
      <c r="W775" s="2021"/>
      <c r="X775" s="2018"/>
      <c r="Y775" s="477"/>
      <c r="Z775" s="2019"/>
      <c r="AA775" s="2021"/>
      <c r="AB775" s="2018"/>
      <c r="AC775" s="477"/>
      <c r="AD775" s="2019"/>
      <c r="AE775" s="2021"/>
      <c r="AF775" s="2018"/>
      <c r="AG775" s="477"/>
      <c r="AH775" s="2019"/>
      <c r="AI775" s="2021"/>
      <c r="AJ775" s="2018"/>
      <c r="AK775" s="477"/>
      <c r="AL775" s="2019"/>
      <c r="AM775" s="2021"/>
      <c r="AN775" s="2018"/>
      <c r="AO775" s="477"/>
      <c r="AP775" s="477"/>
      <c r="AQ775" s="477"/>
    </row>
    <row r="776" spans="1:43" ht="15">
      <c r="A776" s="477"/>
      <c r="B776" s="2019"/>
      <c r="C776" s="2021"/>
      <c r="D776" s="2018"/>
      <c r="E776" s="477"/>
      <c r="F776" s="2019"/>
      <c r="G776" s="2021"/>
      <c r="H776" s="2018"/>
      <c r="I776" s="477"/>
      <c r="J776" s="2019"/>
      <c r="K776" s="2021"/>
      <c r="L776" s="2018"/>
      <c r="M776" s="477"/>
      <c r="N776" s="2019"/>
      <c r="O776" s="2021"/>
      <c r="P776" s="2018"/>
      <c r="Q776" s="477"/>
      <c r="R776" s="2019"/>
      <c r="S776" s="2021"/>
      <c r="T776" s="2018"/>
      <c r="U776" s="477"/>
      <c r="V776" s="2019"/>
      <c r="W776" s="2021"/>
      <c r="X776" s="2018"/>
      <c r="Y776" s="477"/>
      <c r="Z776" s="2019"/>
      <c r="AA776" s="2021"/>
      <c r="AB776" s="2018"/>
      <c r="AC776" s="477"/>
      <c r="AD776" s="2019"/>
      <c r="AE776" s="2021"/>
      <c r="AF776" s="2018"/>
      <c r="AG776" s="477"/>
      <c r="AH776" s="2019"/>
      <c r="AI776" s="2021"/>
      <c r="AJ776" s="2018"/>
      <c r="AK776" s="477"/>
      <c r="AL776" s="2019"/>
      <c r="AM776" s="2021"/>
      <c r="AN776" s="2018"/>
      <c r="AO776" s="477"/>
      <c r="AP776" s="477"/>
      <c r="AQ776" s="477"/>
    </row>
    <row r="777" spans="1:43" ht="15">
      <c r="A777" s="477"/>
      <c r="B777" s="2019"/>
      <c r="C777" s="2021"/>
      <c r="D777" s="2018"/>
      <c r="E777" s="477"/>
      <c r="F777" s="2019"/>
      <c r="G777" s="2021"/>
      <c r="H777" s="2018"/>
      <c r="I777" s="477"/>
      <c r="J777" s="2019"/>
      <c r="K777" s="2021"/>
      <c r="L777" s="2018"/>
      <c r="M777" s="477"/>
      <c r="N777" s="2019"/>
      <c r="O777" s="2021"/>
      <c r="P777" s="2018"/>
      <c r="Q777" s="477"/>
      <c r="R777" s="2019"/>
      <c r="S777" s="2021"/>
      <c r="T777" s="2018"/>
      <c r="U777" s="477"/>
      <c r="V777" s="2019"/>
      <c r="W777" s="2021"/>
      <c r="X777" s="2018"/>
      <c r="Y777" s="477"/>
      <c r="Z777" s="2019"/>
      <c r="AA777" s="2021"/>
      <c r="AB777" s="2018"/>
      <c r="AC777" s="477"/>
      <c r="AD777" s="2019"/>
      <c r="AE777" s="2021"/>
      <c r="AF777" s="2018"/>
      <c r="AG777" s="477"/>
      <c r="AH777" s="2019"/>
      <c r="AI777" s="2021"/>
      <c r="AJ777" s="2018"/>
      <c r="AK777" s="477"/>
      <c r="AL777" s="2019"/>
      <c r="AM777" s="2021"/>
      <c r="AN777" s="2018"/>
      <c r="AO777" s="477"/>
      <c r="AP777" s="477"/>
      <c r="AQ777" s="477"/>
    </row>
    <row r="778" spans="1:43" ht="15">
      <c r="A778" s="477"/>
      <c r="B778" s="2019"/>
      <c r="C778" s="2021"/>
      <c r="D778" s="2018"/>
      <c r="E778" s="477"/>
      <c r="F778" s="2019"/>
      <c r="G778" s="2021"/>
      <c r="H778" s="2018"/>
      <c r="I778" s="477"/>
      <c r="J778" s="2019"/>
      <c r="K778" s="2021"/>
      <c r="L778" s="2018"/>
      <c r="M778" s="477"/>
      <c r="N778" s="2019"/>
      <c r="O778" s="2021"/>
      <c r="P778" s="2018"/>
      <c r="Q778" s="477"/>
      <c r="R778" s="2019"/>
      <c r="S778" s="2021"/>
      <c r="T778" s="2018"/>
      <c r="U778" s="477"/>
      <c r="V778" s="2019"/>
      <c r="W778" s="2021"/>
      <c r="X778" s="2018"/>
      <c r="Y778" s="477"/>
      <c r="Z778" s="2019"/>
      <c r="AA778" s="2021"/>
      <c r="AB778" s="2018"/>
      <c r="AC778" s="477"/>
      <c r="AD778" s="2019"/>
      <c r="AE778" s="2021"/>
      <c r="AF778" s="2018"/>
      <c r="AG778" s="477"/>
      <c r="AH778" s="2019"/>
      <c r="AI778" s="2021"/>
      <c r="AJ778" s="2018"/>
      <c r="AK778" s="477"/>
      <c r="AL778" s="2019"/>
      <c r="AM778" s="2021"/>
      <c r="AN778" s="2018"/>
      <c r="AO778" s="477"/>
      <c r="AP778" s="477"/>
      <c r="AQ778" s="477"/>
    </row>
    <row r="779" spans="1:43" ht="15">
      <c r="A779" s="477"/>
      <c r="B779" s="2019"/>
      <c r="C779" s="2021"/>
      <c r="D779" s="2018"/>
      <c r="E779" s="477"/>
      <c r="F779" s="2019"/>
      <c r="G779" s="2021"/>
      <c r="H779" s="2018"/>
      <c r="I779" s="477"/>
      <c r="J779" s="2019"/>
      <c r="K779" s="2021"/>
      <c r="L779" s="2018"/>
      <c r="M779" s="477"/>
      <c r="N779" s="2019"/>
      <c r="O779" s="2021"/>
      <c r="P779" s="2018"/>
      <c r="Q779" s="477"/>
      <c r="R779" s="2019"/>
      <c r="S779" s="2021"/>
      <c r="T779" s="2018"/>
      <c r="U779" s="477"/>
      <c r="V779" s="2019"/>
      <c r="W779" s="2021"/>
      <c r="X779" s="2018"/>
      <c r="Y779" s="477"/>
      <c r="Z779" s="2019"/>
      <c r="AA779" s="2021"/>
      <c r="AB779" s="2018"/>
      <c r="AC779" s="477"/>
      <c r="AD779" s="2019"/>
      <c r="AE779" s="2021"/>
      <c r="AF779" s="2018"/>
      <c r="AG779" s="477"/>
      <c r="AH779" s="2019"/>
      <c r="AI779" s="2021"/>
      <c r="AJ779" s="2018"/>
      <c r="AK779" s="477"/>
      <c r="AL779" s="2019"/>
      <c r="AM779" s="2021"/>
      <c r="AN779" s="2018"/>
      <c r="AO779" s="477"/>
      <c r="AP779" s="477"/>
      <c r="AQ779" s="477"/>
    </row>
    <row r="780" spans="1:43" ht="15">
      <c r="A780" s="477"/>
      <c r="B780" s="2019"/>
      <c r="C780" s="2021"/>
      <c r="D780" s="2018"/>
      <c r="E780" s="477"/>
      <c r="F780" s="2019"/>
      <c r="G780" s="2021"/>
      <c r="H780" s="2018"/>
      <c r="I780" s="477"/>
      <c r="J780" s="2019"/>
      <c r="K780" s="2021"/>
      <c r="L780" s="2018"/>
      <c r="M780" s="477"/>
      <c r="N780" s="2019"/>
      <c r="O780" s="2021"/>
      <c r="P780" s="2018"/>
      <c r="Q780" s="477"/>
      <c r="R780" s="2019"/>
      <c r="S780" s="2021"/>
      <c r="T780" s="2018"/>
      <c r="U780" s="477"/>
      <c r="V780" s="2019"/>
      <c r="W780" s="2021"/>
      <c r="X780" s="2018"/>
      <c r="Y780" s="477"/>
      <c r="Z780" s="2019"/>
      <c r="AA780" s="2021"/>
      <c r="AB780" s="2018"/>
      <c r="AC780" s="477"/>
      <c r="AD780" s="2019"/>
      <c r="AE780" s="2021"/>
      <c r="AF780" s="2018"/>
      <c r="AG780" s="477"/>
      <c r="AH780" s="2019"/>
      <c r="AI780" s="2021"/>
      <c r="AJ780" s="2018"/>
      <c r="AK780" s="477"/>
      <c r="AL780" s="2019"/>
      <c r="AM780" s="2021"/>
      <c r="AN780" s="2018"/>
      <c r="AO780" s="477"/>
      <c r="AP780" s="477"/>
      <c r="AQ780" s="477"/>
    </row>
    <row r="781" spans="1:43" ht="15">
      <c r="A781" s="477"/>
      <c r="B781" s="2019"/>
      <c r="C781" s="2021"/>
      <c r="D781" s="2018"/>
      <c r="E781" s="477"/>
      <c r="F781" s="2019"/>
      <c r="G781" s="2021"/>
      <c r="H781" s="2018"/>
      <c r="I781" s="477"/>
      <c r="J781" s="2019"/>
      <c r="K781" s="2021"/>
      <c r="L781" s="2018"/>
      <c r="M781" s="477"/>
      <c r="N781" s="2019"/>
      <c r="O781" s="2021"/>
      <c r="P781" s="2018"/>
      <c r="Q781" s="477"/>
      <c r="R781" s="2019"/>
      <c r="S781" s="2021"/>
      <c r="T781" s="2018"/>
      <c r="U781" s="477"/>
      <c r="V781" s="2019"/>
      <c r="W781" s="2021"/>
      <c r="X781" s="2018"/>
      <c r="Y781" s="477"/>
      <c r="Z781" s="2019"/>
      <c r="AA781" s="2021"/>
      <c r="AB781" s="2018"/>
      <c r="AC781" s="477"/>
      <c r="AD781" s="2019"/>
      <c r="AE781" s="2021"/>
      <c r="AF781" s="2018"/>
      <c r="AG781" s="477"/>
      <c r="AH781" s="2019"/>
      <c r="AI781" s="2021"/>
      <c r="AJ781" s="2018"/>
      <c r="AK781" s="477"/>
      <c r="AL781" s="2019"/>
      <c r="AM781" s="2021"/>
      <c r="AN781" s="2018"/>
      <c r="AO781" s="477"/>
      <c r="AP781" s="477"/>
      <c r="AQ781" s="477"/>
    </row>
    <row r="782" spans="1:43" ht="15">
      <c r="A782" s="477"/>
      <c r="B782" s="2019"/>
      <c r="C782" s="2021"/>
      <c r="D782" s="2018"/>
      <c r="E782" s="477"/>
      <c r="F782" s="2019"/>
      <c r="G782" s="2021"/>
      <c r="H782" s="2018"/>
      <c r="I782" s="477"/>
      <c r="J782" s="2019"/>
      <c r="K782" s="2021"/>
      <c r="L782" s="2018"/>
      <c r="M782" s="477"/>
      <c r="N782" s="2019"/>
      <c r="O782" s="2021"/>
      <c r="P782" s="2018"/>
      <c r="Q782" s="477"/>
      <c r="R782" s="2019"/>
      <c r="S782" s="2021"/>
      <c r="T782" s="2018"/>
      <c r="U782" s="477"/>
      <c r="V782" s="2019"/>
      <c r="W782" s="2021"/>
      <c r="X782" s="2018"/>
      <c r="Y782" s="477"/>
      <c r="Z782" s="2019"/>
      <c r="AA782" s="2021"/>
      <c r="AB782" s="2018"/>
      <c r="AC782" s="477"/>
      <c r="AD782" s="2019"/>
      <c r="AE782" s="2021"/>
      <c r="AF782" s="2018"/>
      <c r="AG782" s="477"/>
      <c r="AH782" s="2019"/>
      <c r="AI782" s="2021"/>
      <c r="AJ782" s="2018"/>
      <c r="AK782" s="477"/>
      <c r="AL782" s="2019"/>
      <c r="AM782" s="2021"/>
      <c r="AN782" s="2018"/>
      <c r="AO782" s="477"/>
      <c r="AP782" s="477"/>
      <c r="AQ782" s="477"/>
    </row>
    <row r="783" spans="1:43" ht="15">
      <c r="A783" s="477"/>
      <c r="B783" s="2019"/>
      <c r="C783" s="2021"/>
      <c r="D783" s="2018"/>
      <c r="E783" s="477"/>
      <c r="F783" s="2019"/>
      <c r="G783" s="2021"/>
      <c r="H783" s="2018"/>
      <c r="I783" s="477"/>
      <c r="J783" s="2019"/>
      <c r="K783" s="2021"/>
      <c r="L783" s="2018"/>
      <c r="M783" s="477"/>
      <c r="N783" s="2019"/>
      <c r="O783" s="2021"/>
      <c r="P783" s="2018"/>
      <c r="Q783" s="477"/>
      <c r="R783" s="2019"/>
      <c r="S783" s="2021"/>
      <c r="T783" s="2018"/>
      <c r="U783" s="477"/>
      <c r="V783" s="2019"/>
      <c r="W783" s="2021"/>
      <c r="X783" s="2018"/>
      <c r="Y783" s="477"/>
      <c r="Z783" s="2019"/>
      <c r="AA783" s="2021"/>
      <c r="AB783" s="2018"/>
      <c r="AC783" s="477"/>
      <c r="AD783" s="2019"/>
      <c r="AE783" s="2021"/>
      <c r="AF783" s="2018"/>
      <c r="AG783" s="477"/>
      <c r="AH783" s="2019"/>
      <c r="AI783" s="2021"/>
      <c r="AJ783" s="2018"/>
      <c r="AK783" s="477"/>
      <c r="AL783" s="2019"/>
      <c r="AM783" s="2021"/>
      <c r="AN783" s="2018"/>
      <c r="AO783" s="477"/>
      <c r="AP783" s="477"/>
      <c r="AQ783" s="477"/>
    </row>
    <row r="784" spans="1:43" ht="15">
      <c r="A784" s="477"/>
      <c r="B784" s="2019"/>
      <c r="C784" s="2021"/>
      <c r="D784" s="2018"/>
      <c r="E784" s="477"/>
      <c r="F784" s="2019"/>
      <c r="G784" s="2021"/>
      <c r="H784" s="2018"/>
      <c r="I784" s="477"/>
      <c r="J784" s="2019"/>
      <c r="K784" s="2021"/>
      <c r="L784" s="2018"/>
      <c r="M784" s="477"/>
      <c r="N784" s="2019"/>
      <c r="O784" s="2021"/>
      <c r="P784" s="2018"/>
      <c r="Q784" s="477"/>
      <c r="R784" s="2019"/>
      <c r="S784" s="2021"/>
      <c r="T784" s="2018"/>
      <c r="U784" s="477"/>
      <c r="V784" s="2019"/>
      <c r="W784" s="2021"/>
      <c r="X784" s="2018"/>
      <c r="Y784" s="477"/>
      <c r="Z784" s="2019"/>
      <c r="AA784" s="2021"/>
      <c r="AB784" s="2018"/>
      <c r="AC784" s="477"/>
      <c r="AD784" s="2019"/>
      <c r="AE784" s="2021"/>
      <c r="AF784" s="2018"/>
      <c r="AG784" s="477"/>
      <c r="AH784" s="2019"/>
      <c r="AI784" s="2021"/>
      <c r="AJ784" s="2018"/>
      <c r="AK784" s="477"/>
      <c r="AL784" s="2019"/>
      <c r="AM784" s="2021"/>
      <c r="AN784" s="2018"/>
      <c r="AO784" s="477"/>
      <c r="AP784" s="477"/>
      <c r="AQ784" s="477"/>
    </row>
    <row r="785" spans="1:43" ht="15">
      <c r="A785" s="477"/>
      <c r="B785" s="2019"/>
      <c r="C785" s="2021"/>
      <c r="D785" s="2018"/>
      <c r="E785" s="477"/>
      <c r="F785" s="2019"/>
      <c r="G785" s="2021"/>
      <c r="H785" s="2018"/>
      <c r="I785" s="477"/>
      <c r="J785" s="2019"/>
      <c r="K785" s="2021"/>
      <c r="L785" s="2018"/>
      <c r="M785" s="477"/>
      <c r="N785" s="2019"/>
      <c r="O785" s="2021"/>
      <c r="P785" s="2018"/>
      <c r="Q785" s="477"/>
      <c r="R785" s="2019"/>
      <c r="S785" s="2021"/>
      <c r="T785" s="2018"/>
      <c r="U785" s="477"/>
      <c r="V785" s="2019"/>
      <c r="W785" s="2021"/>
      <c r="X785" s="2018"/>
      <c r="Y785" s="477"/>
      <c r="Z785" s="2019"/>
      <c r="AA785" s="2021"/>
      <c r="AB785" s="2018"/>
      <c r="AC785" s="477"/>
      <c r="AD785" s="2019"/>
      <c r="AE785" s="2021"/>
      <c r="AF785" s="2018"/>
      <c r="AG785" s="477"/>
      <c r="AH785" s="2019"/>
      <c r="AI785" s="2021"/>
      <c r="AJ785" s="2018"/>
      <c r="AK785" s="477"/>
      <c r="AL785" s="2019"/>
      <c r="AM785" s="2021"/>
      <c r="AN785" s="2018"/>
      <c r="AO785" s="477"/>
      <c r="AP785" s="477"/>
      <c r="AQ785" s="477"/>
    </row>
    <row r="786" spans="1:43" ht="15">
      <c r="A786" s="477"/>
      <c r="B786" s="2019"/>
      <c r="C786" s="2021"/>
      <c r="D786" s="2018"/>
      <c r="E786" s="477"/>
      <c r="F786" s="2019"/>
      <c r="G786" s="2021"/>
      <c r="H786" s="2018"/>
      <c r="I786" s="477"/>
      <c r="J786" s="2019"/>
      <c r="K786" s="2021"/>
      <c r="L786" s="2018"/>
      <c r="M786" s="477"/>
      <c r="N786" s="2019"/>
      <c r="O786" s="2021"/>
      <c r="P786" s="2018"/>
      <c r="Q786" s="477"/>
      <c r="R786" s="2019"/>
      <c r="S786" s="2021"/>
      <c r="T786" s="2018"/>
      <c r="U786" s="477"/>
      <c r="V786" s="2019"/>
      <c r="W786" s="2021"/>
      <c r="X786" s="2018"/>
      <c r="Y786" s="477"/>
      <c r="Z786" s="2019"/>
      <c r="AA786" s="2021"/>
      <c r="AB786" s="2018"/>
      <c r="AC786" s="477"/>
      <c r="AD786" s="2019"/>
      <c r="AE786" s="2021"/>
      <c r="AF786" s="2018"/>
      <c r="AG786" s="477"/>
      <c r="AH786" s="2019"/>
      <c r="AI786" s="2021"/>
      <c r="AJ786" s="2018"/>
      <c r="AK786" s="477"/>
      <c r="AL786" s="2019"/>
      <c r="AM786" s="2021"/>
      <c r="AN786" s="2018"/>
      <c r="AO786" s="477"/>
      <c r="AP786" s="477"/>
      <c r="AQ786" s="477"/>
    </row>
    <row r="787" spans="1:43" ht="15">
      <c r="A787" s="477"/>
      <c r="B787" s="2019"/>
      <c r="C787" s="2021"/>
      <c r="D787" s="2018"/>
      <c r="E787" s="477"/>
      <c r="F787" s="2019"/>
      <c r="G787" s="2021"/>
      <c r="H787" s="2018"/>
      <c r="I787" s="477"/>
      <c r="J787" s="2019"/>
      <c r="K787" s="2021"/>
      <c r="L787" s="2018"/>
      <c r="M787" s="477"/>
      <c r="N787" s="2019"/>
      <c r="O787" s="2021"/>
      <c r="P787" s="2018"/>
      <c r="Q787" s="477"/>
      <c r="R787" s="2019"/>
      <c r="S787" s="2021"/>
      <c r="T787" s="2018"/>
      <c r="U787" s="477"/>
      <c r="V787" s="2019"/>
      <c r="W787" s="2021"/>
      <c r="X787" s="2018"/>
      <c r="Y787" s="477"/>
      <c r="Z787" s="2019"/>
      <c r="AA787" s="2021"/>
      <c r="AB787" s="2018"/>
      <c r="AC787" s="477"/>
      <c r="AD787" s="2019"/>
      <c r="AE787" s="2021"/>
      <c r="AF787" s="2018"/>
      <c r="AG787" s="477"/>
      <c r="AH787" s="2019"/>
      <c r="AI787" s="2021"/>
      <c r="AJ787" s="2018"/>
      <c r="AK787" s="477"/>
      <c r="AL787" s="2019"/>
      <c r="AM787" s="2021"/>
      <c r="AN787" s="2018"/>
      <c r="AO787" s="477"/>
      <c r="AP787" s="477"/>
      <c r="AQ787" s="477"/>
    </row>
    <row r="788" spans="1:43" ht="15">
      <c r="A788" s="477"/>
      <c r="B788" s="2019"/>
      <c r="C788" s="2021"/>
      <c r="D788" s="2018"/>
      <c r="E788" s="477"/>
      <c r="F788" s="2019"/>
      <c r="G788" s="2021"/>
      <c r="H788" s="2018"/>
      <c r="I788" s="477"/>
      <c r="J788" s="2019"/>
      <c r="K788" s="2021"/>
      <c r="L788" s="2018"/>
      <c r="M788" s="477"/>
      <c r="N788" s="2019"/>
      <c r="O788" s="2021"/>
      <c r="P788" s="2018"/>
      <c r="Q788" s="477"/>
      <c r="R788" s="2019"/>
      <c r="S788" s="2021"/>
      <c r="T788" s="2018"/>
      <c r="U788" s="477"/>
      <c r="V788" s="2019"/>
      <c r="W788" s="2021"/>
      <c r="X788" s="2018"/>
      <c r="Y788" s="477"/>
      <c r="Z788" s="2019"/>
      <c r="AA788" s="2021"/>
      <c r="AB788" s="2018"/>
      <c r="AC788" s="477"/>
      <c r="AD788" s="2019"/>
      <c r="AE788" s="2021"/>
      <c r="AF788" s="2018"/>
      <c r="AG788" s="477"/>
      <c r="AH788" s="2019"/>
      <c r="AI788" s="2021"/>
      <c r="AJ788" s="2018"/>
      <c r="AK788" s="477"/>
      <c r="AL788" s="2019"/>
      <c r="AM788" s="2021"/>
      <c r="AN788" s="2018"/>
      <c r="AO788" s="477"/>
      <c r="AP788" s="477"/>
      <c r="AQ788" s="477"/>
    </row>
    <row r="789" spans="1:43" ht="15">
      <c r="A789" s="477"/>
      <c r="B789" s="2019"/>
      <c r="C789" s="2021"/>
      <c r="D789" s="2018"/>
      <c r="E789" s="477"/>
      <c r="F789" s="2019"/>
      <c r="G789" s="2021"/>
      <c r="H789" s="2018"/>
      <c r="I789" s="477"/>
      <c r="J789" s="2019"/>
      <c r="K789" s="2021"/>
      <c r="L789" s="2018"/>
      <c r="M789" s="477"/>
      <c r="N789" s="2019"/>
      <c r="O789" s="2021"/>
      <c r="P789" s="2018"/>
      <c r="Q789" s="477"/>
      <c r="R789" s="2019"/>
      <c r="S789" s="2021"/>
      <c r="T789" s="2018"/>
      <c r="U789" s="477"/>
      <c r="V789" s="2019"/>
      <c r="W789" s="2021"/>
      <c r="X789" s="2018"/>
      <c r="Y789" s="477"/>
      <c r="Z789" s="2019"/>
      <c r="AA789" s="2021"/>
      <c r="AB789" s="2018"/>
      <c r="AC789" s="477"/>
      <c r="AD789" s="2019"/>
      <c r="AE789" s="2021"/>
      <c r="AF789" s="2018"/>
      <c r="AG789" s="477"/>
      <c r="AH789" s="2019"/>
      <c r="AI789" s="2021"/>
      <c r="AJ789" s="2018"/>
      <c r="AK789" s="477"/>
      <c r="AL789" s="2019"/>
      <c r="AM789" s="2021"/>
      <c r="AN789" s="2018"/>
      <c r="AO789" s="477"/>
      <c r="AP789" s="477"/>
      <c r="AQ789" s="477"/>
    </row>
    <row r="790" spans="1:43" ht="15">
      <c r="A790" s="477"/>
      <c r="B790" s="2019"/>
      <c r="C790" s="2021"/>
      <c r="D790" s="2018"/>
      <c r="E790" s="477"/>
      <c r="F790" s="2019"/>
      <c r="G790" s="2021"/>
      <c r="H790" s="2018"/>
      <c r="I790" s="477"/>
      <c r="J790" s="2019"/>
      <c r="K790" s="2021"/>
      <c r="L790" s="2018"/>
      <c r="M790" s="477"/>
      <c r="N790" s="2019"/>
      <c r="O790" s="2021"/>
      <c r="P790" s="2018"/>
      <c r="Q790" s="477"/>
      <c r="R790" s="2019"/>
      <c r="S790" s="2021"/>
      <c r="T790" s="2018"/>
      <c r="U790" s="477"/>
      <c r="V790" s="2019"/>
      <c r="W790" s="2021"/>
      <c r="X790" s="2018"/>
      <c r="Y790" s="477"/>
      <c r="Z790" s="2019"/>
      <c r="AA790" s="2021"/>
      <c r="AB790" s="2018"/>
      <c r="AC790" s="477"/>
      <c r="AD790" s="2019"/>
      <c r="AE790" s="2021"/>
      <c r="AF790" s="2018"/>
      <c r="AG790" s="477"/>
      <c r="AH790" s="2019"/>
      <c r="AI790" s="2021"/>
      <c r="AJ790" s="2018"/>
      <c r="AK790" s="477"/>
      <c r="AL790" s="2019"/>
      <c r="AM790" s="2021"/>
      <c r="AN790" s="2018"/>
      <c r="AO790" s="477"/>
      <c r="AP790" s="477"/>
      <c r="AQ790" s="477"/>
    </row>
    <row r="791" spans="1:43" ht="15">
      <c r="A791" s="477"/>
      <c r="B791" s="2019"/>
      <c r="C791" s="2021"/>
      <c r="D791" s="2018"/>
      <c r="E791" s="477"/>
      <c r="F791" s="2019"/>
      <c r="G791" s="2021"/>
      <c r="H791" s="2018"/>
      <c r="I791" s="477"/>
      <c r="J791" s="2019"/>
      <c r="K791" s="2021"/>
      <c r="L791" s="2018"/>
      <c r="M791" s="477"/>
      <c r="N791" s="2019"/>
      <c r="O791" s="2021"/>
      <c r="P791" s="2018"/>
      <c r="Q791" s="477"/>
      <c r="R791" s="2019"/>
      <c r="S791" s="2021"/>
      <c r="T791" s="2018"/>
      <c r="U791" s="477"/>
      <c r="V791" s="2019"/>
      <c r="W791" s="2021"/>
      <c r="X791" s="2018"/>
      <c r="Y791" s="477"/>
      <c r="Z791" s="2019"/>
      <c r="AA791" s="2021"/>
      <c r="AB791" s="2018"/>
      <c r="AC791" s="477"/>
      <c r="AD791" s="2019"/>
      <c r="AE791" s="2021"/>
      <c r="AF791" s="2018"/>
      <c r="AG791" s="477"/>
      <c r="AH791" s="2019"/>
      <c r="AI791" s="2021"/>
      <c r="AJ791" s="2018"/>
      <c r="AK791" s="477"/>
      <c r="AL791" s="2019"/>
      <c r="AM791" s="2021"/>
      <c r="AN791" s="2018"/>
      <c r="AO791" s="477"/>
      <c r="AP791" s="477"/>
      <c r="AQ791" s="477"/>
    </row>
    <row r="792" spans="1:43" ht="15">
      <c r="A792" s="477"/>
      <c r="B792" s="2019"/>
      <c r="C792" s="2021"/>
      <c r="D792" s="2018"/>
      <c r="E792" s="477"/>
      <c r="F792" s="2019"/>
      <c r="G792" s="2021"/>
      <c r="H792" s="2018"/>
      <c r="I792" s="477"/>
      <c r="J792" s="2019"/>
      <c r="K792" s="2021"/>
      <c r="L792" s="2018"/>
      <c r="M792" s="477"/>
      <c r="N792" s="2019"/>
      <c r="O792" s="2021"/>
      <c r="P792" s="2018"/>
      <c r="Q792" s="477"/>
      <c r="R792" s="2019"/>
      <c r="S792" s="2021"/>
      <c r="T792" s="2018"/>
      <c r="U792" s="477"/>
      <c r="V792" s="2019"/>
      <c r="W792" s="2021"/>
      <c r="X792" s="2018"/>
      <c r="Y792" s="477"/>
      <c r="Z792" s="2019"/>
      <c r="AA792" s="2021"/>
      <c r="AB792" s="2018"/>
      <c r="AC792" s="477"/>
      <c r="AD792" s="2019"/>
      <c r="AE792" s="2021"/>
      <c r="AF792" s="2018"/>
      <c r="AG792" s="477"/>
      <c r="AH792" s="2019"/>
      <c r="AI792" s="2021"/>
      <c r="AJ792" s="2018"/>
      <c r="AK792" s="477"/>
      <c r="AL792" s="2019"/>
      <c r="AM792" s="2021"/>
      <c r="AN792" s="2018"/>
      <c r="AO792" s="477"/>
      <c r="AP792" s="477"/>
      <c r="AQ792" s="477"/>
    </row>
    <row r="793" spans="1:43" ht="15">
      <c r="A793" s="477"/>
      <c r="B793" s="2019"/>
      <c r="C793" s="2021"/>
      <c r="D793" s="2018"/>
      <c r="E793" s="477"/>
      <c r="F793" s="2019"/>
      <c r="G793" s="2021"/>
      <c r="H793" s="2018"/>
      <c r="I793" s="477"/>
      <c r="J793" s="2019"/>
      <c r="K793" s="2021"/>
      <c r="L793" s="2018"/>
      <c r="M793" s="477"/>
      <c r="N793" s="2019"/>
      <c r="O793" s="2021"/>
      <c r="P793" s="2018"/>
      <c r="Q793" s="477"/>
      <c r="R793" s="2019"/>
      <c r="S793" s="2021"/>
      <c r="T793" s="2018"/>
      <c r="U793" s="477"/>
      <c r="V793" s="2019"/>
      <c r="W793" s="2021"/>
      <c r="X793" s="2018"/>
      <c r="Y793" s="477"/>
      <c r="Z793" s="2019"/>
      <c r="AA793" s="2021"/>
      <c r="AB793" s="2018"/>
      <c r="AC793" s="477"/>
      <c r="AD793" s="2019"/>
      <c r="AE793" s="2021"/>
      <c r="AF793" s="2018"/>
      <c r="AG793" s="477"/>
      <c r="AH793" s="2019"/>
      <c r="AI793" s="2021"/>
      <c r="AJ793" s="2018"/>
      <c r="AK793" s="477"/>
      <c r="AL793" s="2019"/>
      <c r="AM793" s="2021"/>
      <c r="AN793" s="2018"/>
      <c r="AO793" s="477"/>
      <c r="AP793" s="477"/>
      <c r="AQ793" s="477"/>
    </row>
    <row r="794" spans="1:43" ht="15">
      <c r="A794" s="477"/>
      <c r="B794" s="2019"/>
      <c r="C794" s="2021"/>
      <c r="D794" s="2018"/>
      <c r="E794" s="477"/>
      <c r="F794" s="2019"/>
      <c r="G794" s="2021"/>
      <c r="H794" s="2018"/>
      <c r="I794" s="477"/>
      <c r="J794" s="2019"/>
      <c r="K794" s="2021"/>
      <c r="L794" s="2018"/>
      <c r="M794" s="477"/>
      <c r="N794" s="2019"/>
      <c r="O794" s="2021"/>
      <c r="P794" s="2018"/>
      <c r="Q794" s="477"/>
      <c r="R794" s="2019"/>
      <c r="S794" s="2021"/>
      <c r="T794" s="2018"/>
      <c r="U794" s="477"/>
      <c r="V794" s="2019"/>
      <c r="W794" s="2021"/>
      <c r="X794" s="2018"/>
      <c r="Y794" s="477"/>
      <c r="Z794" s="2019"/>
      <c r="AA794" s="2021"/>
      <c r="AB794" s="2018"/>
      <c r="AC794" s="477"/>
      <c r="AD794" s="2019"/>
      <c r="AE794" s="2021"/>
      <c r="AF794" s="2018"/>
      <c r="AG794" s="477"/>
      <c r="AH794" s="2019"/>
      <c r="AI794" s="2021"/>
      <c r="AJ794" s="2018"/>
      <c r="AK794" s="477"/>
      <c r="AL794" s="2019"/>
      <c r="AM794" s="2021"/>
      <c r="AN794" s="2018"/>
      <c r="AO794" s="477"/>
      <c r="AP794" s="477"/>
      <c r="AQ794" s="477"/>
    </row>
    <row r="795" spans="1:43" ht="15">
      <c r="A795" s="477"/>
      <c r="B795" s="2019"/>
      <c r="C795" s="2021"/>
      <c r="D795" s="2018"/>
      <c r="E795" s="477"/>
      <c r="F795" s="2019"/>
      <c r="G795" s="2021"/>
      <c r="H795" s="2018"/>
      <c r="I795" s="477"/>
      <c r="J795" s="2019"/>
      <c r="K795" s="2021"/>
      <c r="L795" s="2018"/>
      <c r="M795" s="477"/>
      <c r="N795" s="2019"/>
      <c r="O795" s="2021"/>
      <c r="P795" s="2018"/>
      <c r="Q795" s="477"/>
      <c r="R795" s="2019"/>
      <c r="S795" s="2021"/>
      <c r="T795" s="2018"/>
      <c r="U795" s="477"/>
      <c r="V795" s="2019"/>
      <c r="W795" s="2021"/>
      <c r="X795" s="2018"/>
      <c r="Y795" s="477"/>
      <c r="Z795" s="2019"/>
      <c r="AA795" s="2021"/>
      <c r="AB795" s="2018"/>
      <c r="AC795" s="477"/>
      <c r="AD795" s="2019"/>
      <c r="AE795" s="2021"/>
      <c r="AF795" s="2018"/>
      <c r="AG795" s="477"/>
      <c r="AH795" s="2019"/>
      <c r="AI795" s="2021"/>
      <c r="AJ795" s="2018"/>
      <c r="AK795" s="477"/>
      <c r="AL795" s="2019"/>
      <c r="AM795" s="2021"/>
      <c r="AN795" s="2018"/>
      <c r="AO795" s="477"/>
      <c r="AP795" s="477"/>
      <c r="AQ795" s="477"/>
    </row>
    <row r="796" spans="1:43" ht="15">
      <c r="A796" s="477"/>
      <c r="B796" s="2019"/>
      <c r="C796" s="2021"/>
      <c r="D796" s="2018"/>
      <c r="E796" s="477"/>
      <c r="F796" s="2019"/>
      <c r="G796" s="2021"/>
      <c r="H796" s="2018"/>
      <c r="I796" s="477"/>
      <c r="J796" s="2019"/>
      <c r="K796" s="2021"/>
      <c r="L796" s="2018"/>
      <c r="M796" s="477"/>
      <c r="N796" s="2019"/>
      <c r="O796" s="2021"/>
      <c r="P796" s="2018"/>
      <c r="Q796" s="477"/>
      <c r="R796" s="2019"/>
      <c r="S796" s="2021"/>
      <c r="T796" s="2018"/>
      <c r="U796" s="477"/>
      <c r="V796" s="2019"/>
      <c r="W796" s="2021"/>
      <c r="X796" s="2018"/>
      <c r="Y796" s="477"/>
      <c r="Z796" s="2019"/>
      <c r="AA796" s="2021"/>
      <c r="AB796" s="2018"/>
      <c r="AC796" s="477"/>
      <c r="AD796" s="2019"/>
      <c r="AE796" s="2021"/>
      <c r="AF796" s="2018"/>
      <c r="AG796" s="477"/>
      <c r="AH796" s="2019"/>
      <c r="AI796" s="2021"/>
      <c r="AJ796" s="2018"/>
      <c r="AK796" s="477"/>
      <c r="AL796" s="2019"/>
      <c r="AM796" s="2021"/>
      <c r="AN796" s="2018"/>
      <c r="AO796" s="477"/>
      <c r="AP796" s="477"/>
      <c r="AQ796" s="477"/>
    </row>
    <row r="797" spans="1:43" ht="15">
      <c r="A797" s="477"/>
      <c r="B797" s="2019"/>
      <c r="C797" s="2021"/>
      <c r="D797" s="2018"/>
      <c r="E797" s="477"/>
      <c r="F797" s="2019"/>
      <c r="G797" s="2021"/>
      <c r="H797" s="2018"/>
      <c r="I797" s="477"/>
      <c r="J797" s="2019"/>
      <c r="K797" s="2021"/>
      <c r="L797" s="2018"/>
      <c r="M797" s="477"/>
      <c r="N797" s="2019"/>
      <c r="O797" s="2021"/>
      <c r="P797" s="2018"/>
      <c r="Q797" s="477"/>
      <c r="R797" s="2019"/>
      <c r="S797" s="2021"/>
      <c r="T797" s="2018"/>
      <c r="U797" s="477"/>
      <c r="V797" s="2019"/>
      <c r="W797" s="2021"/>
      <c r="X797" s="2018"/>
      <c r="Y797" s="477"/>
      <c r="Z797" s="2019"/>
      <c r="AA797" s="2021"/>
      <c r="AB797" s="2018"/>
      <c r="AC797" s="477"/>
      <c r="AD797" s="2019"/>
      <c r="AE797" s="2021"/>
      <c r="AF797" s="2018"/>
      <c r="AG797" s="477"/>
      <c r="AH797" s="2019"/>
      <c r="AI797" s="2021"/>
      <c r="AJ797" s="2018"/>
      <c r="AK797" s="477"/>
      <c r="AL797" s="2019"/>
      <c r="AM797" s="2021"/>
      <c r="AN797" s="2018"/>
      <c r="AO797" s="477"/>
      <c r="AP797" s="477"/>
      <c r="AQ797" s="477"/>
    </row>
    <row r="798" spans="1:43" ht="15">
      <c r="A798" s="477"/>
      <c r="B798" s="2019"/>
      <c r="C798" s="2021"/>
      <c r="D798" s="2018"/>
      <c r="E798" s="477"/>
      <c r="F798" s="2019"/>
      <c r="G798" s="2021"/>
      <c r="H798" s="2018"/>
      <c r="I798" s="477"/>
      <c r="J798" s="2019"/>
      <c r="K798" s="2021"/>
      <c r="L798" s="2018"/>
      <c r="M798" s="477"/>
      <c r="N798" s="2019"/>
      <c r="O798" s="2021"/>
      <c r="P798" s="2018"/>
      <c r="Q798" s="477"/>
      <c r="R798" s="2019"/>
      <c r="S798" s="2021"/>
      <c r="T798" s="2018"/>
      <c r="U798" s="477"/>
      <c r="V798" s="2019"/>
      <c r="W798" s="2021"/>
      <c r="X798" s="2018"/>
      <c r="Y798" s="477"/>
      <c r="Z798" s="2019"/>
      <c r="AA798" s="2021"/>
      <c r="AB798" s="2018"/>
      <c r="AC798" s="477"/>
      <c r="AD798" s="2019"/>
      <c r="AE798" s="2021"/>
      <c r="AF798" s="2018"/>
      <c r="AG798" s="477"/>
      <c r="AH798" s="2019"/>
      <c r="AI798" s="2021"/>
      <c r="AJ798" s="2018"/>
      <c r="AK798" s="477"/>
      <c r="AL798" s="2019"/>
      <c r="AM798" s="2021"/>
      <c r="AN798" s="2018"/>
      <c r="AO798" s="477"/>
      <c r="AP798" s="477"/>
      <c r="AQ798" s="477"/>
    </row>
    <row r="799" spans="1:43" ht="15">
      <c r="A799" s="477"/>
      <c r="B799" s="2019"/>
      <c r="C799" s="2021"/>
      <c r="D799" s="2018"/>
      <c r="E799" s="477"/>
      <c r="F799" s="2019"/>
      <c r="G799" s="2021"/>
      <c r="H799" s="2018"/>
      <c r="I799" s="477"/>
      <c r="J799" s="2019"/>
      <c r="K799" s="2021"/>
      <c r="L799" s="2018"/>
      <c r="M799" s="477"/>
      <c r="N799" s="2019"/>
      <c r="O799" s="2021"/>
      <c r="P799" s="2018"/>
      <c r="Q799" s="477"/>
      <c r="R799" s="2019"/>
      <c r="S799" s="2021"/>
      <c r="T799" s="2018"/>
      <c r="U799" s="477"/>
      <c r="V799" s="2019"/>
      <c r="W799" s="2021"/>
      <c r="X799" s="2018"/>
      <c r="Y799" s="477"/>
      <c r="Z799" s="2019"/>
      <c r="AA799" s="2021"/>
      <c r="AB799" s="2018"/>
      <c r="AC799" s="477"/>
      <c r="AD799" s="2019"/>
      <c r="AE799" s="2021"/>
      <c r="AF799" s="2018"/>
      <c r="AG799" s="477"/>
      <c r="AH799" s="2019"/>
      <c r="AI799" s="2021"/>
      <c r="AJ799" s="2018"/>
      <c r="AK799" s="477"/>
      <c r="AL799" s="2019"/>
      <c r="AM799" s="2021"/>
      <c r="AN799" s="2018"/>
      <c r="AO799" s="477"/>
      <c r="AP799" s="477"/>
      <c r="AQ799" s="477"/>
    </row>
    <row r="800" spans="1:43" ht="15">
      <c r="A800" s="477"/>
      <c r="B800" s="2019"/>
      <c r="C800" s="2021"/>
      <c r="D800" s="2018"/>
      <c r="E800" s="477"/>
      <c r="F800" s="2019"/>
      <c r="G800" s="2021"/>
      <c r="H800" s="2018"/>
      <c r="I800" s="477"/>
      <c r="J800" s="2019"/>
      <c r="K800" s="2021"/>
      <c r="L800" s="2018"/>
      <c r="M800" s="477"/>
      <c r="N800" s="2019"/>
      <c r="O800" s="2021"/>
      <c r="P800" s="2018"/>
      <c r="Q800" s="477"/>
      <c r="R800" s="2019"/>
      <c r="S800" s="2021"/>
      <c r="T800" s="2018"/>
      <c r="U800" s="477"/>
      <c r="V800" s="2019"/>
      <c r="W800" s="2021"/>
      <c r="X800" s="2018"/>
      <c r="Y800" s="477"/>
      <c r="Z800" s="2019"/>
      <c r="AA800" s="2021"/>
      <c r="AB800" s="2018"/>
      <c r="AC800" s="477"/>
      <c r="AD800" s="2019"/>
      <c r="AE800" s="2021"/>
      <c r="AF800" s="2018"/>
      <c r="AG800" s="477"/>
      <c r="AH800" s="2019"/>
      <c r="AI800" s="2021"/>
      <c r="AJ800" s="2018"/>
      <c r="AK800" s="477"/>
      <c r="AL800" s="2019"/>
      <c r="AM800" s="2021"/>
      <c r="AN800" s="2018"/>
      <c r="AO800" s="477"/>
      <c r="AP800" s="477"/>
      <c r="AQ800" s="477"/>
    </row>
    <row r="801" spans="1:43" ht="15">
      <c r="A801" s="477"/>
      <c r="B801" s="2019"/>
      <c r="C801" s="2021"/>
      <c r="D801" s="2018"/>
      <c r="E801" s="477"/>
      <c r="F801" s="2019"/>
      <c r="G801" s="2021"/>
      <c r="H801" s="2018"/>
      <c r="I801" s="477"/>
      <c r="J801" s="2019"/>
      <c r="K801" s="2021"/>
      <c r="L801" s="2018"/>
      <c r="M801" s="477"/>
      <c r="N801" s="2019"/>
      <c r="O801" s="2021"/>
      <c r="P801" s="2018"/>
      <c r="Q801" s="477"/>
      <c r="R801" s="2019"/>
      <c r="S801" s="2021"/>
      <c r="T801" s="2018"/>
      <c r="U801" s="477"/>
      <c r="V801" s="2019"/>
      <c r="W801" s="2021"/>
      <c r="X801" s="2018"/>
      <c r="Y801" s="477"/>
      <c r="Z801" s="2019"/>
      <c r="AA801" s="2021"/>
      <c r="AB801" s="2018"/>
      <c r="AC801" s="477"/>
      <c r="AD801" s="2019"/>
      <c r="AE801" s="2021"/>
      <c r="AF801" s="2018"/>
      <c r="AG801" s="477"/>
      <c r="AH801" s="2019"/>
      <c r="AI801" s="2021"/>
      <c r="AJ801" s="2018"/>
      <c r="AK801" s="477"/>
      <c r="AL801" s="2019"/>
      <c r="AM801" s="2021"/>
      <c r="AN801" s="2018"/>
      <c r="AO801" s="477"/>
      <c r="AP801" s="477"/>
      <c r="AQ801" s="477"/>
    </row>
    <row r="802" spans="1:43" ht="15">
      <c r="A802" s="477"/>
      <c r="B802" s="2019"/>
      <c r="C802" s="2021"/>
      <c r="D802" s="2018"/>
      <c r="E802" s="477"/>
      <c r="F802" s="2019"/>
      <c r="G802" s="2021"/>
      <c r="H802" s="2018"/>
      <c r="I802" s="477"/>
      <c r="J802" s="2019"/>
      <c r="K802" s="2021"/>
      <c r="L802" s="2018"/>
      <c r="M802" s="477"/>
      <c r="N802" s="2019"/>
      <c r="O802" s="2021"/>
      <c r="P802" s="2018"/>
      <c r="Q802" s="477"/>
      <c r="R802" s="2019"/>
      <c r="S802" s="2021"/>
      <c r="T802" s="2018"/>
      <c r="U802" s="477"/>
      <c r="V802" s="2019"/>
      <c r="W802" s="2021"/>
      <c r="X802" s="2018"/>
      <c r="Y802" s="477"/>
      <c r="Z802" s="2019"/>
      <c r="AA802" s="2021"/>
      <c r="AB802" s="2018"/>
      <c r="AC802" s="477"/>
      <c r="AD802" s="2019"/>
      <c r="AE802" s="2021"/>
      <c r="AF802" s="2018"/>
      <c r="AG802" s="477"/>
      <c r="AH802" s="2019"/>
      <c r="AI802" s="2021"/>
      <c r="AJ802" s="2018"/>
      <c r="AK802" s="477"/>
      <c r="AL802" s="2019"/>
      <c r="AM802" s="2021"/>
      <c r="AN802" s="2018"/>
      <c r="AO802" s="477"/>
      <c r="AP802" s="477"/>
      <c r="AQ802" s="477"/>
    </row>
    <row r="803" spans="1:43" ht="15">
      <c r="A803" s="477"/>
      <c r="B803" s="2019"/>
      <c r="C803" s="2021"/>
      <c r="D803" s="2018"/>
      <c r="E803" s="477"/>
      <c r="F803" s="2019"/>
      <c r="G803" s="2021"/>
      <c r="H803" s="2018"/>
      <c r="I803" s="477"/>
      <c r="J803" s="2019"/>
      <c r="K803" s="2021"/>
      <c r="L803" s="2018"/>
      <c r="M803" s="477"/>
      <c r="N803" s="2019"/>
      <c r="O803" s="2021"/>
      <c r="P803" s="2018"/>
      <c r="Q803" s="477"/>
      <c r="R803" s="2019"/>
      <c r="S803" s="2021"/>
      <c r="T803" s="2018"/>
      <c r="U803" s="477"/>
      <c r="V803" s="2019"/>
      <c r="W803" s="2021"/>
      <c r="X803" s="2018"/>
      <c r="Y803" s="477"/>
      <c r="Z803" s="2019"/>
      <c r="AA803" s="2021"/>
      <c r="AB803" s="2018"/>
      <c r="AC803" s="477"/>
      <c r="AD803" s="2019"/>
      <c r="AE803" s="2021"/>
      <c r="AF803" s="2018"/>
      <c r="AG803" s="477"/>
      <c r="AH803" s="2019"/>
      <c r="AI803" s="2021"/>
      <c r="AJ803" s="2018"/>
      <c r="AK803" s="477"/>
      <c r="AL803" s="2019"/>
      <c r="AM803" s="2021"/>
      <c r="AN803" s="2018"/>
      <c r="AO803" s="477"/>
      <c r="AP803" s="477"/>
      <c r="AQ803" s="477"/>
    </row>
    <row r="804" spans="1:43" ht="15">
      <c r="A804" s="477"/>
      <c r="B804" s="2019"/>
      <c r="C804" s="2021"/>
      <c r="D804" s="2018"/>
      <c r="E804" s="477"/>
      <c r="F804" s="2019"/>
      <c r="G804" s="2021"/>
      <c r="H804" s="2018"/>
      <c r="I804" s="477"/>
      <c r="J804" s="2019"/>
      <c r="K804" s="2021"/>
      <c r="L804" s="2018"/>
      <c r="M804" s="477"/>
      <c r="N804" s="2019"/>
      <c r="O804" s="2021"/>
      <c r="P804" s="2018"/>
      <c r="Q804" s="477"/>
      <c r="R804" s="2019"/>
      <c r="S804" s="2021"/>
      <c r="T804" s="2018"/>
      <c r="U804" s="477"/>
      <c r="V804" s="2019"/>
      <c r="W804" s="2021"/>
      <c r="X804" s="2018"/>
      <c r="Y804" s="477"/>
      <c r="Z804" s="2019"/>
      <c r="AA804" s="2021"/>
      <c r="AB804" s="2018"/>
      <c r="AC804" s="477"/>
      <c r="AD804" s="2019"/>
      <c r="AE804" s="2021"/>
      <c r="AF804" s="2018"/>
      <c r="AG804" s="477"/>
      <c r="AH804" s="2019"/>
      <c r="AI804" s="2021"/>
      <c r="AJ804" s="2018"/>
      <c r="AK804" s="477"/>
      <c r="AL804" s="2019"/>
      <c r="AM804" s="2021"/>
      <c r="AN804" s="2018"/>
      <c r="AO804" s="477"/>
      <c r="AP804" s="477"/>
      <c r="AQ804" s="477"/>
    </row>
    <row r="805" spans="1:43" ht="15">
      <c r="A805" s="477"/>
      <c r="B805" s="2019"/>
      <c r="C805" s="2021"/>
      <c r="D805" s="2018"/>
      <c r="E805" s="477"/>
      <c r="F805" s="2019"/>
      <c r="G805" s="2021"/>
      <c r="H805" s="2018"/>
      <c r="I805" s="477"/>
      <c r="J805" s="2019"/>
      <c r="K805" s="2021"/>
      <c r="L805" s="2018"/>
      <c r="M805" s="477"/>
      <c r="N805" s="2019"/>
      <c r="O805" s="2021"/>
      <c r="P805" s="2018"/>
      <c r="Q805" s="477"/>
      <c r="R805" s="2019"/>
      <c r="S805" s="2021"/>
      <c r="T805" s="2018"/>
      <c r="U805" s="477"/>
      <c r="V805" s="2019"/>
      <c r="W805" s="2021"/>
      <c r="X805" s="2018"/>
      <c r="Y805" s="477"/>
      <c r="Z805" s="2019"/>
      <c r="AA805" s="2021"/>
      <c r="AB805" s="2018"/>
      <c r="AC805" s="477"/>
      <c r="AD805" s="2019"/>
      <c r="AE805" s="2021"/>
      <c r="AF805" s="2018"/>
      <c r="AG805" s="477"/>
      <c r="AH805" s="2019"/>
      <c r="AI805" s="2021"/>
      <c r="AJ805" s="2018"/>
      <c r="AK805" s="477"/>
      <c r="AL805" s="2019"/>
      <c r="AM805" s="2021"/>
      <c r="AN805" s="2018"/>
      <c r="AO805" s="477"/>
      <c r="AP805" s="477"/>
      <c r="AQ805" s="477"/>
    </row>
    <row r="806" spans="1:43" ht="15">
      <c r="A806" s="477"/>
      <c r="B806" s="2019"/>
      <c r="C806" s="2021"/>
      <c r="D806" s="2018"/>
      <c r="E806" s="477"/>
      <c r="F806" s="2019"/>
      <c r="G806" s="2021"/>
      <c r="H806" s="2018"/>
      <c r="I806" s="477"/>
      <c r="J806" s="2019"/>
      <c r="K806" s="2021"/>
      <c r="L806" s="2018"/>
      <c r="M806" s="477"/>
      <c r="N806" s="2019"/>
      <c r="O806" s="2021"/>
      <c r="P806" s="2018"/>
      <c r="Q806" s="477"/>
      <c r="R806" s="2019"/>
      <c r="S806" s="2021"/>
      <c r="T806" s="2018"/>
      <c r="U806" s="477"/>
      <c r="V806" s="2019"/>
      <c r="W806" s="2021"/>
      <c r="X806" s="2018"/>
      <c r="Y806" s="477"/>
      <c r="Z806" s="2019"/>
      <c r="AA806" s="2021"/>
      <c r="AB806" s="2018"/>
      <c r="AC806" s="477"/>
      <c r="AD806" s="2019"/>
      <c r="AE806" s="2021"/>
      <c r="AF806" s="2018"/>
      <c r="AG806" s="477"/>
      <c r="AH806" s="2019"/>
      <c r="AI806" s="2021"/>
      <c r="AJ806" s="2018"/>
      <c r="AK806" s="477"/>
      <c r="AL806" s="2019"/>
      <c r="AM806" s="2021"/>
      <c r="AN806" s="2018"/>
      <c r="AO806" s="477"/>
      <c r="AP806" s="477"/>
      <c r="AQ806" s="477"/>
    </row>
    <row r="807" spans="1:43" ht="15">
      <c r="A807" s="477"/>
      <c r="B807" s="2019"/>
      <c r="C807" s="2021"/>
      <c r="D807" s="2018"/>
      <c r="E807" s="477"/>
      <c r="F807" s="2019"/>
      <c r="G807" s="2021"/>
      <c r="H807" s="2018"/>
      <c r="I807" s="477"/>
      <c r="J807" s="2019"/>
      <c r="K807" s="2021"/>
      <c r="L807" s="2018"/>
      <c r="M807" s="477"/>
      <c r="N807" s="2019"/>
      <c r="O807" s="2021"/>
      <c r="P807" s="2018"/>
      <c r="Q807" s="477"/>
      <c r="R807" s="2019"/>
      <c r="S807" s="2021"/>
      <c r="T807" s="2018"/>
      <c r="U807" s="477"/>
      <c r="V807" s="2019"/>
      <c r="W807" s="2021"/>
      <c r="X807" s="2018"/>
      <c r="Y807" s="477"/>
      <c r="Z807" s="2019"/>
      <c r="AA807" s="2021"/>
      <c r="AB807" s="2018"/>
      <c r="AC807" s="477"/>
      <c r="AD807" s="2019"/>
      <c r="AE807" s="2021"/>
      <c r="AF807" s="2018"/>
      <c r="AG807" s="477"/>
      <c r="AH807" s="2019"/>
      <c r="AI807" s="2021"/>
      <c r="AJ807" s="2018"/>
      <c r="AK807" s="477"/>
      <c r="AL807" s="2019"/>
      <c r="AM807" s="2021"/>
      <c r="AN807" s="2018"/>
      <c r="AO807" s="477"/>
      <c r="AP807" s="477"/>
      <c r="AQ807" s="477"/>
    </row>
    <row r="808" spans="1:43" ht="15">
      <c r="A808" s="477"/>
      <c r="B808" s="2019"/>
      <c r="C808" s="2021"/>
      <c r="D808" s="2018"/>
      <c r="E808" s="477"/>
      <c r="F808" s="2019"/>
      <c r="G808" s="2021"/>
      <c r="H808" s="2018"/>
      <c r="I808" s="477"/>
      <c r="J808" s="2019"/>
      <c r="K808" s="2021"/>
      <c r="L808" s="2018"/>
      <c r="M808" s="477"/>
      <c r="N808" s="2019"/>
      <c r="O808" s="2021"/>
      <c r="P808" s="2018"/>
      <c r="Q808" s="477"/>
      <c r="R808" s="2019"/>
      <c r="S808" s="2021"/>
      <c r="T808" s="2018"/>
      <c r="U808" s="477"/>
      <c r="V808" s="2019"/>
      <c r="W808" s="2021"/>
      <c r="X808" s="2018"/>
      <c r="Y808" s="477"/>
      <c r="Z808" s="2019"/>
      <c r="AA808" s="2021"/>
      <c r="AB808" s="2018"/>
      <c r="AC808" s="477"/>
      <c r="AD808" s="2019"/>
      <c r="AE808" s="2021"/>
      <c r="AF808" s="2018"/>
      <c r="AG808" s="477"/>
      <c r="AH808" s="2019"/>
      <c r="AI808" s="2021"/>
      <c r="AJ808" s="2018"/>
      <c r="AK808" s="477"/>
      <c r="AL808" s="2019"/>
      <c r="AM808" s="2021"/>
      <c r="AN808" s="2018"/>
      <c r="AO808" s="477"/>
      <c r="AP808" s="477"/>
      <c r="AQ808" s="477"/>
    </row>
    <row r="809" spans="1:43" ht="15">
      <c r="A809" s="477"/>
      <c r="B809" s="2019"/>
      <c r="C809" s="2021"/>
      <c r="D809" s="2018"/>
      <c r="E809" s="477"/>
      <c r="F809" s="2019"/>
      <c r="G809" s="2021"/>
      <c r="H809" s="2018"/>
      <c r="I809" s="477"/>
      <c r="J809" s="2019"/>
      <c r="K809" s="2021"/>
      <c r="L809" s="2018"/>
      <c r="M809" s="477"/>
      <c r="N809" s="2019"/>
      <c r="O809" s="2021"/>
      <c r="P809" s="2018"/>
      <c r="Q809" s="477"/>
      <c r="R809" s="2019"/>
      <c r="S809" s="2021"/>
      <c r="T809" s="2018"/>
      <c r="U809" s="477"/>
      <c r="V809" s="2019"/>
      <c r="W809" s="2021"/>
      <c r="X809" s="2018"/>
      <c r="Y809" s="477"/>
      <c r="Z809" s="2019"/>
      <c r="AA809" s="2021"/>
      <c r="AB809" s="2018"/>
      <c r="AC809" s="477"/>
      <c r="AD809" s="2019"/>
      <c r="AE809" s="2021"/>
      <c r="AF809" s="2018"/>
      <c r="AG809" s="477"/>
      <c r="AH809" s="2019"/>
      <c r="AI809" s="2021"/>
      <c r="AJ809" s="2018"/>
      <c r="AK809" s="477"/>
      <c r="AL809" s="2019"/>
      <c r="AM809" s="2021"/>
      <c r="AN809" s="2018"/>
      <c r="AO809" s="477"/>
      <c r="AP809" s="477"/>
      <c r="AQ809" s="477"/>
    </row>
    <row r="810" spans="1:43" ht="15">
      <c r="A810" s="477"/>
      <c r="B810" s="2019"/>
      <c r="C810" s="2021"/>
      <c r="D810" s="2018"/>
      <c r="E810" s="477"/>
      <c r="F810" s="2019"/>
      <c r="G810" s="2021"/>
      <c r="H810" s="2018"/>
      <c r="I810" s="477"/>
      <c r="J810" s="2019"/>
      <c r="K810" s="2021"/>
      <c r="L810" s="2018"/>
      <c r="M810" s="477"/>
      <c r="N810" s="2019"/>
      <c r="O810" s="2021"/>
      <c r="P810" s="2018"/>
      <c r="Q810" s="477"/>
      <c r="R810" s="2019"/>
      <c r="S810" s="2021"/>
      <c r="T810" s="2018"/>
      <c r="U810" s="477"/>
      <c r="V810" s="2019"/>
      <c r="W810" s="2021"/>
      <c r="X810" s="2018"/>
      <c r="Y810" s="477"/>
      <c r="Z810" s="2019"/>
      <c r="AA810" s="2021"/>
      <c r="AB810" s="2018"/>
      <c r="AC810" s="477"/>
      <c r="AD810" s="2019"/>
      <c r="AE810" s="2021"/>
      <c r="AF810" s="2018"/>
      <c r="AG810" s="477"/>
      <c r="AH810" s="2019"/>
      <c r="AI810" s="2021"/>
      <c r="AJ810" s="2018"/>
      <c r="AK810" s="477"/>
      <c r="AL810" s="2019"/>
      <c r="AM810" s="2021"/>
      <c r="AN810" s="2018"/>
      <c r="AO810" s="477"/>
      <c r="AP810" s="477"/>
      <c r="AQ810" s="477"/>
    </row>
    <row r="811" spans="1:43" ht="15">
      <c r="A811" s="477"/>
      <c r="B811" s="2019"/>
      <c r="C811" s="2021"/>
      <c r="D811" s="2018"/>
      <c r="E811" s="477"/>
      <c r="F811" s="2019"/>
      <c r="G811" s="2021"/>
      <c r="H811" s="2018"/>
      <c r="I811" s="477"/>
      <c r="J811" s="2019"/>
      <c r="K811" s="2021"/>
      <c r="L811" s="2018"/>
      <c r="M811" s="477"/>
      <c r="N811" s="2019"/>
      <c r="O811" s="2021"/>
      <c r="P811" s="2018"/>
      <c r="Q811" s="477"/>
      <c r="R811" s="2019"/>
      <c r="S811" s="2021"/>
      <c r="T811" s="2018"/>
      <c r="U811" s="477"/>
      <c r="V811" s="2019"/>
      <c r="W811" s="2021"/>
      <c r="X811" s="2018"/>
      <c r="Y811" s="477"/>
      <c r="Z811" s="2019"/>
      <c r="AA811" s="2021"/>
      <c r="AB811" s="2018"/>
      <c r="AC811" s="477"/>
      <c r="AD811" s="2019"/>
      <c r="AE811" s="2021"/>
      <c r="AF811" s="2018"/>
      <c r="AG811" s="477"/>
      <c r="AH811" s="2019"/>
      <c r="AI811" s="2021"/>
      <c r="AJ811" s="2018"/>
      <c r="AK811" s="477"/>
      <c r="AL811" s="2019"/>
      <c r="AM811" s="2021"/>
      <c r="AN811" s="2018"/>
      <c r="AO811" s="477"/>
      <c r="AP811" s="477"/>
      <c r="AQ811" s="477"/>
    </row>
    <row r="812" spans="1:43" ht="15">
      <c r="A812" s="477"/>
      <c r="B812" s="2019"/>
      <c r="C812" s="2021"/>
      <c r="D812" s="2018"/>
      <c r="E812" s="477"/>
      <c r="F812" s="2019"/>
      <c r="G812" s="2021"/>
      <c r="H812" s="2018"/>
      <c r="I812" s="477"/>
      <c r="J812" s="2019"/>
      <c r="K812" s="2021"/>
      <c r="L812" s="2018"/>
      <c r="M812" s="477"/>
      <c r="N812" s="2019"/>
      <c r="O812" s="2021"/>
      <c r="P812" s="2018"/>
      <c r="Q812" s="477"/>
      <c r="R812" s="2019"/>
      <c r="S812" s="2021"/>
      <c r="T812" s="2018"/>
      <c r="U812" s="477"/>
      <c r="V812" s="2019"/>
      <c r="W812" s="2021"/>
      <c r="X812" s="2018"/>
      <c r="Y812" s="477"/>
      <c r="Z812" s="2019"/>
      <c r="AA812" s="2021"/>
      <c r="AB812" s="2018"/>
      <c r="AC812" s="477"/>
      <c r="AD812" s="2019"/>
      <c r="AE812" s="2021"/>
      <c r="AF812" s="2018"/>
      <c r="AG812" s="477"/>
      <c r="AH812" s="2019"/>
      <c r="AI812" s="2021"/>
      <c r="AJ812" s="2018"/>
      <c r="AK812" s="477"/>
      <c r="AL812" s="2019"/>
      <c r="AM812" s="2021"/>
      <c r="AN812" s="2018"/>
      <c r="AO812" s="477"/>
      <c r="AP812" s="477"/>
      <c r="AQ812" s="477"/>
    </row>
    <row r="813" spans="1:43" ht="15">
      <c r="A813" s="477"/>
      <c r="B813" s="2019"/>
      <c r="C813" s="2021"/>
      <c r="D813" s="2018"/>
      <c r="E813" s="477"/>
      <c r="F813" s="2019"/>
      <c r="G813" s="2021"/>
      <c r="H813" s="2018"/>
      <c r="I813" s="477"/>
      <c r="J813" s="2019"/>
      <c r="K813" s="2021"/>
      <c r="L813" s="2018"/>
      <c r="M813" s="477"/>
      <c r="N813" s="2019"/>
      <c r="O813" s="2021"/>
      <c r="P813" s="2018"/>
      <c r="Q813" s="477"/>
      <c r="R813" s="2019"/>
      <c r="S813" s="2021"/>
      <c r="T813" s="2018"/>
      <c r="U813" s="477"/>
      <c r="V813" s="2019"/>
      <c r="W813" s="2021"/>
      <c r="X813" s="2018"/>
      <c r="Y813" s="477"/>
      <c r="Z813" s="2019"/>
      <c r="AA813" s="2021"/>
      <c r="AB813" s="2018"/>
      <c r="AC813" s="477"/>
      <c r="AD813" s="2019"/>
      <c r="AE813" s="2021"/>
      <c r="AF813" s="2018"/>
      <c r="AG813" s="477"/>
      <c r="AH813" s="2019"/>
      <c r="AI813" s="2021"/>
      <c r="AJ813" s="2018"/>
      <c r="AK813" s="477"/>
      <c r="AL813" s="2019"/>
      <c r="AM813" s="2021"/>
      <c r="AN813" s="2018"/>
      <c r="AO813" s="477"/>
      <c r="AP813" s="477"/>
      <c r="AQ813" s="477"/>
    </row>
    <row r="814" spans="1:43" ht="15">
      <c r="A814" s="477"/>
      <c r="B814" s="2019"/>
      <c r="C814" s="2021"/>
      <c r="D814" s="2018"/>
      <c r="E814" s="477"/>
      <c r="F814" s="2019"/>
      <c r="G814" s="2021"/>
      <c r="H814" s="2018"/>
      <c r="I814" s="477"/>
      <c r="J814" s="2019"/>
      <c r="K814" s="2021"/>
      <c r="L814" s="2018"/>
      <c r="M814" s="477"/>
      <c r="N814" s="2019"/>
      <c r="O814" s="2021"/>
      <c r="P814" s="2018"/>
      <c r="Q814" s="477"/>
      <c r="R814" s="2019"/>
      <c r="S814" s="2021"/>
      <c r="T814" s="2018"/>
      <c r="U814" s="477"/>
      <c r="V814" s="2019"/>
      <c r="W814" s="2021"/>
      <c r="X814" s="2018"/>
      <c r="Y814" s="477"/>
      <c r="Z814" s="2019"/>
      <c r="AA814" s="2021"/>
      <c r="AB814" s="2018"/>
      <c r="AC814" s="477"/>
      <c r="AD814" s="2019"/>
      <c r="AE814" s="2021"/>
      <c r="AF814" s="2018"/>
      <c r="AG814" s="477"/>
      <c r="AH814" s="2019"/>
      <c r="AI814" s="2021"/>
      <c r="AJ814" s="2018"/>
      <c r="AK814" s="477"/>
      <c r="AL814" s="2019"/>
      <c r="AM814" s="2021"/>
      <c r="AN814" s="2018"/>
      <c r="AO814" s="477"/>
      <c r="AP814" s="477"/>
      <c r="AQ814" s="477"/>
    </row>
    <row r="815" spans="1:43" ht="15">
      <c r="A815" s="477"/>
      <c r="B815" s="2019"/>
      <c r="C815" s="2021"/>
      <c r="D815" s="2018"/>
      <c r="E815" s="477"/>
      <c r="F815" s="2019"/>
      <c r="G815" s="2021"/>
      <c r="H815" s="2018"/>
      <c r="I815" s="477"/>
      <c r="J815" s="2019"/>
      <c r="K815" s="2021"/>
      <c r="L815" s="2018"/>
      <c r="M815" s="477"/>
      <c r="N815" s="2019"/>
      <c r="O815" s="2021"/>
      <c r="P815" s="2018"/>
      <c r="Q815" s="477"/>
      <c r="R815" s="2019"/>
      <c r="S815" s="2021"/>
      <c r="T815" s="2018"/>
      <c r="U815" s="477"/>
      <c r="V815" s="2019"/>
      <c r="W815" s="2021"/>
      <c r="X815" s="2018"/>
      <c r="Y815" s="477"/>
      <c r="Z815" s="2019"/>
      <c r="AA815" s="2021"/>
      <c r="AB815" s="2018"/>
      <c r="AC815" s="477"/>
      <c r="AD815" s="2019"/>
      <c r="AE815" s="2021"/>
      <c r="AF815" s="2018"/>
      <c r="AG815" s="477"/>
      <c r="AH815" s="2019"/>
      <c r="AI815" s="2021"/>
      <c r="AJ815" s="2018"/>
      <c r="AK815" s="477"/>
      <c r="AL815" s="2019"/>
      <c r="AM815" s="2021"/>
      <c r="AN815" s="2018"/>
      <c r="AO815" s="477"/>
      <c r="AP815" s="477"/>
      <c r="AQ815" s="477"/>
    </row>
    <row r="816" spans="1:43" ht="15">
      <c r="A816" s="477"/>
      <c r="B816" s="2019"/>
      <c r="C816" s="2021"/>
      <c r="D816" s="2018"/>
      <c r="E816" s="477"/>
      <c r="F816" s="2019"/>
      <c r="G816" s="2021"/>
      <c r="H816" s="2018"/>
      <c r="I816" s="477"/>
      <c r="J816" s="2019"/>
      <c r="K816" s="2021"/>
      <c r="L816" s="2018"/>
      <c r="M816" s="477"/>
      <c r="N816" s="2019"/>
      <c r="O816" s="2021"/>
      <c r="P816" s="2018"/>
      <c r="Q816" s="477"/>
      <c r="R816" s="2019"/>
      <c r="S816" s="2021"/>
      <c r="T816" s="2018"/>
      <c r="U816" s="477"/>
      <c r="V816" s="2019"/>
      <c r="W816" s="2021"/>
      <c r="X816" s="2018"/>
      <c r="Y816" s="477"/>
      <c r="Z816" s="2019"/>
      <c r="AA816" s="2021"/>
      <c r="AB816" s="2018"/>
      <c r="AC816" s="477"/>
      <c r="AD816" s="2019"/>
      <c r="AE816" s="2021"/>
      <c r="AF816" s="2018"/>
      <c r="AG816" s="477"/>
      <c r="AH816" s="2019"/>
      <c r="AI816" s="2021"/>
      <c r="AJ816" s="2018"/>
      <c r="AK816" s="477"/>
      <c r="AL816" s="2019"/>
      <c r="AM816" s="2021"/>
      <c r="AN816" s="2018"/>
      <c r="AO816" s="477"/>
      <c r="AP816" s="477"/>
      <c r="AQ816" s="477"/>
    </row>
    <row r="817" spans="1:43" ht="15">
      <c r="A817" s="477"/>
      <c r="B817" s="2019"/>
      <c r="C817" s="2021"/>
      <c r="D817" s="2018"/>
      <c r="E817" s="477"/>
      <c r="F817" s="2019"/>
      <c r="G817" s="2021"/>
      <c r="H817" s="2018"/>
      <c r="I817" s="477"/>
      <c r="J817" s="2019"/>
      <c r="K817" s="2021"/>
      <c r="L817" s="2018"/>
      <c r="M817" s="477"/>
      <c r="N817" s="2019"/>
      <c r="O817" s="2021"/>
      <c r="P817" s="2018"/>
      <c r="Q817" s="477"/>
      <c r="R817" s="2019"/>
      <c r="S817" s="2021"/>
      <c r="T817" s="2018"/>
      <c r="U817" s="477"/>
      <c r="V817" s="2019"/>
      <c r="W817" s="2021"/>
      <c r="X817" s="2018"/>
      <c r="Y817" s="477"/>
      <c r="Z817" s="2019"/>
      <c r="AA817" s="2021"/>
      <c r="AB817" s="2018"/>
      <c r="AC817" s="477"/>
      <c r="AD817" s="2019"/>
      <c r="AE817" s="2021"/>
      <c r="AF817" s="2018"/>
      <c r="AG817" s="477"/>
      <c r="AH817" s="2019"/>
      <c r="AI817" s="2021"/>
      <c r="AJ817" s="2018"/>
      <c r="AK817" s="477"/>
      <c r="AL817" s="2019"/>
      <c r="AM817" s="2021"/>
      <c r="AN817" s="2018"/>
      <c r="AO817" s="477"/>
      <c r="AP817" s="477"/>
      <c r="AQ817" s="477"/>
    </row>
    <row r="818" spans="1:43" ht="15">
      <c r="A818" s="477"/>
      <c r="B818" s="2019"/>
      <c r="C818" s="2021"/>
      <c r="D818" s="2018"/>
      <c r="E818" s="477"/>
      <c r="F818" s="2019"/>
      <c r="G818" s="2021"/>
      <c r="H818" s="2018"/>
      <c r="I818" s="477"/>
      <c r="J818" s="2019"/>
      <c r="K818" s="2021"/>
      <c r="L818" s="2018"/>
      <c r="M818" s="477"/>
      <c r="N818" s="2019"/>
      <c r="O818" s="2021"/>
      <c r="P818" s="2018"/>
      <c r="Q818" s="477"/>
      <c r="R818" s="2019"/>
      <c r="S818" s="2021"/>
      <c r="T818" s="2018"/>
      <c r="U818" s="477"/>
      <c r="V818" s="2019"/>
      <c r="W818" s="2021"/>
      <c r="X818" s="2018"/>
      <c r="Y818" s="477"/>
      <c r="Z818" s="2019"/>
      <c r="AA818" s="2021"/>
      <c r="AB818" s="2018"/>
      <c r="AC818" s="477"/>
      <c r="AD818" s="2019"/>
      <c r="AE818" s="2021"/>
      <c r="AF818" s="2018"/>
      <c r="AG818" s="477"/>
      <c r="AH818" s="2019"/>
      <c r="AI818" s="2021"/>
      <c r="AJ818" s="2018"/>
      <c r="AK818" s="477"/>
      <c r="AL818" s="2019"/>
      <c r="AM818" s="2021"/>
      <c r="AN818" s="2018"/>
      <c r="AO818" s="477"/>
      <c r="AP818" s="477"/>
      <c r="AQ818" s="477"/>
    </row>
    <row r="819" spans="1:43" ht="15">
      <c r="A819" s="477"/>
      <c r="B819" s="2019"/>
      <c r="C819" s="2021"/>
      <c r="D819" s="2018"/>
      <c r="E819" s="477"/>
      <c r="F819" s="2019"/>
      <c r="G819" s="2021"/>
      <c r="H819" s="2018"/>
      <c r="I819" s="477"/>
      <c r="J819" s="2019"/>
      <c r="K819" s="2021"/>
      <c r="L819" s="2018"/>
      <c r="M819" s="477"/>
      <c r="N819" s="2019"/>
      <c r="O819" s="2021"/>
      <c r="P819" s="2018"/>
      <c r="Q819" s="477"/>
      <c r="R819" s="2019"/>
      <c r="S819" s="2021"/>
      <c r="T819" s="2018"/>
      <c r="U819" s="477"/>
      <c r="V819" s="2019"/>
      <c r="W819" s="2021"/>
      <c r="X819" s="2018"/>
      <c r="Y819" s="477"/>
      <c r="Z819" s="2019"/>
      <c r="AA819" s="2021"/>
      <c r="AB819" s="2018"/>
      <c r="AC819" s="477"/>
      <c r="AD819" s="2019"/>
      <c r="AE819" s="2021"/>
      <c r="AF819" s="2018"/>
      <c r="AG819" s="477"/>
      <c r="AH819" s="2019"/>
      <c r="AI819" s="2021"/>
      <c r="AJ819" s="2018"/>
      <c r="AK819" s="477"/>
      <c r="AL819" s="2019"/>
      <c r="AM819" s="2021"/>
      <c r="AN819" s="2018"/>
      <c r="AO819" s="477"/>
      <c r="AP819" s="477"/>
      <c r="AQ819" s="477"/>
    </row>
    <row r="820" spans="1:43" ht="15">
      <c r="A820" s="477"/>
      <c r="B820" s="2019"/>
      <c r="C820" s="2021"/>
      <c r="D820" s="2018"/>
      <c r="E820" s="477"/>
      <c r="F820" s="2019"/>
      <c r="G820" s="2021"/>
      <c r="H820" s="2018"/>
      <c r="I820" s="477"/>
      <c r="J820" s="2019"/>
      <c r="K820" s="2021"/>
      <c r="L820" s="2018"/>
      <c r="M820" s="477"/>
      <c r="N820" s="2019"/>
      <c r="O820" s="2021"/>
      <c r="P820" s="2018"/>
      <c r="Q820" s="477"/>
      <c r="R820" s="2019"/>
      <c r="S820" s="2021"/>
      <c r="T820" s="2018"/>
      <c r="U820" s="477"/>
      <c r="V820" s="2019"/>
      <c r="W820" s="2021"/>
      <c r="X820" s="2018"/>
      <c r="Y820" s="477"/>
      <c r="Z820" s="2019"/>
      <c r="AA820" s="2021"/>
      <c r="AB820" s="2018"/>
      <c r="AC820" s="477"/>
      <c r="AD820" s="2019"/>
      <c r="AE820" s="2021"/>
      <c r="AF820" s="2018"/>
      <c r="AG820" s="477"/>
      <c r="AH820" s="2019"/>
      <c r="AI820" s="2021"/>
      <c r="AJ820" s="2018"/>
      <c r="AK820" s="477"/>
      <c r="AL820" s="2019"/>
      <c r="AM820" s="2021"/>
      <c r="AN820" s="2018"/>
      <c r="AO820" s="477"/>
      <c r="AP820" s="477"/>
      <c r="AQ820" s="477"/>
    </row>
    <row r="821" spans="1:43" ht="15">
      <c r="A821" s="477"/>
      <c r="B821" s="2019"/>
      <c r="C821" s="2021"/>
      <c r="D821" s="2018"/>
      <c r="E821" s="477"/>
      <c r="F821" s="2019"/>
      <c r="G821" s="2021"/>
      <c r="H821" s="2018"/>
      <c r="I821" s="477"/>
      <c r="J821" s="2019"/>
      <c r="K821" s="2021"/>
      <c r="L821" s="2018"/>
      <c r="M821" s="477"/>
      <c r="N821" s="2019"/>
      <c r="O821" s="2021"/>
      <c r="P821" s="2018"/>
      <c r="Q821" s="477"/>
      <c r="R821" s="2019"/>
      <c r="S821" s="2021"/>
      <c r="T821" s="2018"/>
      <c r="U821" s="477"/>
      <c r="V821" s="2019"/>
      <c r="W821" s="2021"/>
      <c r="X821" s="2018"/>
      <c r="Y821" s="477"/>
      <c r="Z821" s="2019"/>
      <c r="AA821" s="2021"/>
      <c r="AB821" s="2018"/>
      <c r="AC821" s="477"/>
      <c r="AD821" s="2019"/>
      <c r="AE821" s="2021"/>
      <c r="AF821" s="2018"/>
      <c r="AG821" s="477"/>
      <c r="AH821" s="2019"/>
      <c r="AI821" s="2021"/>
      <c r="AJ821" s="2018"/>
      <c r="AK821" s="477"/>
      <c r="AL821" s="2019"/>
      <c r="AM821" s="2021"/>
      <c r="AN821" s="2018"/>
      <c r="AO821" s="477"/>
      <c r="AP821" s="477"/>
      <c r="AQ821" s="477"/>
    </row>
    <row r="822" spans="1:43" ht="15">
      <c r="A822" s="477"/>
      <c r="B822" s="2019"/>
      <c r="C822" s="2021"/>
      <c r="D822" s="2018"/>
      <c r="E822" s="477"/>
      <c r="F822" s="2019"/>
      <c r="G822" s="2021"/>
      <c r="H822" s="2018"/>
      <c r="I822" s="477"/>
      <c r="J822" s="2019"/>
      <c r="K822" s="2021"/>
      <c r="L822" s="2018"/>
      <c r="M822" s="477"/>
      <c r="N822" s="2019"/>
      <c r="O822" s="2021"/>
      <c r="P822" s="2018"/>
      <c r="Q822" s="477"/>
      <c r="R822" s="2019"/>
      <c r="S822" s="2021"/>
      <c r="T822" s="2018"/>
      <c r="U822" s="477"/>
      <c r="V822" s="2019"/>
      <c r="W822" s="2021"/>
      <c r="X822" s="2018"/>
      <c r="Y822" s="477"/>
      <c r="Z822" s="2019"/>
      <c r="AA822" s="2021"/>
      <c r="AB822" s="2018"/>
      <c r="AC822" s="477"/>
      <c r="AD822" s="2019"/>
      <c r="AE822" s="2021"/>
      <c r="AF822" s="2018"/>
      <c r="AG822" s="477"/>
      <c r="AH822" s="2019"/>
      <c r="AI822" s="2021"/>
      <c r="AJ822" s="2018"/>
      <c r="AK822" s="477"/>
      <c r="AL822" s="2019"/>
      <c r="AM822" s="2021"/>
      <c r="AN822" s="2018"/>
      <c r="AO822" s="477"/>
      <c r="AP822" s="477"/>
      <c r="AQ822" s="477"/>
    </row>
    <row r="823" spans="1:43" ht="15">
      <c r="A823" s="477"/>
      <c r="B823" s="2019"/>
      <c r="C823" s="2021"/>
      <c r="D823" s="2018"/>
      <c r="E823" s="477"/>
      <c r="F823" s="2019"/>
      <c r="G823" s="2021"/>
      <c r="H823" s="2018"/>
      <c r="I823" s="477"/>
      <c r="J823" s="2019"/>
      <c r="K823" s="2021"/>
      <c r="L823" s="2018"/>
      <c r="M823" s="477"/>
      <c r="N823" s="2019"/>
      <c r="O823" s="2021"/>
      <c r="P823" s="2018"/>
      <c r="Q823" s="477"/>
      <c r="R823" s="2019"/>
      <c r="S823" s="2021"/>
      <c r="T823" s="2018"/>
      <c r="U823" s="477"/>
      <c r="V823" s="2019"/>
      <c r="W823" s="2021"/>
      <c r="X823" s="2018"/>
      <c r="Y823" s="477"/>
      <c r="Z823" s="2019"/>
      <c r="AA823" s="2021"/>
      <c r="AB823" s="2018"/>
      <c r="AC823" s="477"/>
      <c r="AD823" s="2019"/>
      <c r="AE823" s="2021"/>
      <c r="AF823" s="2018"/>
      <c r="AG823" s="477"/>
      <c r="AH823" s="2019"/>
      <c r="AI823" s="2021"/>
      <c r="AJ823" s="2018"/>
      <c r="AK823" s="477"/>
      <c r="AL823" s="2019"/>
      <c r="AM823" s="2021"/>
      <c r="AN823" s="2018"/>
      <c r="AO823" s="477"/>
      <c r="AP823" s="477"/>
      <c r="AQ823" s="477"/>
    </row>
    <row r="824" spans="1:43" ht="15">
      <c r="A824" s="477"/>
      <c r="B824" s="2019"/>
      <c r="C824" s="2021"/>
      <c r="D824" s="2018"/>
      <c r="E824" s="477"/>
      <c r="F824" s="2019"/>
      <c r="G824" s="2021"/>
      <c r="H824" s="2018"/>
      <c r="I824" s="477"/>
      <c r="J824" s="2019"/>
      <c r="K824" s="2021"/>
      <c r="L824" s="2018"/>
      <c r="M824" s="477"/>
      <c r="N824" s="2019"/>
      <c r="O824" s="2021"/>
      <c r="P824" s="2018"/>
      <c r="Q824" s="477"/>
      <c r="R824" s="2019"/>
      <c r="S824" s="2021"/>
      <c r="T824" s="2018"/>
      <c r="U824" s="477"/>
      <c r="V824" s="2019"/>
      <c r="W824" s="2021"/>
      <c r="X824" s="2018"/>
      <c r="Y824" s="477"/>
      <c r="Z824" s="2019"/>
      <c r="AA824" s="2021"/>
      <c r="AB824" s="2018"/>
      <c r="AC824" s="477"/>
      <c r="AD824" s="2019"/>
      <c r="AE824" s="2021"/>
      <c r="AF824" s="2018"/>
      <c r="AG824" s="477"/>
      <c r="AH824" s="2019"/>
      <c r="AI824" s="2021"/>
      <c r="AJ824" s="2018"/>
      <c r="AK824" s="477"/>
      <c r="AL824" s="2019"/>
      <c r="AM824" s="2021"/>
      <c r="AN824" s="2018"/>
      <c r="AO824" s="477"/>
      <c r="AP824" s="477"/>
      <c r="AQ824" s="477"/>
    </row>
    <row r="825" spans="1:43" ht="15">
      <c r="A825" s="477"/>
      <c r="B825" s="2019"/>
      <c r="C825" s="2021"/>
      <c r="D825" s="2018"/>
      <c r="E825" s="477"/>
      <c r="F825" s="2019"/>
      <c r="G825" s="2021"/>
      <c r="H825" s="2018"/>
      <c r="I825" s="477"/>
      <c r="J825" s="2019"/>
      <c r="K825" s="2021"/>
      <c r="L825" s="2018"/>
      <c r="M825" s="477"/>
      <c r="N825" s="2019"/>
      <c r="O825" s="2021"/>
      <c r="P825" s="2018"/>
      <c r="Q825" s="477"/>
      <c r="R825" s="2019"/>
      <c r="S825" s="2021"/>
      <c r="T825" s="2018"/>
      <c r="U825" s="477"/>
      <c r="V825" s="2019"/>
      <c r="W825" s="2021"/>
      <c r="X825" s="2018"/>
      <c r="Y825" s="477"/>
      <c r="Z825" s="2019"/>
      <c r="AA825" s="2021"/>
      <c r="AB825" s="2018"/>
      <c r="AC825" s="477"/>
      <c r="AD825" s="2019"/>
      <c r="AE825" s="2021"/>
      <c r="AF825" s="2018"/>
      <c r="AG825" s="477"/>
      <c r="AH825" s="2019"/>
      <c r="AI825" s="2021"/>
      <c r="AJ825" s="2018"/>
      <c r="AK825" s="477"/>
      <c r="AL825" s="2019"/>
      <c r="AM825" s="2021"/>
      <c r="AN825" s="2018"/>
      <c r="AO825" s="477"/>
      <c r="AP825" s="477"/>
      <c r="AQ825" s="477"/>
    </row>
    <row r="826" spans="1:43" ht="15">
      <c r="A826" s="477"/>
      <c r="B826" s="2019"/>
      <c r="C826" s="2021"/>
      <c r="D826" s="2018"/>
      <c r="E826" s="477"/>
      <c r="F826" s="2019"/>
      <c r="G826" s="2021"/>
      <c r="H826" s="2018"/>
      <c r="I826" s="477"/>
      <c r="J826" s="2019"/>
      <c r="K826" s="2021"/>
      <c r="L826" s="2018"/>
      <c r="M826" s="477"/>
      <c r="N826" s="2019"/>
      <c r="O826" s="2021"/>
      <c r="P826" s="2018"/>
      <c r="Q826" s="477"/>
      <c r="R826" s="2019"/>
      <c r="S826" s="2021"/>
      <c r="T826" s="2018"/>
      <c r="U826" s="477"/>
      <c r="V826" s="2019"/>
      <c r="W826" s="2021"/>
      <c r="X826" s="2018"/>
      <c r="Y826" s="477"/>
      <c r="Z826" s="2019"/>
      <c r="AA826" s="2021"/>
      <c r="AB826" s="2018"/>
      <c r="AC826" s="477"/>
      <c r="AD826" s="2019"/>
      <c r="AE826" s="2021"/>
      <c r="AF826" s="2018"/>
      <c r="AG826" s="477"/>
      <c r="AH826" s="2019"/>
      <c r="AI826" s="2021"/>
      <c r="AJ826" s="2018"/>
      <c r="AK826" s="477"/>
      <c r="AL826" s="2019"/>
      <c r="AM826" s="2021"/>
      <c r="AN826" s="2018"/>
      <c r="AO826" s="477"/>
      <c r="AP826" s="477"/>
      <c r="AQ826" s="477"/>
    </row>
    <row r="827" spans="1:43" ht="15">
      <c r="A827" s="477"/>
      <c r="B827" s="2019"/>
      <c r="C827" s="2021"/>
      <c r="D827" s="2018"/>
      <c r="E827" s="477"/>
      <c r="F827" s="2019"/>
      <c r="G827" s="2021"/>
      <c r="H827" s="2018"/>
      <c r="I827" s="477"/>
      <c r="J827" s="2019"/>
      <c r="K827" s="2021"/>
      <c r="L827" s="2018"/>
      <c r="M827" s="477"/>
      <c r="N827" s="2019"/>
      <c r="O827" s="2021"/>
      <c r="P827" s="2018"/>
      <c r="Q827" s="477"/>
      <c r="R827" s="2019"/>
      <c r="S827" s="2021"/>
      <c r="T827" s="2018"/>
      <c r="U827" s="477"/>
      <c r="V827" s="2019"/>
      <c r="W827" s="2021"/>
      <c r="X827" s="2018"/>
      <c r="Y827" s="477"/>
      <c r="Z827" s="2019"/>
      <c r="AA827" s="2021"/>
      <c r="AB827" s="2018"/>
      <c r="AC827" s="477"/>
      <c r="AD827" s="2019"/>
      <c r="AE827" s="2021"/>
      <c r="AF827" s="2018"/>
      <c r="AG827" s="477"/>
      <c r="AH827" s="2019"/>
      <c r="AI827" s="2021"/>
      <c r="AJ827" s="2018"/>
      <c r="AK827" s="477"/>
      <c r="AL827" s="2019"/>
      <c r="AM827" s="2021"/>
      <c r="AN827" s="2018"/>
      <c r="AO827" s="477"/>
      <c r="AP827" s="477"/>
      <c r="AQ827" s="477"/>
    </row>
    <row r="828" spans="1:43" ht="15">
      <c r="A828" s="477"/>
      <c r="B828" s="2019"/>
      <c r="C828" s="2021"/>
      <c r="D828" s="2018"/>
      <c r="E828" s="477"/>
      <c r="F828" s="2019"/>
      <c r="G828" s="2021"/>
      <c r="H828" s="2018"/>
      <c r="I828" s="477"/>
      <c r="J828" s="2019"/>
      <c r="K828" s="2021"/>
      <c r="L828" s="2018"/>
      <c r="M828" s="477"/>
      <c r="N828" s="2019"/>
      <c r="O828" s="2021"/>
      <c r="P828" s="2018"/>
      <c r="Q828" s="477"/>
      <c r="R828" s="2019"/>
      <c r="S828" s="2021"/>
      <c r="T828" s="2018"/>
      <c r="U828" s="477"/>
      <c r="V828" s="2019"/>
      <c r="W828" s="2021"/>
      <c r="X828" s="2018"/>
      <c r="Y828" s="477"/>
      <c r="Z828" s="2019"/>
      <c r="AA828" s="2021"/>
      <c r="AB828" s="2018"/>
      <c r="AC828" s="477"/>
      <c r="AD828" s="2019"/>
      <c r="AE828" s="2021"/>
      <c r="AF828" s="2018"/>
      <c r="AG828" s="477"/>
      <c r="AH828" s="2019"/>
      <c r="AI828" s="2021"/>
      <c r="AJ828" s="2018"/>
      <c r="AK828" s="477"/>
      <c r="AL828" s="2019"/>
      <c r="AM828" s="2021"/>
      <c r="AN828" s="2018"/>
      <c r="AO828" s="477"/>
      <c r="AP828" s="477"/>
      <c r="AQ828" s="477"/>
    </row>
    <row r="829" spans="1:43" ht="15">
      <c r="A829" s="477"/>
      <c r="B829" s="2019"/>
      <c r="C829" s="2021"/>
      <c r="D829" s="2018"/>
      <c r="E829" s="477"/>
      <c r="F829" s="2019"/>
      <c r="G829" s="2021"/>
      <c r="H829" s="2018"/>
      <c r="I829" s="477"/>
      <c r="J829" s="2019"/>
      <c r="K829" s="2021"/>
      <c r="L829" s="2018"/>
      <c r="M829" s="477"/>
      <c r="N829" s="2019"/>
      <c r="O829" s="2021"/>
      <c r="P829" s="2018"/>
      <c r="Q829" s="477"/>
      <c r="R829" s="2019"/>
      <c r="S829" s="2021"/>
      <c r="T829" s="2018"/>
      <c r="U829" s="477"/>
      <c r="V829" s="2019"/>
      <c r="W829" s="2021"/>
      <c r="X829" s="2018"/>
      <c r="Y829" s="477"/>
      <c r="Z829" s="2019"/>
      <c r="AA829" s="2021"/>
      <c r="AB829" s="2018"/>
      <c r="AC829" s="477"/>
      <c r="AD829" s="2019"/>
      <c r="AE829" s="2021"/>
      <c r="AF829" s="2018"/>
      <c r="AG829" s="477"/>
      <c r="AH829" s="2019"/>
      <c r="AI829" s="2021"/>
      <c r="AJ829" s="2018"/>
      <c r="AK829" s="477"/>
      <c r="AL829" s="2019"/>
      <c r="AM829" s="2021"/>
      <c r="AN829" s="2018"/>
      <c r="AO829" s="477"/>
      <c r="AP829" s="477"/>
      <c r="AQ829" s="477"/>
    </row>
    <row r="830" spans="1:43" ht="15">
      <c r="A830" s="477"/>
      <c r="B830" s="2019"/>
      <c r="C830" s="2021"/>
      <c r="D830" s="2018"/>
      <c r="E830" s="477"/>
      <c r="F830" s="2019"/>
      <c r="G830" s="2021"/>
      <c r="H830" s="2018"/>
      <c r="I830" s="477"/>
      <c r="J830" s="2019"/>
      <c r="K830" s="2021"/>
      <c r="L830" s="2018"/>
      <c r="M830" s="477"/>
      <c r="N830" s="2019"/>
      <c r="O830" s="2021"/>
      <c r="P830" s="2018"/>
      <c r="Q830" s="477"/>
      <c r="R830" s="2019"/>
      <c r="S830" s="2021"/>
      <c r="T830" s="2018"/>
      <c r="U830" s="477"/>
      <c r="V830" s="2019"/>
      <c r="W830" s="2021"/>
      <c r="X830" s="2018"/>
      <c r="Y830" s="477"/>
      <c r="Z830" s="2019"/>
      <c r="AA830" s="2021"/>
      <c r="AB830" s="2018"/>
      <c r="AC830" s="477"/>
      <c r="AD830" s="2019"/>
      <c r="AE830" s="2021"/>
      <c r="AF830" s="2018"/>
      <c r="AG830" s="477"/>
      <c r="AH830" s="2019"/>
      <c r="AI830" s="2021"/>
      <c r="AJ830" s="2018"/>
      <c r="AK830" s="477"/>
      <c r="AL830" s="2019"/>
      <c r="AM830" s="2021"/>
      <c r="AN830" s="2018"/>
      <c r="AO830" s="477"/>
      <c r="AP830" s="477"/>
      <c r="AQ830" s="477"/>
    </row>
    <row r="831" spans="1:43" ht="15">
      <c r="A831" s="477"/>
      <c r="B831" s="2019"/>
      <c r="C831" s="2021"/>
      <c r="D831" s="2018"/>
      <c r="E831" s="477"/>
      <c r="F831" s="2019"/>
      <c r="G831" s="2021"/>
      <c r="H831" s="2018"/>
      <c r="I831" s="477"/>
      <c r="J831" s="2019"/>
      <c r="K831" s="2021"/>
      <c r="L831" s="2018"/>
      <c r="M831" s="477"/>
      <c r="N831" s="2019"/>
      <c r="O831" s="2021"/>
      <c r="P831" s="2018"/>
      <c r="Q831" s="477"/>
      <c r="R831" s="2019"/>
      <c r="S831" s="2021"/>
      <c r="T831" s="2018"/>
      <c r="U831" s="477"/>
      <c r="V831" s="2019"/>
      <c r="W831" s="2021"/>
      <c r="X831" s="2018"/>
      <c r="Y831" s="477"/>
      <c r="Z831" s="2019"/>
      <c r="AA831" s="2021"/>
      <c r="AB831" s="2018"/>
      <c r="AC831" s="477"/>
      <c r="AD831" s="2019"/>
      <c r="AE831" s="2021"/>
      <c r="AF831" s="2018"/>
      <c r="AG831" s="477"/>
      <c r="AH831" s="2019"/>
      <c r="AI831" s="2021"/>
      <c r="AJ831" s="2018"/>
      <c r="AK831" s="477"/>
      <c r="AL831" s="2019"/>
      <c r="AM831" s="2021"/>
      <c r="AN831" s="2018"/>
      <c r="AO831" s="477"/>
      <c r="AP831" s="477"/>
      <c r="AQ831" s="477"/>
    </row>
    <row r="832" spans="1:43" ht="15">
      <c r="A832" s="477"/>
      <c r="B832" s="2019"/>
      <c r="C832" s="2021"/>
      <c r="D832" s="2018"/>
      <c r="E832" s="477"/>
      <c r="F832" s="2019"/>
      <c r="G832" s="2021"/>
      <c r="H832" s="2018"/>
      <c r="I832" s="477"/>
      <c r="J832" s="2019"/>
      <c r="K832" s="2021"/>
      <c r="L832" s="2018"/>
      <c r="M832" s="477"/>
      <c r="N832" s="2019"/>
      <c r="O832" s="2021"/>
      <c r="P832" s="2018"/>
      <c r="Q832" s="477"/>
      <c r="R832" s="2019"/>
      <c r="S832" s="2021"/>
      <c r="T832" s="2018"/>
      <c r="U832" s="477"/>
      <c r="V832" s="2019"/>
      <c r="W832" s="2021"/>
      <c r="X832" s="2018"/>
      <c r="Y832" s="477"/>
      <c r="Z832" s="2019"/>
      <c r="AA832" s="2021"/>
      <c r="AB832" s="2018"/>
      <c r="AC832" s="477"/>
      <c r="AD832" s="2019"/>
      <c r="AE832" s="2021"/>
      <c r="AF832" s="2018"/>
      <c r="AG832" s="477"/>
      <c r="AH832" s="2019"/>
      <c r="AI832" s="2021"/>
      <c r="AJ832" s="2018"/>
      <c r="AK832" s="477"/>
      <c r="AL832" s="2019"/>
      <c r="AM832" s="2021"/>
      <c r="AN832" s="2018"/>
      <c r="AO832" s="477"/>
      <c r="AP832" s="477"/>
      <c r="AQ832" s="477"/>
    </row>
    <row r="833" spans="1:43" ht="15">
      <c r="A833" s="477"/>
      <c r="B833" s="2019"/>
      <c r="C833" s="2021"/>
      <c r="D833" s="2018"/>
      <c r="E833" s="477"/>
      <c r="F833" s="2019"/>
      <c r="G833" s="2021"/>
      <c r="H833" s="2018"/>
      <c r="I833" s="477"/>
      <c r="J833" s="2019"/>
      <c r="K833" s="2021"/>
      <c r="L833" s="2018"/>
      <c r="M833" s="477"/>
      <c r="N833" s="2019"/>
      <c r="O833" s="2021"/>
      <c r="P833" s="2018"/>
      <c r="Q833" s="477"/>
      <c r="R833" s="2019"/>
      <c r="S833" s="2021"/>
      <c r="T833" s="2018"/>
      <c r="U833" s="477"/>
      <c r="V833" s="2019"/>
      <c r="W833" s="2021"/>
      <c r="X833" s="2018"/>
      <c r="Y833" s="477"/>
      <c r="Z833" s="2019"/>
      <c r="AA833" s="2021"/>
      <c r="AB833" s="2018"/>
      <c r="AC833" s="477"/>
      <c r="AD833" s="2019"/>
      <c r="AE833" s="2021"/>
      <c r="AF833" s="2018"/>
      <c r="AG833" s="477"/>
      <c r="AH833" s="2019"/>
      <c r="AI833" s="2021"/>
      <c r="AJ833" s="2018"/>
      <c r="AK833" s="477"/>
      <c r="AL833" s="2019"/>
      <c r="AM833" s="2021"/>
      <c r="AN833" s="2018"/>
      <c r="AO833" s="477"/>
      <c r="AP833" s="477"/>
      <c r="AQ833" s="477"/>
    </row>
    <row r="834" spans="1:43" ht="15">
      <c r="A834" s="477"/>
      <c r="B834" s="2019"/>
      <c r="C834" s="2021"/>
      <c r="D834" s="2018"/>
      <c r="E834" s="477"/>
      <c r="F834" s="2019"/>
      <c r="G834" s="2021"/>
      <c r="H834" s="2018"/>
      <c r="I834" s="477"/>
      <c r="J834" s="2019"/>
      <c r="K834" s="2021"/>
      <c r="L834" s="2018"/>
      <c r="M834" s="477"/>
      <c r="N834" s="2019"/>
      <c r="O834" s="2021"/>
      <c r="P834" s="2018"/>
      <c r="Q834" s="477"/>
      <c r="R834" s="2019"/>
      <c r="S834" s="2021"/>
      <c r="T834" s="2018"/>
      <c r="U834" s="477"/>
      <c r="V834" s="2019"/>
      <c r="W834" s="2021"/>
      <c r="X834" s="2018"/>
      <c r="Y834" s="477"/>
      <c r="Z834" s="2019"/>
      <c r="AA834" s="2021"/>
      <c r="AB834" s="2018"/>
      <c r="AC834" s="477"/>
      <c r="AD834" s="2019"/>
      <c r="AE834" s="2021"/>
      <c r="AF834" s="2018"/>
      <c r="AG834" s="477"/>
      <c r="AH834" s="2019"/>
      <c r="AI834" s="2021"/>
      <c r="AJ834" s="2018"/>
      <c r="AK834" s="477"/>
      <c r="AL834" s="2019"/>
      <c r="AM834" s="2021"/>
      <c r="AN834" s="2018"/>
      <c r="AO834" s="477"/>
      <c r="AP834" s="477"/>
      <c r="AQ834" s="477"/>
    </row>
    <row r="835" spans="1:43" ht="15">
      <c r="A835" s="477"/>
      <c r="B835" s="2019"/>
      <c r="C835" s="2021"/>
      <c r="D835" s="2018"/>
      <c r="E835" s="477"/>
      <c r="F835" s="2019"/>
      <c r="G835" s="2021"/>
      <c r="H835" s="2018"/>
      <c r="I835" s="477"/>
      <c r="J835" s="2019"/>
      <c r="K835" s="2021"/>
      <c r="L835" s="2018"/>
      <c r="M835" s="477"/>
      <c r="N835" s="2019"/>
      <c r="O835" s="2021"/>
      <c r="P835" s="2018"/>
      <c r="Q835" s="477"/>
      <c r="R835" s="2019"/>
      <c r="S835" s="2021"/>
      <c r="T835" s="2018"/>
      <c r="U835" s="477"/>
      <c r="V835" s="2019"/>
      <c r="W835" s="2021"/>
      <c r="X835" s="2018"/>
      <c r="Y835" s="477"/>
      <c r="Z835" s="2019"/>
      <c r="AA835" s="2021"/>
      <c r="AB835" s="2018"/>
      <c r="AC835" s="477"/>
      <c r="AD835" s="2019"/>
      <c r="AE835" s="2021"/>
      <c r="AF835" s="2018"/>
      <c r="AG835" s="477"/>
      <c r="AH835" s="2019"/>
      <c r="AI835" s="2021"/>
      <c r="AJ835" s="2018"/>
      <c r="AK835" s="477"/>
      <c r="AL835" s="2019"/>
      <c r="AM835" s="2021"/>
      <c r="AN835" s="2018"/>
      <c r="AO835" s="477"/>
      <c r="AP835" s="477"/>
      <c r="AQ835" s="477"/>
    </row>
    <row r="836" spans="1:43" ht="15">
      <c r="A836" s="477"/>
      <c r="B836" s="2019"/>
      <c r="C836" s="2021"/>
      <c r="D836" s="2018"/>
      <c r="E836" s="477"/>
      <c r="F836" s="2019"/>
      <c r="G836" s="2021"/>
      <c r="H836" s="2018"/>
      <c r="I836" s="477"/>
      <c r="J836" s="2019"/>
      <c r="K836" s="2021"/>
      <c r="L836" s="2018"/>
      <c r="M836" s="477"/>
      <c r="N836" s="2019"/>
      <c r="O836" s="2021"/>
      <c r="P836" s="2018"/>
      <c r="Q836" s="477"/>
      <c r="R836" s="2019"/>
      <c r="S836" s="2021"/>
      <c r="T836" s="2018"/>
      <c r="U836" s="477"/>
      <c r="V836" s="2019"/>
      <c r="W836" s="2021"/>
      <c r="X836" s="2018"/>
      <c r="Y836" s="477"/>
      <c r="Z836" s="2019"/>
      <c r="AA836" s="2021"/>
      <c r="AB836" s="2018"/>
      <c r="AC836" s="477"/>
      <c r="AD836" s="2019"/>
      <c r="AE836" s="2021"/>
      <c r="AF836" s="2018"/>
      <c r="AG836" s="477"/>
      <c r="AH836" s="2019"/>
      <c r="AI836" s="2021"/>
      <c r="AJ836" s="2018"/>
      <c r="AK836" s="477"/>
      <c r="AL836" s="2019"/>
      <c r="AM836" s="2021"/>
      <c r="AN836" s="2018"/>
      <c r="AO836" s="477"/>
      <c r="AP836" s="477"/>
      <c r="AQ836" s="477"/>
    </row>
    <row r="837" spans="1:43" ht="15">
      <c r="A837" s="477"/>
      <c r="B837" s="2019"/>
      <c r="C837" s="2021"/>
      <c r="D837" s="2018"/>
      <c r="E837" s="477"/>
      <c r="F837" s="2019"/>
      <c r="G837" s="2021"/>
      <c r="H837" s="2018"/>
      <c r="I837" s="477"/>
      <c r="J837" s="2019"/>
      <c r="K837" s="2021"/>
      <c r="L837" s="2018"/>
      <c r="M837" s="477"/>
      <c r="N837" s="2019"/>
      <c r="O837" s="2021"/>
      <c r="P837" s="2018"/>
      <c r="Q837" s="477"/>
      <c r="R837" s="2019"/>
      <c r="S837" s="2021"/>
      <c r="T837" s="2018"/>
      <c r="U837" s="477"/>
      <c r="V837" s="2019"/>
      <c r="W837" s="2021"/>
      <c r="X837" s="2018"/>
      <c r="Y837" s="477"/>
      <c r="Z837" s="2019"/>
      <c r="AA837" s="2021"/>
      <c r="AB837" s="2018"/>
      <c r="AC837" s="477"/>
      <c r="AD837" s="2019"/>
      <c r="AE837" s="2021"/>
      <c r="AF837" s="2018"/>
      <c r="AG837" s="477"/>
      <c r="AH837" s="2019"/>
      <c r="AI837" s="2021"/>
      <c r="AJ837" s="2018"/>
      <c r="AK837" s="477"/>
      <c r="AL837" s="2019"/>
      <c r="AM837" s="2021"/>
      <c r="AN837" s="2018"/>
      <c r="AO837" s="477"/>
      <c r="AP837" s="477"/>
      <c r="AQ837" s="477"/>
    </row>
    <row r="838" spans="1:43" ht="15">
      <c r="A838" s="477"/>
      <c r="B838" s="2019"/>
      <c r="C838" s="2021"/>
      <c r="D838" s="2018"/>
      <c r="E838" s="477"/>
      <c r="F838" s="2019"/>
      <c r="G838" s="2021"/>
      <c r="H838" s="2018"/>
      <c r="I838" s="477"/>
      <c r="J838" s="2019"/>
      <c r="K838" s="2021"/>
      <c r="L838" s="2018"/>
      <c r="M838" s="477"/>
      <c r="N838" s="2019"/>
      <c r="O838" s="2021"/>
      <c r="P838" s="2018"/>
      <c r="Q838" s="477"/>
      <c r="R838" s="2019"/>
      <c r="S838" s="2021"/>
      <c r="T838" s="2018"/>
      <c r="U838" s="477"/>
      <c r="V838" s="2019"/>
      <c r="W838" s="2021"/>
      <c r="X838" s="2018"/>
      <c r="Y838" s="477"/>
      <c r="Z838" s="2019"/>
      <c r="AA838" s="2021"/>
      <c r="AB838" s="2018"/>
      <c r="AC838" s="477"/>
      <c r="AD838" s="2019"/>
      <c r="AE838" s="2021"/>
      <c r="AF838" s="2018"/>
      <c r="AG838" s="477"/>
      <c r="AH838" s="2019"/>
      <c r="AI838" s="2021"/>
      <c r="AJ838" s="2018"/>
      <c r="AK838" s="477"/>
      <c r="AL838" s="2019"/>
      <c r="AM838" s="2021"/>
      <c r="AN838" s="2018"/>
      <c r="AO838" s="477"/>
      <c r="AP838" s="477"/>
      <c r="AQ838" s="477"/>
    </row>
    <row r="839" spans="1:43" ht="15">
      <c r="A839" s="477"/>
      <c r="B839" s="2019"/>
      <c r="C839" s="2021"/>
      <c r="D839" s="2018"/>
      <c r="E839" s="477"/>
      <c r="F839" s="2019"/>
      <c r="G839" s="2021"/>
      <c r="H839" s="2018"/>
      <c r="I839" s="477"/>
      <c r="J839" s="2019"/>
      <c r="K839" s="2021"/>
      <c r="L839" s="2018"/>
      <c r="M839" s="477"/>
      <c r="N839" s="2019"/>
      <c r="O839" s="2021"/>
      <c r="P839" s="2018"/>
      <c r="Q839" s="477"/>
      <c r="R839" s="2019"/>
      <c r="S839" s="2021"/>
      <c r="T839" s="2018"/>
      <c r="U839" s="477"/>
      <c r="V839" s="2019"/>
      <c r="W839" s="2021"/>
      <c r="X839" s="2018"/>
      <c r="Y839" s="477"/>
      <c r="Z839" s="2019"/>
      <c r="AA839" s="2021"/>
      <c r="AB839" s="2018"/>
      <c r="AC839" s="477"/>
      <c r="AD839" s="2019"/>
      <c r="AE839" s="2021"/>
      <c r="AF839" s="2018"/>
      <c r="AG839" s="477"/>
      <c r="AH839" s="2019"/>
      <c r="AI839" s="2021"/>
      <c r="AJ839" s="2018"/>
      <c r="AK839" s="477"/>
      <c r="AL839" s="2019"/>
      <c r="AM839" s="2021"/>
      <c r="AN839" s="2018"/>
      <c r="AO839" s="477"/>
      <c r="AP839" s="477"/>
      <c r="AQ839" s="477"/>
    </row>
    <row r="840" spans="1:43" ht="15">
      <c r="A840" s="477"/>
      <c r="B840" s="2019"/>
      <c r="C840" s="2021"/>
      <c r="D840" s="2018"/>
      <c r="E840" s="477"/>
      <c r="F840" s="2019"/>
      <c r="G840" s="2021"/>
      <c r="H840" s="2018"/>
      <c r="I840" s="477"/>
      <c r="J840" s="2019"/>
      <c r="K840" s="2021"/>
      <c r="L840" s="2018"/>
      <c r="M840" s="477"/>
      <c r="N840" s="2019"/>
      <c r="O840" s="2021"/>
      <c r="P840" s="2018"/>
      <c r="Q840" s="477"/>
      <c r="R840" s="2019"/>
      <c r="S840" s="2021"/>
      <c r="T840" s="2018"/>
      <c r="U840" s="477"/>
      <c r="V840" s="2019"/>
      <c r="W840" s="2021"/>
      <c r="X840" s="2018"/>
      <c r="Y840" s="477"/>
      <c r="Z840" s="2019"/>
      <c r="AA840" s="2021"/>
      <c r="AB840" s="2018"/>
      <c r="AC840" s="477"/>
      <c r="AD840" s="2019"/>
      <c r="AE840" s="2021"/>
      <c r="AF840" s="2018"/>
      <c r="AG840" s="477"/>
      <c r="AH840" s="2019"/>
      <c r="AI840" s="2021"/>
      <c r="AJ840" s="2018"/>
      <c r="AK840" s="477"/>
      <c r="AL840" s="2019"/>
      <c r="AM840" s="2021"/>
      <c r="AN840" s="2018"/>
      <c r="AO840" s="477"/>
      <c r="AP840" s="477"/>
      <c r="AQ840" s="477"/>
    </row>
    <row r="841" spans="1:43" ht="15">
      <c r="A841" s="477"/>
      <c r="B841" s="2019"/>
      <c r="C841" s="2021"/>
      <c r="D841" s="2018"/>
      <c r="E841" s="477"/>
      <c r="F841" s="2019"/>
      <c r="G841" s="2021"/>
      <c r="H841" s="2018"/>
      <c r="I841" s="477"/>
      <c r="J841" s="2019"/>
      <c r="K841" s="2021"/>
      <c r="L841" s="2018"/>
      <c r="M841" s="477"/>
      <c r="N841" s="2019"/>
      <c r="O841" s="2021"/>
      <c r="P841" s="2018"/>
      <c r="Q841" s="477"/>
      <c r="R841" s="2019"/>
      <c r="S841" s="2021"/>
      <c r="T841" s="2018"/>
      <c r="U841" s="477"/>
      <c r="V841" s="2019"/>
      <c r="W841" s="2021"/>
      <c r="X841" s="2018"/>
      <c r="Y841" s="477"/>
      <c r="Z841" s="2019"/>
      <c r="AA841" s="2021"/>
      <c r="AB841" s="2018"/>
      <c r="AC841" s="477"/>
      <c r="AD841" s="2019"/>
      <c r="AE841" s="2021"/>
      <c r="AF841" s="2018"/>
      <c r="AG841" s="477"/>
      <c r="AH841" s="2019"/>
      <c r="AI841" s="2021"/>
      <c r="AJ841" s="2018"/>
      <c r="AK841" s="477"/>
      <c r="AL841" s="2019"/>
      <c r="AM841" s="2021"/>
      <c r="AN841" s="2018"/>
      <c r="AO841" s="477"/>
      <c r="AP841" s="477"/>
      <c r="AQ841" s="477"/>
    </row>
    <row r="842" spans="1:43" ht="15">
      <c r="A842" s="477"/>
      <c r="B842" s="2019"/>
      <c r="C842" s="2021"/>
      <c r="D842" s="2018"/>
      <c r="E842" s="477"/>
      <c r="F842" s="2019"/>
      <c r="G842" s="2021"/>
      <c r="H842" s="2018"/>
      <c r="I842" s="477"/>
      <c r="J842" s="2019"/>
      <c r="K842" s="2021"/>
      <c r="L842" s="2018"/>
      <c r="M842" s="477"/>
      <c r="N842" s="2019"/>
      <c r="O842" s="2021"/>
      <c r="P842" s="2018"/>
      <c r="Q842" s="477"/>
      <c r="R842" s="2019"/>
      <c r="S842" s="2021"/>
      <c r="T842" s="2018"/>
      <c r="U842" s="477"/>
      <c r="V842" s="2019"/>
      <c r="W842" s="2021"/>
      <c r="X842" s="2018"/>
      <c r="Y842" s="477"/>
      <c r="Z842" s="2019"/>
      <c r="AA842" s="2021"/>
      <c r="AB842" s="2018"/>
      <c r="AC842" s="477"/>
      <c r="AD842" s="2019"/>
      <c r="AE842" s="2021"/>
      <c r="AF842" s="2018"/>
      <c r="AG842" s="477"/>
      <c r="AH842" s="2019"/>
      <c r="AI842" s="2021"/>
      <c r="AJ842" s="2018"/>
      <c r="AK842" s="477"/>
      <c r="AL842" s="2019"/>
      <c r="AM842" s="2021"/>
      <c r="AN842" s="2018"/>
      <c r="AO842" s="477"/>
      <c r="AP842" s="477"/>
      <c r="AQ842" s="477"/>
    </row>
    <row r="843" spans="1:43" ht="15">
      <c r="A843" s="477"/>
      <c r="B843" s="2019"/>
      <c r="C843" s="2021"/>
      <c r="D843" s="2018"/>
      <c r="E843" s="477"/>
      <c r="F843" s="2019"/>
      <c r="G843" s="2021"/>
      <c r="H843" s="2018"/>
      <c r="I843" s="477"/>
      <c r="J843" s="2019"/>
      <c r="K843" s="2021"/>
      <c r="L843" s="2018"/>
      <c r="M843" s="477"/>
      <c r="N843" s="2019"/>
      <c r="O843" s="2021"/>
      <c r="P843" s="2018"/>
      <c r="Q843" s="477"/>
      <c r="R843" s="2019"/>
      <c r="S843" s="2021"/>
      <c r="T843" s="2018"/>
      <c r="U843" s="477"/>
      <c r="V843" s="2019"/>
      <c r="W843" s="2021"/>
      <c r="X843" s="2018"/>
      <c r="Y843" s="477"/>
      <c r="Z843" s="2019"/>
      <c r="AA843" s="2021"/>
      <c r="AB843" s="2018"/>
      <c r="AC843" s="477"/>
      <c r="AD843" s="2019"/>
      <c r="AE843" s="2021"/>
      <c r="AF843" s="2018"/>
      <c r="AG843" s="477"/>
      <c r="AH843" s="2019"/>
      <c r="AI843" s="2021"/>
      <c r="AJ843" s="2018"/>
      <c r="AK843" s="477"/>
      <c r="AL843" s="2019"/>
      <c r="AM843" s="2021"/>
      <c r="AN843" s="2018"/>
      <c r="AO843" s="477"/>
      <c r="AP843" s="477"/>
      <c r="AQ843" s="477"/>
    </row>
    <row r="844" spans="1:43" ht="15">
      <c r="A844" s="477"/>
      <c r="B844" s="2019"/>
      <c r="C844" s="2021"/>
      <c r="D844" s="2018"/>
      <c r="E844" s="477"/>
      <c r="F844" s="2019"/>
      <c r="G844" s="2021"/>
      <c r="H844" s="2018"/>
      <c r="I844" s="477"/>
      <c r="J844" s="2019"/>
      <c r="K844" s="2021"/>
      <c r="L844" s="2018"/>
      <c r="M844" s="477"/>
      <c r="N844" s="2019"/>
      <c r="O844" s="2021"/>
      <c r="P844" s="2018"/>
      <c r="Q844" s="477"/>
      <c r="R844" s="2019"/>
      <c r="S844" s="2021"/>
      <c r="T844" s="2018"/>
      <c r="U844" s="477"/>
      <c r="V844" s="2019"/>
      <c r="W844" s="2021"/>
      <c r="X844" s="2018"/>
      <c r="Y844" s="477"/>
      <c r="Z844" s="2019"/>
      <c r="AA844" s="2021"/>
      <c r="AB844" s="2018"/>
      <c r="AC844" s="477"/>
      <c r="AD844" s="2019"/>
      <c r="AE844" s="2021"/>
      <c r="AF844" s="2018"/>
      <c r="AG844" s="477"/>
      <c r="AH844" s="2019"/>
      <c r="AI844" s="2021"/>
      <c r="AJ844" s="2018"/>
      <c r="AK844" s="477"/>
      <c r="AL844" s="2019"/>
      <c r="AM844" s="2021"/>
      <c r="AN844" s="2018"/>
      <c r="AO844" s="477"/>
      <c r="AP844" s="477"/>
      <c r="AQ844" s="477"/>
    </row>
    <row r="845" spans="1:43" ht="15">
      <c r="A845" s="477"/>
      <c r="B845" s="2019"/>
      <c r="C845" s="2021"/>
      <c r="D845" s="2018"/>
      <c r="E845" s="477"/>
      <c r="F845" s="2019"/>
      <c r="G845" s="2021"/>
      <c r="H845" s="2018"/>
      <c r="I845" s="477"/>
      <c r="J845" s="2019"/>
      <c r="K845" s="2021"/>
      <c r="L845" s="2018"/>
      <c r="M845" s="477"/>
      <c r="N845" s="2019"/>
      <c r="O845" s="2021"/>
      <c r="P845" s="2018"/>
      <c r="Q845" s="477"/>
      <c r="R845" s="2019"/>
      <c r="S845" s="2021"/>
      <c r="T845" s="2018"/>
      <c r="U845" s="477"/>
      <c r="V845" s="2019"/>
      <c r="W845" s="2021"/>
      <c r="X845" s="2018"/>
      <c r="Y845" s="477"/>
      <c r="Z845" s="2019"/>
      <c r="AA845" s="2021"/>
      <c r="AB845" s="2018"/>
      <c r="AC845" s="477"/>
      <c r="AD845" s="2019"/>
      <c r="AE845" s="2021"/>
      <c r="AF845" s="2018"/>
      <c r="AG845" s="477"/>
      <c r="AH845" s="2019"/>
      <c r="AI845" s="2021"/>
      <c r="AJ845" s="2018"/>
      <c r="AK845" s="477"/>
      <c r="AL845" s="2019"/>
      <c r="AM845" s="2021"/>
      <c r="AN845" s="2018"/>
      <c r="AO845" s="477"/>
      <c r="AP845" s="477"/>
      <c r="AQ845" s="477"/>
    </row>
    <row r="846" spans="1:43" ht="15">
      <c r="A846" s="477"/>
      <c r="B846" s="2019"/>
      <c r="C846" s="2021"/>
      <c r="D846" s="2018"/>
      <c r="E846" s="477"/>
      <c r="F846" s="2019"/>
      <c r="G846" s="2021"/>
      <c r="H846" s="2018"/>
      <c r="I846" s="477"/>
      <c r="J846" s="2019"/>
      <c r="K846" s="2021"/>
      <c r="L846" s="2018"/>
      <c r="M846" s="477"/>
      <c r="N846" s="2019"/>
      <c r="O846" s="2021"/>
      <c r="P846" s="2018"/>
      <c r="Q846" s="477"/>
      <c r="R846" s="2019"/>
      <c r="S846" s="2021"/>
      <c r="T846" s="2018"/>
      <c r="U846" s="477"/>
      <c r="V846" s="2019"/>
      <c r="W846" s="2021"/>
      <c r="X846" s="2018"/>
      <c r="Y846" s="477"/>
      <c r="Z846" s="2019"/>
      <c r="AA846" s="2021"/>
      <c r="AB846" s="2018"/>
      <c r="AC846" s="477"/>
      <c r="AD846" s="2019"/>
      <c r="AE846" s="2021"/>
      <c r="AF846" s="2018"/>
      <c r="AG846" s="477"/>
      <c r="AH846" s="2019"/>
      <c r="AI846" s="2021"/>
      <c r="AJ846" s="2018"/>
      <c r="AK846" s="477"/>
      <c r="AL846" s="2019"/>
      <c r="AM846" s="2021"/>
      <c r="AN846" s="2018"/>
      <c r="AO846" s="477"/>
      <c r="AP846" s="477"/>
      <c r="AQ846" s="477"/>
    </row>
    <row r="847" spans="1:43" ht="15">
      <c r="A847" s="477"/>
      <c r="B847" s="2019"/>
      <c r="C847" s="2021"/>
      <c r="D847" s="2018"/>
      <c r="E847" s="477"/>
      <c r="F847" s="2019"/>
      <c r="G847" s="2021"/>
      <c r="H847" s="2018"/>
      <c r="I847" s="477"/>
      <c r="J847" s="2019"/>
      <c r="K847" s="2021"/>
      <c r="L847" s="2018"/>
      <c r="M847" s="477"/>
      <c r="N847" s="2019"/>
      <c r="O847" s="2021"/>
      <c r="P847" s="2018"/>
      <c r="Q847" s="477"/>
      <c r="R847" s="2019"/>
      <c r="S847" s="2021"/>
      <c r="T847" s="2018"/>
      <c r="U847" s="477"/>
      <c r="V847" s="2019"/>
      <c r="W847" s="2021"/>
      <c r="X847" s="2018"/>
      <c r="Y847" s="477"/>
      <c r="Z847" s="2019"/>
      <c r="AA847" s="2021"/>
      <c r="AB847" s="2018"/>
      <c r="AC847" s="477"/>
      <c r="AD847" s="2019"/>
      <c r="AE847" s="2021"/>
      <c r="AF847" s="2018"/>
      <c r="AG847" s="477"/>
      <c r="AH847" s="2019"/>
      <c r="AI847" s="2021"/>
      <c r="AJ847" s="2018"/>
      <c r="AK847" s="477"/>
      <c r="AL847" s="2019"/>
      <c r="AM847" s="2021"/>
      <c r="AN847" s="2018"/>
      <c r="AO847" s="477"/>
      <c r="AP847" s="477"/>
      <c r="AQ847" s="477"/>
    </row>
    <row r="848" spans="1:43" ht="15">
      <c r="A848" s="477"/>
      <c r="B848" s="2019"/>
      <c r="C848" s="2021"/>
      <c r="D848" s="2018"/>
      <c r="E848" s="477"/>
      <c r="F848" s="2019"/>
      <c r="G848" s="2021"/>
      <c r="H848" s="2018"/>
      <c r="I848" s="477"/>
      <c r="J848" s="2019"/>
      <c r="K848" s="2021"/>
      <c r="L848" s="2018"/>
      <c r="M848" s="477"/>
      <c r="N848" s="2019"/>
      <c r="O848" s="2021"/>
      <c r="P848" s="2018"/>
      <c r="Q848" s="477"/>
      <c r="R848" s="2019"/>
      <c r="S848" s="2021"/>
      <c r="T848" s="2018"/>
      <c r="U848" s="477"/>
      <c r="V848" s="2019"/>
      <c r="W848" s="2021"/>
      <c r="X848" s="2018"/>
      <c r="Y848" s="477"/>
      <c r="Z848" s="2019"/>
      <c r="AA848" s="2021"/>
      <c r="AB848" s="2018"/>
      <c r="AC848" s="477"/>
      <c r="AD848" s="2019"/>
      <c r="AE848" s="2021"/>
      <c r="AF848" s="2018"/>
      <c r="AG848" s="477"/>
      <c r="AH848" s="2019"/>
      <c r="AI848" s="2021"/>
      <c r="AJ848" s="2018"/>
      <c r="AK848" s="477"/>
      <c r="AL848" s="2019"/>
      <c r="AM848" s="2021"/>
      <c r="AN848" s="2018"/>
      <c r="AO848" s="477"/>
      <c r="AP848" s="477"/>
      <c r="AQ848" s="477"/>
    </row>
    <row r="849" spans="1:43" ht="15">
      <c r="A849" s="477"/>
      <c r="B849" s="2019"/>
      <c r="C849" s="2021"/>
      <c r="D849" s="2018"/>
      <c r="E849" s="477"/>
      <c r="F849" s="2019"/>
      <c r="G849" s="2021"/>
      <c r="H849" s="2018"/>
      <c r="I849" s="477"/>
      <c r="J849" s="2019"/>
      <c r="K849" s="2021"/>
      <c r="L849" s="2018"/>
      <c r="M849" s="477"/>
      <c r="N849" s="2019"/>
      <c r="O849" s="2021"/>
      <c r="P849" s="2018"/>
      <c r="Q849" s="477"/>
      <c r="R849" s="2019"/>
      <c r="S849" s="2021"/>
      <c r="T849" s="2018"/>
      <c r="U849" s="477"/>
      <c r="V849" s="2019"/>
      <c r="W849" s="2021"/>
      <c r="X849" s="2018"/>
      <c r="Y849" s="477"/>
      <c r="Z849" s="2019"/>
      <c r="AA849" s="2021"/>
      <c r="AB849" s="2018"/>
      <c r="AC849" s="477"/>
      <c r="AD849" s="2019"/>
      <c r="AE849" s="2021"/>
      <c r="AF849" s="2018"/>
      <c r="AG849" s="477"/>
      <c r="AH849" s="2019"/>
      <c r="AI849" s="2021"/>
      <c r="AJ849" s="2018"/>
      <c r="AK849" s="477"/>
      <c r="AL849" s="2019"/>
      <c r="AM849" s="2021"/>
      <c r="AN849" s="2018"/>
      <c r="AO849" s="477"/>
      <c r="AP849" s="477"/>
      <c r="AQ849" s="477"/>
    </row>
    <row r="850" spans="1:43" ht="15">
      <c r="A850" s="477"/>
      <c r="B850" s="2019"/>
      <c r="C850" s="2021"/>
      <c r="D850" s="2018"/>
      <c r="E850" s="477"/>
      <c r="F850" s="2019"/>
      <c r="G850" s="2021"/>
      <c r="H850" s="2018"/>
      <c r="I850" s="477"/>
      <c r="J850" s="2019"/>
      <c r="K850" s="2021"/>
      <c r="L850" s="2018"/>
      <c r="M850" s="477"/>
      <c r="N850" s="2019"/>
      <c r="O850" s="2021"/>
      <c r="P850" s="2018"/>
      <c r="Q850" s="477"/>
      <c r="R850" s="2019"/>
      <c r="S850" s="2021"/>
      <c r="T850" s="2018"/>
      <c r="U850" s="477"/>
      <c r="V850" s="2019"/>
      <c r="W850" s="2021"/>
      <c r="X850" s="2018"/>
      <c r="Y850" s="477"/>
      <c r="Z850" s="2019"/>
      <c r="AA850" s="2021"/>
      <c r="AB850" s="2018"/>
      <c r="AC850" s="477"/>
      <c r="AD850" s="2019"/>
      <c r="AE850" s="2021"/>
      <c r="AF850" s="2018"/>
      <c r="AG850" s="477"/>
      <c r="AH850" s="2019"/>
      <c r="AI850" s="2021"/>
      <c r="AJ850" s="2018"/>
      <c r="AK850" s="477"/>
      <c r="AL850" s="2019"/>
      <c r="AM850" s="2021"/>
      <c r="AN850" s="2018"/>
      <c r="AO850" s="477"/>
      <c r="AP850" s="477"/>
      <c r="AQ850" s="477"/>
    </row>
    <row r="851" spans="1:43" ht="15">
      <c r="A851" s="477"/>
      <c r="B851" s="2019"/>
      <c r="C851" s="2021"/>
      <c r="D851" s="2018"/>
      <c r="E851" s="477"/>
      <c r="F851" s="2019"/>
      <c r="G851" s="2021"/>
      <c r="H851" s="2018"/>
      <c r="I851" s="477"/>
      <c r="J851" s="2019"/>
      <c r="K851" s="2021"/>
      <c r="L851" s="2018"/>
      <c r="M851" s="477"/>
      <c r="N851" s="2019"/>
      <c r="O851" s="2021"/>
      <c r="P851" s="2018"/>
      <c r="Q851" s="477"/>
      <c r="R851" s="2019"/>
      <c r="S851" s="2021"/>
      <c r="T851" s="2018"/>
      <c r="U851" s="477"/>
      <c r="V851" s="2019"/>
      <c r="W851" s="2021"/>
      <c r="X851" s="2018"/>
      <c r="Y851" s="477"/>
      <c r="Z851" s="2019"/>
      <c r="AA851" s="2021"/>
      <c r="AB851" s="2018"/>
      <c r="AC851" s="477"/>
      <c r="AD851" s="2019"/>
      <c r="AE851" s="2021"/>
      <c r="AF851" s="2018"/>
      <c r="AG851" s="477"/>
      <c r="AH851" s="2019"/>
      <c r="AI851" s="2021"/>
      <c r="AJ851" s="2018"/>
      <c r="AK851" s="477"/>
      <c r="AL851" s="2019"/>
      <c r="AM851" s="2021"/>
      <c r="AN851" s="2018"/>
      <c r="AO851" s="477"/>
      <c r="AP851" s="477"/>
      <c r="AQ851" s="477"/>
    </row>
    <row r="852" spans="1:43" ht="15">
      <c r="A852" s="477"/>
      <c r="B852" s="2019"/>
      <c r="C852" s="2021"/>
      <c r="D852" s="2018"/>
      <c r="E852" s="477"/>
      <c r="F852" s="2019"/>
      <c r="G852" s="2021"/>
      <c r="H852" s="2018"/>
      <c r="I852" s="477"/>
      <c r="J852" s="2019"/>
      <c r="K852" s="2021"/>
      <c r="L852" s="2018"/>
      <c r="M852" s="477"/>
      <c r="N852" s="2019"/>
      <c r="O852" s="2021"/>
      <c r="P852" s="2018"/>
      <c r="Q852" s="477"/>
      <c r="R852" s="2019"/>
      <c r="S852" s="2021"/>
      <c r="T852" s="2018"/>
      <c r="U852" s="477"/>
      <c r="V852" s="2019"/>
      <c r="W852" s="2021"/>
      <c r="X852" s="2018"/>
      <c r="Y852" s="477"/>
      <c r="Z852" s="2019"/>
      <c r="AA852" s="2021"/>
      <c r="AB852" s="2018"/>
      <c r="AC852" s="477"/>
      <c r="AD852" s="2019"/>
      <c r="AE852" s="2021"/>
      <c r="AF852" s="2018"/>
      <c r="AG852" s="477"/>
      <c r="AH852" s="2019"/>
      <c r="AI852" s="2021"/>
      <c r="AJ852" s="2018"/>
      <c r="AK852" s="477"/>
      <c r="AL852" s="2019"/>
      <c r="AM852" s="2021"/>
      <c r="AN852" s="2018"/>
      <c r="AO852" s="477"/>
      <c r="AP852" s="477"/>
      <c r="AQ852" s="477"/>
    </row>
    <row r="853" spans="1:43" ht="15">
      <c r="A853" s="477"/>
      <c r="B853" s="2019"/>
      <c r="C853" s="2021"/>
      <c r="D853" s="2018"/>
      <c r="E853" s="477"/>
      <c r="F853" s="2019"/>
      <c r="G853" s="2021"/>
      <c r="H853" s="2018"/>
      <c r="I853" s="477"/>
      <c r="J853" s="2019"/>
      <c r="K853" s="2021"/>
      <c r="L853" s="2018"/>
      <c r="M853" s="477"/>
      <c r="N853" s="2019"/>
      <c r="O853" s="2021"/>
      <c r="P853" s="2018"/>
      <c r="Q853" s="477"/>
      <c r="R853" s="2019"/>
      <c r="S853" s="2021"/>
      <c r="T853" s="2018"/>
      <c r="U853" s="477"/>
      <c r="V853" s="2019"/>
      <c r="W853" s="2021"/>
      <c r="X853" s="2018"/>
      <c r="Y853" s="477"/>
      <c r="Z853" s="2019"/>
      <c r="AA853" s="2021"/>
      <c r="AB853" s="2018"/>
      <c r="AC853" s="477"/>
      <c r="AD853" s="2019"/>
      <c r="AE853" s="2021"/>
      <c r="AF853" s="2018"/>
      <c r="AG853" s="477"/>
      <c r="AH853" s="2019"/>
      <c r="AI853" s="2021"/>
      <c r="AJ853" s="2018"/>
      <c r="AK853" s="477"/>
      <c r="AL853" s="2019"/>
      <c r="AM853" s="2021"/>
      <c r="AN853" s="2018"/>
      <c r="AO853" s="477"/>
      <c r="AP853" s="477"/>
      <c r="AQ853" s="477"/>
    </row>
    <row r="854" spans="1:43" ht="15">
      <c r="A854" s="477"/>
      <c r="B854" s="2019"/>
      <c r="C854" s="2021"/>
      <c r="D854" s="2018"/>
      <c r="E854" s="477"/>
      <c r="F854" s="2019"/>
      <c r="G854" s="2021"/>
      <c r="H854" s="2018"/>
      <c r="I854" s="477"/>
      <c r="J854" s="2019"/>
      <c r="K854" s="2021"/>
      <c r="L854" s="2018"/>
      <c r="M854" s="477"/>
      <c r="N854" s="2019"/>
      <c r="O854" s="2021"/>
      <c r="P854" s="2018"/>
      <c r="Q854" s="477"/>
      <c r="R854" s="2019"/>
      <c r="S854" s="2021"/>
      <c r="T854" s="2018"/>
      <c r="U854" s="477"/>
      <c r="V854" s="2019"/>
      <c r="W854" s="2021"/>
      <c r="X854" s="2018"/>
      <c r="Y854" s="477"/>
      <c r="Z854" s="2019"/>
      <c r="AA854" s="2021"/>
      <c r="AB854" s="2018"/>
      <c r="AC854" s="477"/>
      <c r="AD854" s="2019"/>
      <c r="AE854" s="2021"/>
      <c r="AF854" s="2018"/>
      <c r="AG854" s="477"/>
      <c r="AH854" s="2019"/>
      <c r="AI854" s="2021"/>
      <c r="AJ854" s="2018"/>
      <c r="AK854" s="477"/>
      <c r="AL854" s="2019"/>
      <c r="AM854" s="2021"/>
      <c r="AN854" s="2018"/>
      <c r="AO854" s="477"/>
      <c r="AP854" s="477"/>
      <c r="AQ854" s="477"/>
    </row>
    <row r="855" spans="1:43" ht="15">
      <c r="A855" s="477"/>
      <c r="B855" s="2019"/>
      <c r="C855" s="2021"/>
      <c r="D855" s="2018"/>
      <c r="E855" s="477"/>
      <c r="F855" s="2019"/>
      <c r="G855" s="2021"/>
      <c r="H855" s="2018"/>
      <c r="I855" s="477"/>
      <c r="J855" s="2019"/>
      <c r="K855" s="2021"/>
      <c r="L855" s="2018"/>
      <c r="M855" s="477"/>
      <c r="N855" s="2019"/>
      <c r="O855" s="2021"/>
      <c r="P855" s="2018"/>
      <c r="Q855" s="477"/>
      <c r="R855" s="2019"/>
      <c r="S855" s="2021"/>
      <c r="T855" s="2018"/>
      <c r="U855" s="477"/>
      <c r="V855" s="2019"/>
      <c r="W855" s="2021"/>
      <c r="X855" s="2018"/>
      <c r="Y855" s="477"/>
      <c r="Z855" s="2019"/>
      <c r="AA855" s="2021"/>
      <c r="AB855" s="2018"/>
      <c r="AC855" s="477"/>
      <c r="AD855" s="2019"/>
      <c r="AE855" s="2021"/>
      <c r="AF855" s="2018"/>
      <c r="AG855" s="477"/>
      <c r="AH855" s="2019"/>
      <c r="AI855" s="2021"/>
      <c r="AJ855" s="2018"/>
      <c r="AK855" s="477"/>
      <c r="AL855" s="2019"/>
      <c r="AM855" s="2021"/>
      <c r="AN855" s="2018"/>
      <c r="AO855" s="477"/>
      <c r="AP855" s="477"/>
      <c r="AQ855" s="477"/>
    </row>
    <row r="856" spans="1:43" ht="15">
      <c r="A856" s="477"/>
      <c r="B856" s="2019"/>
      <c r="C856" s="2021"/>
      <c r="D856" s="2018"/>
      <c r="E856" s="477"/>
      <c r="F856" s="2019"/>
      <c r="G856" s="2021"/>
      <c r="H856" s="2018"/>
      <c r="I856" s="477"/>
      <c r="J856" s="2019"/>
      <c r="K856" s="2021"/>
      <c r="L856" s="2018"/>
      <c r="M856" s="477"/>
      <c r="N856" s="2019"/>
      <c r="O856" s="2021"/>
      <c r="P856" s="2018"/>
      <c r="Q856" s="477"/>
      <c r="R856" s="2019"/>
      <c r="S856" s="2021"/>
      <c r="T856" s="2018"/>
      <c r="U856" s="477"/>
      <c r="V856" s="2019"/>
      <c r="W856" s="2021"/>
      <c r="X856" s="2018"/>
      <c r="Y856" s="477"/>
      <c r="Z856" s="2019"/>
      <c r="AA856" s="2021"/>
      <c r="AB856" s="2018"/>
      <c r="AC856" s="477"/>
      <c r="AD856" s="2019"/>
      <c r="AE856" s="2021"/>
      <c r="AF856" s="2018"/>
      <c r="AG856" s="477"/>
      <c r="AH856" s="2019"/>
      <c r="AI856" s="2021"/>
      <c r="AJ856" s="2018"/>
      <c r="AK856" s="477"/>
      <c r="AL856" s="2019"/>
      <c r="AM856" s="2021"/>
      <c r="AN856" s="2018"/>
      <c r="AO856" s="477"/>
      <c r="AP856" s="477"/>
      <c r="AQ856" s="477"/>
    </row>
    <row r="857" spans="1:43" ht="15">
      <c r="A857" s="477"/>
      <c r="B857" s="2019"/>
      <c r="C857" s="2021"/>
      <c r="D857" s="2018"/>
      <c r="E857" s="477"/>
      <c r="F857" s="2019"/>
      <c r="G857" s="2021"/>
      <c r="H857" s="2018"/>
      <c r="I857" s="477"/>
      <c r="J857" s="2019"/>
      <c r="K857" s="2021"/>
      <c r="L857" s="2018"/>
      <c r="M857" s="477"/>
      <c r="N857" s="2019"/>
      <c r="O857" s="2021"/>
      <c r="P857" s="2018"/>
      <c r="Q857" s="477"/>
      <c r="R857" s="2019"/>
      <c r="S857" s="2021"/>
      <c r="T857" s="2018"/>
      <c r="U857" s="477"/>
      <c r="V857" s="2019"/>
      <c r="W857" s="2021"/>
      <c r="X857" s="2018"/>
      <c r="Y857" s="477"/>
      <c r="Z857" s="2019"/>
      <c r="AA857" s="2021"/>
      <c r="AB857" s="2018"/>
      <c r="AC857" s="477"/>
      <c r="AD857" s="2019"/>
      <c r="AE857" s="2021"/>
      <c r="AF857" s="2018"/>
      <c r="AG857" s="477"/>
      <c r="AH857" s="2019"/>
      <c r="AI857" s="2021"/>
      <c r="AJ857" s="2018"/>
      <c r="AK857" s="477"/>
      <c r="AL857" s="2019"/>
      <c r="AM857" s="2021"/>
      <c r="AN857" s="2018"/>
      <c r="AO857" s="477"/>
      <c r="AP857" s="477"/>
      <c r="AQ857" s="477"/>
    </row>
    <row r="858" spans="1:43" ht="15">
      <c r="A858" s="477"/>
      <c r="B858" s="2019"/>
      <c r="C858" s="2021"/>
      <c r="D858" s="2018"/>
      <c r="E858" s="477"/>
      <c r="F858" s="2019"/>
      <c r="G858" s="2021"/>
      <c r="H858" s="2018"/>
      <c r="I858" s="477"/>
      <c r="J858" s="2019"/>
      <c r="K858" s="2021"/>
      <c r="L858" s="2018"/>
      <c r="M858" s="477"/>
      <c r="N858" s="2019"/>
      <c r="O858" s="2021"/>
      <c r="P858" s="2018"/>
      <c r="Q858" s="477"/>
      <c r="R858" s="2019"/>
      <c r="S858" s="2021"/>
      <c r="T858" s="2018"/>
      <c r="U858" s="477"/>
      <c r="V858" s="2019"/>
      <c r="W858" s="2021"/>
      <c r="X858" s="2018"/>
      <c r="Y858" s="477"/>
      <c r="Z858" s="2019"/>
      <c r="AA858" s="2021"/>
      <c r="AB858" s="2018"/>
      <c r="AC858" s="477"/>
      <c r="AD858" s="2019"/>
      <c r="AE858" s="2021"/>
      <c r="AF858" s="2018"/>
      <c r="AG858" s="477"/>
      <c r="AH858" s="2019"/>
      <c r="AI858" s="2021"/>
      <c r="AJ858" s="2018"/>
      <c r="AK858" s="477"/>
      <c r="AL858" s="2019"/>
      <c r="AM858" s="2021"/>
      <c r="AN858" s="2018"/>
      <c r="AO858" s="477"/>
      <c r="AP858" s="477"/>
      <c r="AQ858" s="477"/>
    </row>
    <row r="859" spans="1:43" ht="15">
      <c r="A859" s="477"/>
      <c r="B859" s="2019"/>
      <c r="C859" s="2021"/>
      <c r="D859" s="2018"/>
      <c r="E859" s="477"/>
      <c r="F859" s="2019"/>
      <c r="G859" s="2021"/>
      <c r="H859" s="2018"/>
      <c r="I859" s="477"/>
      <c r="J859" s="2019"/>
      <c r="K859" s="2021"/>
      <c r="L859" s="2018"/>
      <c r="M859" s="477"/>
      <c r="N859" s="2019"/>
      <c r="O859" s="2021"/>
      <c r="P859" s="2018"/>
      <c r="Q859" s="477"/>
      <c r="R859" s="2019"/>
      <c r="S859" s="2021"/>
      <c r="T859" s="2018"/>
      <c r="U859" s="477"/>
      <c r="V859" s="2019"/>
      <c r="W859" s="2021"/>
      <c r="X859" s="2018"/>
      <c r="Y859" s="477"/>
      <c r="Z859" s="2019"/>
      <c r="AA859" s="2021"/>
      <c r="AB859" s="2018"/>
      <c r="AC859" s="477"/>
      <c r="AD859" s="2019"/>
      <c r="AE859" s="2021"/>
      <c r="AF859" s="2018"/>
      <c r="AG859" s="477"/>
      <c r="AH859" s="2019"/>
      <c r="AI859" s="2021"/>
      <c r="AJ859" s="2018"/>
      <c r="AK859" s="477"/>
      <c r="AL859" s="2019"/>
      <c r="AM859" s="2021"/>
      <c r="AN859" s="2018"/>
      <c r="AO859" s="477"/>
      <c r="AP859" s="477"/>
      <c r="AQ859" s="477"/>
    </row>
    <row r="860" spans="1:43" ht="15">
      <c r="A860" s="477"/>
      <c r="B860" s="2019"/>
      <c r="C860" s="2021"/>
      <c r="D860" s="2018"/>
      <c r="E860" s="477"/>
      <c r="F860" s="2019"/>
      <c r="G860" s="2021"/>
      <c r="H860" s="2018"/>
      <c r="I860" s="477"/>
      <c r="J860" s="2019"/>
      <c r="K860" s="2021"/>
      <c r="L860" s="2018"/>
      <c r="M860" s="477"/>
      <c r="N860" s="2019"/>
      <c r="O860" s="2021"/>
      <c r="P860" s="2018"/>
      <c r="Q860" s="477"/>
      <c r="R860" s="2019"/>
      <c r="S860" s="2021"/>
      <c r="T860" s="2018"/>
      <c r="U860" s="477"/>
      <c r="V860" s="2019"/>
      <c r="W860" s="2021"/>
      <c r="X860" s="2018"/>
      <c r="Y860" s="477"/>
      <c r="Z860" s="2019"/>
      <c r="AA860" s="2021"/>
      <c r="AB860" s="2018"/>
      <c r="AC860" s="477"/>
      <c r="AD860" s="2019"/>
      <c r="AE860" s="2021"/>
      <c r="AF860" s="2018"/>
      <c r="AG860" s="477"/>
      <c r="AH860" s="2019"/>
      <c r="AI860" s="2021"/>
      <c r="AJ860" s="2018"/>
      <c r="AK860" s="477"/>
      <c r="AL860" s="2019"/>
      <c r="AM860" s="2021"/>
      <c r="AN860" s="2018"/>
      <c r="AO860" s="477"/>
      <c r="AP860" s="477"/>
      <c r="AQ860" s="477"/>
    </row>
    <row r="861" spans="1:43" ht="15">
      <c r="A861" s="477"/>
      <c r="B861" s="2019"/>
      <c r="C861" s="2021"/>
      <c r="D861" s="2018"/>
      <c r="E861" s="477"/>
      <c r="F861" s="2019"/>
      <c r="G861" s="2021"/>
      <c r="H861" s="2018"/>
      <c r="I861" s="477"/>
      <c r="J861" s="2019"/>
      <c r="K861" s="2021"/>
      <c r="L861" s="2018"/>
      <c r="M861" s="477"/>
      <c r="N861" s="2019"/>
      <c r="O861" s="2021"/>
      <c r="P861" s="2018"/>
      <c r="Q861" s="477"/>
      <c r="R861" s="2019"/>
      <c r="S861" s="2021"/>
      <c r="T861" s="2018"/>
      <c r="U861" s="477"/>
      <c r="V861" s="2019"/>
      <c r="W861" s="2021"/>
      <c r="X861" s="2018"/>
      <c r="Y861" s="477"/>
      <c r="Z861" s="2019"/>
      <c r="AA861" s="2021"/>
      <c r="AB861" s="2018"/>
      <c r="AC861" s="477"/>
      <c r="AD861" s="2019"/>
      <c r="AE861" s="2021"/>
      <c r="AF861" s="2018"/>
      <c r="AG861" s="477"/>
      <c r="AH861" s="2019"/>
      <c r="AI861" s="2021"/>
      <c r="AJ861" s="2018"/>
      <c r="AK861" s="477"/>
      <c r="AL861" s="2019"/>
      <c r="AM861" s="2021"/>
      <c r="AN861" s="2018"/>
      <c r="AO861" s="477"/>
      <c r="AP861" s="477"/>
      <c r="AQ861" s="477"/>
    </row>
    <row r="862" spans="1:43" ht="15">
      <c r="A862" s="477"/>
      <c r="B862" s="2019"/>
      <c r="C862" s="2021"/>
      <c r="D862" s="2018"/>
      <c r="E862" s="477"/>
      <c r="F862" s="2019"/>
      <c r="G862" s="2021"/>
      <c r="H862" s="2018"/>
      <c r="I862" s="477"/>
      <c r="J862" s="2019"/>
      <c r="K862" s="2021"/>
      <c r="L862" s="2018"/>
      <c r="M862" s="477"/>
      <c r="N862" s="2019"/>
      <c r="O862" s="2021"/>
      <c r="P862" s="2018"/>
      <c r="Q862" s="477"/>
      <c r="R862" s="2019"/>
      <c r="S862" s="2021"/>
      <c r="T862" s="2018"/>
      <c r="U862" s="477"/>
      <c r="V862" s="2019"/>
      <c r="W862" s="2021"/>
      <c r="X862" s="2018"/>
      <c r="Y862" s="477"/>
      <c r="Z862" s="2019"/>
      <c r="AA862" s="2021"/>
      <c r="AB862" s="2018"/>
      <c r="AC862" s="477"/>
      <c r="AD862" s="2019"/>
      <c r="AE862" s="2021"/>
      <c r="AF862" s="2018"/>
      <c r="AG862" s="477"/>
      <c r="AH862" s="2019"/>
      <c r="AI862" s="2021"/>
      <c r="AJ862" s="2018"/>
      <c r="AK862" s="477"/>
      <c r="AL862" s="2019"/>
      <c r="AM862" s="2021"/>
      <c r="AN862" s="2018"/>
      <c r="AO862" s="477"/>
      <c r="AP862" s="477"/>
      <c r="AQ862" s="477"/>
    </row>
    <row r="863" spans="1:43" ht="15">
      <c r="A863" s="477"/>
      <c r="B863" s="2022"/>
      <c r="C863" s="2026"/>
      <c r="D863" s="2024"/>
      <c r="E863" s="477"/>
      <c r="F863" s="2022"/>
      <c r="G863" s="2026"/>
      <c r="H863" s="2024"/>
      <c r="I863" s="477"/>
      <c r="J863" s="2022"/>
      <c r="K863" s="2026"/>
      <c r="L863" s="2024"/>
      <c r="M863" s="477"/>
      <c r="N863" s="2022"/>
      <c r="O863" s="2026"/>
      <c r="P863" s="2024"/>
      <c r="Q863" s="477"/>
      <c r="R863" s="2022"/>
      <c r="S863" s="2026"/>
      <c r="T863" s="2024"/>
      <c r="U863" s="477"/>
      <c r="V863" s="2022"/>
      <c r="W863" s="2026"/>
      <c r="X863" s="2024"/>
      <c r="Y863" s="477"/>
      <c r="Z863" s="2022"/>
      <c r="AA863" s="2026"/>
      <c r="AB863" s="2024"/>
      <c r="AC863" s="477"/>
      <c r="AD863" s="2022"/>
      <c r="AE863" s="2026"/>
      <c r="AF863" s="2024"/>
      <c r="AG863" s="477"/>
      <c r="AH863" s="2022"/>
      <c r="AI863" s="2026"/>
      <c r="AJ863" s="2024"/>
      <c r="AK863" s="477"/>
      <c r="AL863" s="2022"/>
      <c r="AM863" s="2026"/>
      <c r="AN863" s="2024"/>
      <c r="AO863" s="477"/>
      <c r="AP863" s="477"/>
      <c r="AQ863" s="477"/>
    </row>
    <row r="864" spans="1:43" ht="15">
      <c r="A864" s="477"/>
      <c r="B864" s="2022"/>
      <c r="C864" s="2026"/>
      <c r="D864" s="2024"/>
      <c r="E864" s="477"/>
      <c r="F864" s="2022"/>
      <c r="G864" s="2026"/>
      <c r="H864" s="2024"/>
      <c r="I864" s="477"/>
      <c r="J864" s="2022"/>
      <c r="K864" s="2026"/>
      <c r="L864" s="2024"/>
      <c r="M864" s="477"/>
      <c r="N864" s="2022"/>
      <c r="O864" s="2026"/>
      <c r="P864" s="2024"/>
      <c r="Q864" s="477"/>
      <c r="R864" s="2022"/>
      <c r="S864" s="2026"/>
      <c r="T864" s="2024"/>
      <c r="U864" s="477"/>
      <c r="V864" s="2022"/>
      <c r="W864" s="2026"/>
      <c r="X864" s="2024"/>
      <c r="Y864" s="477"/>
      <c r="Z864" s="2022"/>
      <c r="AA864" s="2026"/>
      <c r="AB864" s="2024"/>
      <c r="AC864" s="477"/>
      <c r="AD864" s="2022"/>
      <c r="AE864" s="2026"/>
      <c r="AF864" s="2024"/>
      <c r="AG864" s="477"/>
      <c r="AH864" s="2022"/>
      <c r="AI864" s="2026"/>
      <c r="AJ864" s="2024"/>
      <c r="AK864" s="477"/>
      <c r="AL864" s="2022"/>
      <c r="AM864" s="2026"/>
      <c r="AN864" s="2024"/>
      <c r="AO864" s="477"/>
      <c r="AP864" s="477"/>
      <c r="AQ864" s="477"/>
    </row>
    <row r="865" spans="1:43" ht="15">
      <c r="A865" s="477"/>
      <c r="B865" s="2022"/>
      <c r="C865" s="2026"/>
      <c r="D865" s="2024"/>
      <c r="E865" s="477"/>
      <c r="F865" s="2022"/>
      <c r="G865" s="2026"/>
      <c r="H865" s="2024"/>
      <c r="I865" s="477"/>
      <c r="J865" s="2022"/>
      <c r="K865" s="2026"/>
      <c r="L865" s="2024"/>
      <c r="M865" s="477"/>
      <c r="N865" s="2022"/>
      <c r="O865" s="2026"/>
      <c r="P865" s="2024"/>
      <c r="Q865" s="477"/>
      <c r="R865" s="2022"/>
      <c r="S865" s="2026"/>
      <c r="T865" s="2024"/>
      <c r="U865" s="477"/>
      <c r="V865" s="2022"/>
      <c r="W865" s="2026"/>
      <c r="X865" s="2024"/>
      <c r="Y865" s="477"/>
      <c r="Z865" s="2022"/>
      <c r="AA865" s="2026"/>
      <c r="AB865" s="2024"/>
      <c r="AC865" s="477"/>
      <c r="AD865" s="2022"/>
      <c r="AE865" s="2026"/>
      <c r="AF865" s="2024"/>
      <c r="AG865" s="477"/>
      <c r="AH865" s="2022"/>
      <c r="AI865" s="2026"/>
      <c r="AJ865" s="2024"/>
      <c r="AK865" s="477"/>
      <c r="AL865" s="2022"/>
      <c r="AM865" s="2026"/>
      <c r="AN865" s="2024"/>
      <c r="AO865" s="477"/>
      <c r="AP865" s="477"/>
      <c r="AQ865" s="477"/>
    </row>
    <row r="866" spans="1:43" ht="15">
      <c r="A866" s="477"/>
      <c r="B866" s="2022"/>
      <c r="C866" s="2026"/>
      <c r="D866" s="2024"/>
      <c r="E866" s="477"/>
      <c r="F866" s="2022"/>
      <c r="G866" s="2026"/>
      <c r="H866" s="2024"/>
      <c r="I866" s="477"/>
      <c r="J866" s="2022"/>
      <c r="K866" s="2026"/>
      <c r="L866" s="2024"/>
      <c r="M866" s="477"/>
      <c r="N866" s="2022"/>
      <c r="O866" s="2026"/>
      <c r="P866" s="2024"/>
      <c r="Q866" s="477"/>
      <c r="R866" s="2022"/>
      <c r="S866" s="2026"/>
      <c r="T866" s="2024"/>
      <c r="U866" s="477"/>
      <c r="V866" s="2022"/>
      <c r="W866" s="2026"/>
      <c r="X866" s="2024"/>
      <c r="Y866" s="477"/>
      <c r="Z866" s="2022"/>
      <c r="AA866" s="2026"/>
      <c r="AB866" s="2024"/>
      <c r="AC866" s="477"/>
      <c r="AD866" s="2022"/>
      <c r="AE866" s="2026"/>
      <c r="AF866" s="2024"/>
      <c r="AG866" s="477"/>
      <c r="AH866" s="2022"/>
      <c r="AI866" s="2026"/>
      <c r="AJ866" s="2024"/>
      <c r="AK866" s="477"/>
      <c r="AL866" s="2022"/>
      <c r="AM866" s="2026"/>
      <c r="AN866" s="2024"/>
      <c r="AO866" s="477"/>
      <c r="AP866" s="477"/>
      <c r="AQ866" s="477"/>
    </row>
    <row r="867" spans="1:43" ht="15">
      <c r="A867" s="477"/>
      <c r="B867" s="2022"/>
      <c r="C867" s="2026"/>
      <c r="D867" s="2024"/>
      <c r="E867" s="477"/>
      <c r="F867" s="2022"/>
      <c r="G867" s="2026"/>
      <c r="H867" s="2024"/>
      <c r="I867" s="477"/>
      <c r="J867" s="2022"/>
      <c r="K867" s="2026"/>
      <c r="L867" s="2024"/>
      <c r="M867" s="477"/>
      <c r="N867" s="2022"/>
      <c r="O867" s="2026"/>
      <c r="P867" s="2024"/>
      <c r="Q867" s="477"/>
      <c r="R867" s="2022"/>
      <c r="S867" s="2026"/>
      <c r="T867" s="2024"/>
      <c r="U867" s="477"/>
      <c r="V867" s="2022"/>
      <c r="W867" s="2026"/>
      <c r="X867" s="2024"/>
      <c r="Y867" s="477"/>
      <c r="Z867" s="2022"/>
      <c r="AA867" s="2026"/>
      <c r="AB867" s="2024"/>
      <c r="AC867" s="477"/>
      <c r="AD867" s="2022"/>
      <c r="AE867" s="2026"/>
      <c r="AF867" s="2024"/>
      <c r="AG867" s="477"/>
      <c r="AH867" s="2022"/>
      <c r="AI867" s="2026"/>
      <c r="AJ867" s="2024"/>
      <c r="AK867" s="477"/>
      <c r="AL867" s="2022"/>
      <c r="AM867" s="2026"/>
      <c r="AN867" s="2024"/>
      <c r="AO867" s="477"/>
      <c r="AP867" s="477"/>
      <c r="AQ867" s="477"/>
    </row>
    <row r="868" spans="1:43" ht="15">
      <c r="A868" s="477"/>
      <c r="B868" s="2022"/>
      <c r="C868" s="2026"/>
      <c r="D868" s="2024"/>
      <c r="E868" s="477"/>
      <c r="F868" s="2022"/>
      <c r="G868" s="2026"/>
      <c r="H868" s="2024"/>
      <c r="I868" s="477"/>
      <c r="J868" s="2022"/>
      <c r="K868" s="2026"/>
      <c r="L868" s="2024"/>
      <c r="M868" s="477"/>
      <c r="N868" s="2022"/>
      <c r="O868" s="2026"/>
      <c r="P868" s="2024"/>
      <c r="Q868" s="477"/>
      <c r="R868" s="2022"/>
      <c r="S868" s="2026"/>
      <c r="T868" s="2024"/>
      <c r="U868" s="477"/>
      <c r="V868" s="2022"/>
      <c r="W868" s="2026"/>
      <c r="X868" s="2024"/>
      <c r="Y868" s="477"/>
      <c r="Z868" s="2022"/>
      <c r="AA868" s="2026"/>
      <c r="AB868" s="2024"/>
      <c r="AC868" s="477"/>
      <c r="AD868" s="2022"/>
      <c r="AE868" s="2026"/>
      <c r="AF868" s="2024"/>
      <c r="AG868" s="477"/>
      <c r="AH868" s="2022"/>
      <c r="AI868" s="2026"/>
      <c r="AJ868" s="2024"/>
      <c r="AK868" s="477"/>
      <c r="AL868" s="2022"/>
      <c r="AM868" s="2026"/>
      <c r="AN868" s="2024"/>
      <c r="AO868" s="477"/>
      <c r="AP868" s="477"/>
      <c r="AQ868" s="477"/>
    </row>
    <row r="869" spans="1:43" ht="15.75" thickBot="1">
      <c r="A869" s="477"/>
      <c r="B869" s="2027"/>
      <c r="C869" s="2032"/>
      <c r="D869" s="2029"/>
      <c r="E869" s="477"/>
      <c r="F869" s="2027"/>
      <c r="G869" s="2032"/>
      <c r="H869" s="2029"/>
      <c r="I869" s="477"/>
      <c r="J869" s="2027"/>
      <c r="K869" s="2032"/>
      <c r="L869" s="2029"/>
      <c r="M869" s="477"/>
      <c r="N869" s="2027"/>
      <c r="O869" s="2032"/>
      <c r="P869" s="2029"/>
      <c r="Q869" s="477"/>
      <c r="R869" s="2027"/>
      <c r="S869" s="2032"/>
      <c r="T869" s="2029"/>
      <c r="U869" s="477"/>
      <c r="V869" s="2027"/>
      <c r="W869" s="2032"/>
      <c r="X869" s="2029"/>
      <c r="Y869" s="477"/>
      <c r="Z869" s="2027"/>
      <c r="AA869" s="2032"/>
      <c r="AB869" s="2029"/>
      <c r="AC869" s="477"/>
      <c r="AD869" s="2027"/>
      <c r="AE869" s="2032"/>
      <c r="AF869" s="2029"/>
      <c r="AG869" s="477"/>
      <c r="AH869" s="2027"/>
      <c r="AI869" s="2032"/>
      <c r="AJ869" s="2029"/>
      <c r="AK869" s="477"/>
      <c r="AL869" s="2027"/>
      <c r="AM869" s="2032"/>
      <c r="AN869" s="2029"/>
      <c r="AO869" s="477"/>
      <c r="AP869" s="477"/>
      <c r="AQ869" s="477"/>
    </row>
    <row r="870" spans="1:43" ht="12.75" customHeight="1">
      <c r="A870" s="477"/>
      <c r="B870" s="477"/>
      <c r="C870" s="477"/>
      <c r="D870" s="477"/>
      <c r="E870" s="477"/>
      <c r="F870" s="477"/>
      <c r="G870" s="477"/>
      <c r="H870" s="477"/>
      <c r="I870" s="477"/>
      <c r="J870" s="477"/>
      <c r="K870" s="477"/>
      <c r="L870" s="477"/>
      <c r="M870" s="477"/>
      <c r="N870" s="477"/>
      <c r="O870" s="477"/>
      <c r="P870" s="477"/>
      <c r="Q870" s="477"/>
      <c r="R870" s="477"/>
      <c r="S870" s="477"/>
      <c r="T870" s="477"/>
      <c r="U870" s="477"/>
      <c r="V870" s="477"/>
      <c r="W870" s="477"/>
      <c r="X870" s="477"/>
      <c r="Y870" s="477"/>
      <c r="Z870" s="477"/>
      <c r="AA870" s="477"/>
      <c r="AB870" s="477"/>
      <c r="AC870" s="477"/>
      <c r="AD870" s="477"/>
      <c r="AE870" s="477"/>
      <c r="AF870" s="477"/>
      <c r="AG870" s="477"/>
      <c r="AH870" s="477"/>
      <c r="AI870" s="477"/>
      <c r="AJ870" s="477"/>
      <c r="AK870" s="477"/>
      <c r="AL870" s="477"/>
      <c r="AM870" s="477"/>
      <c r="AN870" s="477"/>
      <c r="AO870" s="477"/>
      <c r="AP870" s="477"/>
      <c r="AQ870" s="477"/>
    </row>
    <row r="871" spans="1:43" ht="12.75" customHeight="1" thickBot="1">
      <c r="A871" s="477"/>
      <c r="B871" s="321" t="s">
        <v>130</v>
      </c>
      <c r="F871" s="321" t="s">
        <v>130</v>
      </c>
      <c r="J871" s="321" t="s">
        <v>130</v>
      </c>
      <c r="N871" s="321" t="s">
        <v>130</v>
      </c>
      <c r="R871" s="321" t="s">
        <v>130</v>
      </c>
      <c r="V871" s="321" t="s">
        <v>130</v>
      </c>
      <c r="Z871" s="321" t="s">
        <v>130</v>
      </c>
      <c r="AD871" s="321" t="s">
        <v>130</v>
      </c>
      <c r="AH871" s="321" t="s">
        <v>130</v>
      </c>
      <c r="AL871" s="321" t="s">
        <v>130</v>
      </c>
      <c r="AP871" s="477"/>
      <c r="AQ871" s="477"/>
    </row>
    <row r="872" spans="1:43" ht="200.1" customHeight="1" thickBot="1">
      <c r="A872" s="477"/>
      <c r="B872" s="2045"/>
      <c r="C872" s="2046"/>
      <c r="D872" s="2047"/>
      <c r="E872" s="245"/>
      <c r="F872" s="2045"/>
      <c r="G872" s="2046"/>
      <c r="H872" s="2047"/>
      <c r="I872" s="245"/>
      <c r="J872" s="2045"/>
      <c r="K872" s="2046"/>
      <c r="L872" s="2047"/>
      <c r="M872" s="245"/>
      <c r="N872" s="2045"/>
      <c r="O872" s="2046"/>
      <c r="P872" s="2047"/>
      <c r="Q872" s="245"/>
      <c r="R872" s="2045"/>
      <c r="S872" s="2046"/>
      <c r="T872" s="2047"/>
      <c r="U872" s="245"/>
      <c r="V872" s="2045"/>
      <c r="W872" s="2046"/>
      <c r="X872" s="2047"/>
      <c r="Y872" s="245"/>
      <c r="Z872" s="2045"/>
      <c r="AA872" s="2046"/>
      <c r="AB872" s="2047"/>
      <c r="AC872" s="245"/>
      <c r="AD872" s="2045"/>
      <c r="AE872" s="2046"/>
      <c r="AF872" s="2047"/>
      <c r="AG872" s="245"/>
      <c r="AH872" s="2045"/>
      <c r="AI872" s="2046"/>
      <c r="AJ872" s="2047"/>
      <c r="AK872" s="245"/>
      <c r="AL872" s="2045"/>
      <c r="AM872" s="2046"/>
      <c r="AN872" s="2047"/>
      <c r="AO872" s="245"/>
      <c r="AP872" s="477"/>
      <c r="AQ872" s="477"/>
    </row>
    <row r="873" spans="1:43" ht="15">
      <c r="AA873" s="2030"/>
      <c r="AB873" s="2030"/>
      <c r="AC873" s="2030"/>
      <c r="AD873" s="477"/>
      <c r="AE873" s="477"/>
      <c r="AF873" s="477"/>
      <c r="AG873" s="477"/>
      <c r="AH873" s="477"/>
      <c r="AI873" s="477"/>
      <c r="AJ873" s="477"/>
      <c r="AK873" s="477"/>
      <c r="AL873" s="477"/>
      <c r="AM873" s="477"/>
      <c r="AN873" s="477"/>
      <c r="AO873" s="477"/>
      <c r="AP873" s="477"/>
      <c r="AQ873" s="477"/>
    </row>
    <row r="874" spans="1:43" ht="15">
      <c r="A874" s="474"/>
      <c r="B874" s="474" t="s">
        <v>207</v>
      </c>
      <c r="C874" s="477"/>
      <c r="D874" s="477"/>
      <c r="E874" s="477"/>
      <c r="F874" s="477"/>
      <c r="G874" s="477"/>
      <c r="H874" s="477"/>
      <c r="I874" s="477"/>
      <c r="J874" s="477"/>
      <c r="K874" s="477"/>
      <c r="L874" s="477"/>
      <c r="M874" s="477"/>
      <c r="N874" s="477"/>
      <c r="O874" s="477"/>
      <c r="P874" s="477"/>
      <c r="Q874" s="477"/>
      <c r="R874" s="477"/>
      <c r="S874" s="477"/>
      <c r="T874" s="477"/>
      <c r="U874" s="477"/>
      <c r="V874" s="477"/>
      <c r="W874" s="477"/>
      <c r="X874" s="477"/>
      <c r="Y874" s="477"/>
      <c r="Z874" s="477"/>
      <c r="AA874" s="477"/>
      <c r="AB874" s="477"/>
      <c r="AC874" s="477"/>
      <c r="AD874" s="477"/>
      <c r="AE874" s="477"/>
      <c r="AF874" s="477"/>
      <c r="AG874" s="477"/>
      <c r="AH874" s="477"/>
      <c r="AI874" s="477"/>
      <c r="AJ874" s="477"/>
      <c r="AK874" s="477"/>
      <c r="AL874" s="477"/>
      <c r="AM874" s="477"/>
      <c r="AN874" s="477"/>
      <c r="AO874" s="477"/>
      <c r="AP874" s="477"/>
      <c r="AQ874" s="477"/>
    </row>
    <row r="875" spans="1:43" ht="15.75" thickBot="1">
      <c r="A875" s="474"/>
      <c r="B875" s="474"/>
      <c r="C875" s="477"/>
      <c r="D875" s="477"/>
      <c r="E875" s="477"/>
      <c r="F875" s="477"/>
      <c r="G875" s="477"/>
      <c r="H875" s="477"/>
      <c r="I875" s="477"/>
      <c r="J875" s="477"/>
      <c r="K875" s="477"/>
      <c r="L875" s="477"/>
      <c r="M875" s="477"/>
      <c r="N875" s="477"/>
      <c r="O875" s="477"/>
      <c r="P875" s="477"/>
      <c r="Q875" s="477"/>
      <c r="R875" s="477"/>
      <c r="S875" s="477"/>
      <c r="T875" s="477"/>
      <c r="U875" s="477"/>
      <c r="V875" s="477"/>
      <c r="W875" s="477"/>
      <c r="X875" s="477"/>
      <c r="Y875" s="477"/>
      <c r="Z875" s="477"/>
      <c r="AA875" s="477"/>
      <c r="AB875" s="477"/>
      <c r="AC875" s="477"/>
      <c r="AD875" s="477"/>
      <c r="AE875" s="477"/>
      <c r="AF875" s="477"/>
      <c r="AG875" s="477"/>
      <c r="AH875" s="477"/>
      <c r="AI875" s="477"/>
      <c r="AJ875" s="477"/>
      <c r="AK875" s="477"/>
      <c r="AL875" s="477"/>
      <c r="AM875" s="477"/>
      <c r="AN875" s="477"/>
      <c r="AO875" s="477"/>
      <c r="AP875" s="477"/>
      <c r="AQ875" s="477"/>
    </row>
    <row r="876" spans="1:43" ht="15.75" thickBot="1">
      <c r="A876" s="474"/>
      <c r="B876" s="2055" t="s">
        <v>216</v>
      </c>
      <c r="C876" s="2056"/>
      <c r="D876" s="2056"/>
      <c r="E876" s="2058"/>
      <c r="F876" s="2049"/>
      <c r="G876" s="477"/>
      <c r="H876" s="477"/>
      <c r="I876" s="477"/>
      <c r="J876" s="477"/>
      <c r="K876" s="477"/>
      <c r="L876" s="477"/>
      <c r="M876" s="477"/>
      <c r="N876" s="477"/>
      <c r="O876" s="477"/>
      <c r="P876" s="477"/>
      <c r="Q876" s="477"/>
      <c r="R876" s="477"/>
      <c r="S876" s="477"/>
      <c r="T876" s="477"/>
      <c r="U876" s="477"/>
      <c r="V876" s="477"/>
      <c r="W876" s="477"/>
      <c r="X876" s="477"/>
      <c r="Y876" s="477"/>
      <c r="Z876" s="477"/>
      <c r="AA876" s="477"/>
      <c r="AB876" s="477"/>
      <c r="AC876" s="477"/>
      <c r="AD876" s="477"/>
      <c r="AE876" s="477"/>
      <c r="AF876" s="477"/>
      <c r="AG876" s="477"/>
      <c r="AH876" s="477"/>
      <c r="AI876" s="477"/>
      <c r="AJ876" s="477"/>
      <c r="AK876" s="477"/>
      <c r="AL876" s="477"/>
      <c r="AM876" s="477"/>
      <c r="AN876" s="477"/>
      <c r="AO876" s="477"/>
      <c r="AP876" s="477"/>
      <c r="AQ876" s="477"/>
    </row>
    <row r="877" spans="1:43" ht="15">
      <c r="A877" s="475"/>
      <c r="B877" s="475"/>
      <c r="C877" s="477"/>
      <c r="D877" s="477"/>
      <c r="E877" s="477"/>
      <c r="F877" s="477"/>
      <c r="G877" s="477"/>
      <c r="H877" s="477"/>
      <c r="I877" s="477"/>
      <c r="J877" s="477"/>
      <c r="K877" s="477"/>
      <c r="L877" s="477"/>
      <c r="M877" s="477"/>
      <c r="N877" s="477"/>
      <c r="O877" s="477"/>
      <c r="P877" s="477"/>
      <c r="Q877" s="477"/>
      <c r="R877" s="477"/>
      <c r="S877" s="477"/>
      <c r="T877" s="477"/>
      <c r="U877" s="477"/>
      <c r="V877" s="477"/>
      <c r="W877" s="477"/>
      <c r="X877" s="477"/>
      <c r="Y877" s="477"/>
      <c r="Z877" s="477"/>
      <c r="AA877" s="477"/>
      <c r="AB877" s="477"/>
      <c r="AC877" s="477"/>
      <c r="AD877" s="477"/>
      <c r="AE877" s="477"/>
      <c r="AF877" s="477"/>
      <c r="AG877" s="477"/>
      <c r="AH877" s="477"/>
      <c r="AI877" s="477"/>
      <c r="AJ877" s="477"/>
      <c r="AK877" s="477"/>
      <c r="AL877" s="477"/>
      <c r="AM877" s="477"/>
      <c r="AN877" s="477"/>
      <c r="AO877" s="477"/>
      <c r="AP877" s="477"/>
      <c r="AQ877" s="477"/>
    </row>
    <row r="878" spans="1:43" ht="15">
      <c r="A878" s="475"/>
      <c r="B878" s="321" t="s">
        <v>40</v>
      </c>
      <c r="C878" s="477"/>
      <c r="D878" s="477"/>
      <c r="E878" s="477"/>
      <c r="F878" s="477"/>
      <c r="G878" s="477"/>
      <c r="H878" s="477"/>
      <c r="I878" s="477"/>
      <c r="J878" s="477"/>
      <c r="K878" s="477"/>
      <c r="L878" s="477"/>
      <c r="M878" s="477"/>
      <c r="N878" s="477"/>
      <c r="O878" s="477"/>
      <c r="P878" s="477"/>
      <c r="Q878" s="477"/>
      <c r="R878" s="477"/>
      <c r="S878" s="477"/>
      <c r="T878" s="477"/>
      <c r="U878" s="477"/>
      <c r="V878" s="477"/>
      <c r="W878" s="477"/>
      <c r="X878" s="477"/>
      <c r="Y878" s="477"/>
      <c r="Z878" s="477"/>
      <c r="AA878" s="477"/>
      <c r="AB878" s="477"/>
      <c r="AC878" s="477"/>
      <c r="AD878" s="477"/>
      <c r="AE878" s="477"/>
      <c r="AF878" s="477"/>
      <c r="AG878" s="477"/>
      <c r="AH878" s="477"/>
      <c r="AI878" s="477"/>
      <c r="AJ878" s="477"/>
      <c r="AK878" s="477"/>
      <c r="AL878" s="477"/>
      <c r="AM878" s="477"/>
      <c r="AN878" s="477"/>
      <c r="AO878" s="477"/>
      <c r="AP878" s="477"/>
      <c r="AQ878" s="477"/>
    </row>
    <row r="879" spans="1:43" ht="15.75" thickBot="1">
      <c r="A879" s="475"/>
      <c r="B879" s="477"/>
      <c r="C879" s="477"/>
      <c r="D879" s="477"/>
      <c r="E879" s="477"/>
      <c r="F879" s="477"/>
      <c r="G879" s="477"/>
      <c r="H879" s="477"/>
      <c r="I879" s="477"/>
      <c r="J879" s="477"/>
      <c r="K879" s="477"/>
      <c r="L879" s="477"/>
      <c r="M879" s="477"/>
      <c r="N879" s="477"/>
      <c r="O879" s="477"/>
      <c r="P879" s="477"/>
      <c r="Q879" s="477"/>
      <c r="R879" s="477"/>
      <c r="S879" s="477"/>
      <c r="T879" s="477"/>
      <c r="U879" s="477"/>
      <c r="V879" s="477"/>
      <c r="W879" s="477"/>
      <c r="X879" s="477"/>
      <c r="Y879" s="477"/>
      <c r="Z879" s="477"/>
      <c r="AA879" s="477"/>
      <c r="AB879" s="477"/>
      <c r="AC879" s="477"/>
      <c r="AD879" s="477"/>
      <c r="AE879" s="477"/>
      <c r="AF879" s="477"/>
      <c r="AG879" s="477"/>
      <c r="AH879" s="477"/>
      <c r="AI879" s="477"/>
      <c r="AJ879" s="477"/>
      <c r="AK879" s="477"/>
      <c r="AL879" s="477"/>
      <c r="AM879" s="477"/>
      <c r="AN879" s="477"/>
      <c r="AO879" s="477"/>
      <c r="AP879" s="477"/>
      <c r="AQ879" s="477"/>
    </row>
    <row r="880" spans="1:43" ht="15">
      <c r="B880" s="2042" t="s">
        <v>564</v>
      </c>
      <c r="C880" s="2050" t="s">
        <v>728</v>
      </c>
      <c r="D880" s="1007"/>
      <c r="F880" s="2042" t="s">
        <v>564</v>
      </c>
      <c r="G880" s="2050" t="s">
        <v>729</v>
      </c>
      <c r="H880" s="1007"/>
      <c r="J880" s="2042" t="s">
        <v>564</v>
      </c>
      <c r="K880" s="2050" t="s">
        <v>730</v>
      </c>
      <c r="L880" s="1007"/>
      <c r="M880" s="474"/>
      <c r="N880" s="2042" t="s">
        <v>564</v>
      </c>
      <c r="O880" s="2050" t="s">
        <v>731</v>
      </c>
      <c r="P880" s="1007"/>
      <c r="R880" s="2042" t="s">
        <v>564</v>
      </c>
      <c r="S880" s="2050" t="s">
        <v>732</v>
      </c>
      <c r="T880" s="1007"/>
      <c r="V880" s="2042" t="s">
        <v>564</v>
      </c>
      <c r="W880" s="2050" t="s">
        <v>733</v>
      </c>
      <c r="X880" s="1007"/>
      <c r="Z880" s="2042" t="s">
        <v>564</v>
      </c>
      <c r="AA880" s="2050" t="s">
        <v>734</v>
      </c>
      <c r="AB880" s="1007"/>
      <c r="AC880" s="474"/>
      <c r="AD880" s="2042" t="s">
        <v>564</v>
      </c>
      <c r="AE880" s="2050" t="s">
        <v>735</v>
      </c>
      <c r="AF880" s="1007"/>
      <c r="AH880" s="2042" t="s">
        <v>564</v>
      </c>
      <c r="AI880" s="2050" t="s">
        <v>736</v>
      </c>
      <c r="AJ880" s="1007"/>
      <c r="AL880" s="2042" t="s">
        <v>564</v>
      </c>
      <c r="AM880" s="2050" t="s">
        <v>737</v>
      </c>
      <c r="AN880" s="1007"/>
      <c r="AP880" s="477"/>
      <c r="AQ880" s="477"/>
    </row>
    <row r="881" spans="1:43" ht="15">
      <c r="B881" s="2043" t="s">
        <v>45</v>
      </c>
      <c r="C881" s="2051"/>
      <c r="D881" s="2005"/>
      <c r="F881" s="2043" t="s">
        <v>45</v>
      </c>
      <c r="G881" s="2051"/>
      <c r="H881" s="2005"/>
      <c r="J881" s="2043" t="s">
        <v>45</v>
      </c>
      <c r="K881" s="2051"/>
      <c r="L881" s="2005"/>
      <c r="M881" s="474"/>
      <c r="N881" s="2043" t="s">
        <v>45</v>
      </c>
      <c r="O881" s="2051"/>
      <c r="P881" s="2005"/>
      <c r="R881" s="2043" t="s">
        <v>45</v>
      </c>
      <c r="S881" s="2051"/>
      <c r="T881" s="2005"/>
      <c r="V881" s="2043" t="s">
        <v>45</v>
      </c>
      <c r="W881" s="2051"/>
      <c r="X881" s="2005"/>
      <c r="Z881" s="2043" t="s">
        <v>45</v>
      </c>
      <c r="AA881" s="2051"/>
      <c r="AB881" s="2005"/>
      <c r="AC881" s="474"/>
      <c r="AD881" s="2043" t="s">
        <v>45</v>
      </c>
      <c r="AE881" s="2051"/>
      <c r="AF881" s="2005"/>
      <c r="AH881" s="2043" t="s">
        <v>45</v>
      </c>
      <c r="AI881" s="2051"/>
      <c r="AJ881" s="2005"/>
      <c r="AL881" s="2043" t="s">
        <v>45</v>
      </c>
      <c r="AM881" s="2051"/>
      <c r="AN881" s="2005"/>
      <c r="AP881" s="477"/>
      <c r="AQ881" s="477"/>
    </row>
    <row r="882" spans="1:43" ht="15">
      <c r="B882" s="2043" t="s">
        <v>568</v>
      </c>
      <c r="C882" s="2052"/>
      <c r="D882" s="2007"/>
      <c r="F882" s="2043" t="s">
        <v>568</v>
      </c>
      <c r="G882" s="2052"/>
      <c r="H882" s="2007"/>
      <c r="J882" s="2043" t="s">
        <v>568</v>
      </c>
      <c r="K882" s="2052"/>
      <c r="L882" s="2007"/>
      <c r="M882" s="474"/>
      <c r="N882" s="2043" t="s">
        <v>568</v>
      </c>
      <c r="O882" s="2052"/>
      <c r="P882" s="2007"/>
      <c r="R882" s="2043" t="s">
        <v>568</v>
      </c>
      <c r="S882" s="2052"/>
      <c r="T882" s="2007"/>
      <c r="V882" s="2043" t="s">
        <v>568</v>
      </c>
      <c r="W882" s="2052"/>
      <c r="X882" s="2007"/>
      <c r="Z882" s="2043" t="s">
        <v>568</v>
      </c>
      <c r="AA882" s="2052"/>
      <c r="AB882" s="2007"/>
      <c r="AC882" s="474"/>
      <c r="AD882" s="2043" t="s">
        <v>568</v>
      </c>
      <c r="AE882" s="2052"/>
      <c r="AF882" s="2007"/>
      <c r="AH882" s="2043" t="s">
        <v>568</v>
      </c>
      <c r="AI882" s="2052"/>
      <c r="AJ882" s="2007"/>
      <c r="AL882" s="2043" t="s">
        <v>568</v>
      </c>
      <c r="AM882" s="2052"/>
      <c r="AN882" s="2007"/>
      <c r="AP882" s="477"/>
      <c r="AQ882" s="477"/>
    </row>
    <row r="883" spans="1:43" ht="15.75" thickBot="1">
      <c r="B883" s="2044" t="s">
        <v>569</v>
      </c>
      <c r="C883" s="2053"/>
      <c r="D883" s="2009"/>
      <c r="F883" s="2044" t="s">
        <v>569</v>
      </c>
      <c r="G883" s="2053"/>
      <c r="H883" s="2009"/>
      <c r="J883" s="2044" t="s">
        <v>569</v>
      </c>
      <c r="K883" s="2053"/>
      <c r="L883" s="2009"/>
      <c r="M883" s="474"/>
      <c r="N883" s="2044" t="s">
        <v>569</v>
      </c>
      <c r="O883" s="2053"/>
      <c r="P883" s="2009"/>
      <c r="R883" s="2044" t="s">
        <v>569</v>
      </c>
      <c r="S883" s="2053"/>
      <c r="T883" s="2009"/>
      <c r="V883" s="2044" t="s">
        <v>569</v>
      </c>
      <c r="W883" s="2053"/>
      <c r="X883" s="2009"/>
      <c r="Z883" s="2044" t="s">
        <v>569</v>
      </c>
      <c r="AA883" s="2053"/>
      <c r="AB883" s="2009"/>
      <c r="AC883" s="474"/>
      <c r="AD883" s="2044" t="s">
        <v>569</v>
      </c>
      <c r="AE883" s="2053"/>
      <c r="AF883" s="2009"/>
      <c r="AH883" s="2044" t="s">
        <v>569</v>
      </c>
      <c r="AI883" s="2053"/>
      <c r="AJ883" s="2009"/>
      <c r="AL883" s="2044" t="s">
        <v>569</v>
      </c>
      <c r="AM883" s="2053"/>
      <c r="AN883" s="2009"/>
      <c r="AP883" s="477"/>
      <c r="AQ883" s="477"/>
    </row>
    <row r="884" spans="1:43" ht="15.75" thickBot="1">
      <c r="B884" s="475"/>
      <c r="C884" s="476"/>
      <c r="D884" s="476"/>
      <c r="F884" s="475"/>
      <c r="G884" s="476"/>
      <c r="H884" s="476"/>
      <c r="J884" s="475"/>
      <c r="K884" s="476"/>
      <c r="L884" s="476"/>
      <c r="M884" s="474"/>
      <c r="N884" s="475"/>
      <c r="O884" s="476"/>
      <c r="P884" s="476"/>
      <c r="R884" s="475"/>
      <c r="S884" s="476"/>
      <c r="T884" s="476"/>
      <c r="V884" s="475"/>
      <c r="W884" s="476"/>
      <c r="X884" s="476"/>
      <c r="Z884" s="475"/>
      <c r="AA884" s="476"/>
      <c r="AB884" s="476"/>
      <c r="AC884" s="474"/>
      <c r="AD884" s="475"/>
      <c r="AE884" s="476"/>
      <c r="AF884" s="476"/>
      <c r="AH884" s="475"/>
      <c r="AI884" s="476"/>
      <c r="AJ884" s="476"/>
      <c r="AL884" s="475"/>
      <c r="AM884" s="476"/>
      <c r="AN884" s="476"/>
      <c r="AP884" s="477"/>
      <c r="AQ884" s="477"/>
    </row>
    <row r="885" spans="1:43" s="902" customFormat="1" ht="75" customHeight="1" thickBot="1">
      <c r="A885" s="2035"/>
      <c r="B885" s="2059" t="s">
        <v>562</v>
      </c>
      <c r="C885" s="2040" t="s">
        <v>563</v>
      </c>
      <c r="D885" s="2041" t="s">
        <v>620</v>
      </c>
      <c r="F885" s="2039" t="s">
        <v>562</v>
      </c>
      <c r="G885" s="2040" t="s">
        <v>563</v>
      </c>
      <c r="H885" s="2041" t="s">
        <v>620</v>
      </c>
      <c r="J885" s="2039" t="s">
        <v>562</v>
      </c>
      <c r="K885" s="2040" t="s">
        <v>563</v>
      </c>
      <c r="L885" s="2041" t="s">
        <v>620</v>
      </c>
      <c r="N885" s="2039" t="s">
        <v>562</v>
      </c>
      <c r="O885" s="2040" t="s">
        <v>563</v>
      </c>
      <c r="P885" s="2041" t="s">
        <v>620</v>
      </c>
      <c r="R885" s="2039" t="s">
        <v>562</v>
      </c>
      <c r="S885" s="2040" t="s">
        <v>563</v>
      </c>
      <c r="T885" s="2041" t="s">
        <v>620</v>
      </c>
      <c r="V885" s="2039" t="s">
        <v>562</v>
      </c>
      <c r="W885" s="2040" t="s">
        <v>563</v>
      </c>
      <c r="X885" s="2041" t="s">
        <v>620</v>
      </c>
      <c r="Z885" s="2039" t="s">
        <v>562</v>
      </c>
      <c r="AA885" s="2040" t="s">
        <v>563</v>
      </c>
      <c r="AB885" s="2041" t="s">
        <v>620</v>
      </c>
      <c r="AD885" s="2039" t="s">
        <v>562</v>
      </c>
      <c r="AE885" s="2040" t="s">
        <v>563</v>
      </c>
      <c r="AF885" s="2041" t="s">
        <v>620</v>
      </c>
      <c r="AH885" s="2039" t="s">
        <v>562</v>
      </c>
      <c r="AI885" s="2040" t="s">
        <v>563</v>
      </c>
      <c r="AJ885" s="2041" t="s">
        <v>620</v>
      </c>
      <c r="AL885" s="2039" t="s">
        <v>562</v>
      </c>
      <c r="AM885" s="2040" t="s">
        <v>563</v>
      </c>
      <c r="AN885" s="2041" t="s">
        <v>620</v>
      </c>
      <c r="AP885" s="2036"/>
      <c r="AQ885" s="2036"/>
    </row>
    <row r="886" spans="1:43" ht="15">
      <c r="A886" s="475"/>
      <c r="B886" s="2013"/>
      <c r="C886" s="2015"/>
      <c r="D886" s="2012"/>
      <c r="E886" s="477"/>
      <c r="F886" s="2013"/>
      <c r="G886" s="2015"/>
      <c r="H886" s="2012"/>
      <c r="I886" s="477"/>
      <c r="J886" s="2013"/>
      <c r="K886" s="2015"/>
      <c r="L886" s="2012"/>
      <c r="M886" s="477"/>
      <c r="N886" s="2013"/>
      <c r="O886" s="2015"/>
      <c r="P886" s="2012"/>
      <c r="Q886" s="477"/>
      <c r="R886" s="2013"/>
      <c r="S886" s="2015"/>
      <c r="T886" s="2012"/>
      <c r="U886" s="477"/>
      <c r="V886" s="2013"/>
      <c r="W886" s="2015"/>
      <c r="X886" s="2012"/>
      <c r="Y886" s="477"/>
      <c r="Z886" s="2013"/>
      <c r="AA886" s="2015"/>
      <c r="AB886" s="2012"/>
      <c r="AC886" s="477"/>
      <c r="AD886" s="2013"/>
      <c r="AE886" s="2015"/>
      <c r="AF886" s="2012"/>
      <c r="AG886" s="477"/>
      <c r="AH886" s="2013"/>
      <c r="AI886" s="2015"/>
      <c r="AJ886" s="2012"/>
      <c r="AK886" s="477"/>
      <c r="AL886" s="2013"/>
      <c r="AM886" s="2015"/>
      <c r="AN886" s="2012"/>
      <c r="AO886" s="477"/>
    </row>
    <row r="887" spans="1:43" ht="15">
      <c r="A887" s="475"/>
      <c r="B887" s="2019"/>
      <c r="C887" s="2021"/>
      <c r="D887" s="2018"/>
      <c r="E887" s="477"/>
      <c r="F887" s="2019"/>
      <c r="G887" s="2021"/>
      <c r="H887" s="2018"/>
      <c r="I887" s="477"/>
      <c r="J887" s="2019"/>
      <c r="K887" s="2021"/>
      <c r="L887" s="2018"/>
      <c r="M887" s="477"/>
      <c r="N887" s="2019"/>
      <c r="O887" s="2021"/>
      <c r="P887" s="2018"/>
      <c r="Q887" s="477"/>
      <c r="R887" s="2019"/>
      <c r="S887" s="2021"/>
      <c r="T887" s="2018"/>
      <c r="U887" s="477"/>
      <c r="V887" s="2019"/>
      <c r="W887" s="2021"/>
      <c r="X887" s="2018"/>
      <c r="Y887" s="477"/>
      <c r="Z887" s="2019"/>
      <c r="AA887" s="2021"/>
      <c r="AB887" s="2018"/>
      <c r="AC887" s="477"/>
      <c r="AD887" s="2019"/>
      <c r="AE887" s="2021"/>
      <c r="AF887" s="2018"/>
      <c r="AG887" s="477"/>
      <c r="AH887" s="2019"/>
      <c r="AI887" s="2021"/>
      <c r="AJ887" s="2018"/>
      <c r="AK887" s="477"/>
      <c r="AL887" s="2019"/>
      <c r="AM887" s="2021"/>
      <c r="AN887" s="2018"/>
      <c r="AO887" s="477"/>
    </row>
    <row r="888" spans="1:43" ht="15">
      <c r="A888" s="475"/>
      <c r="B888" s="2019"/>
      <c r="C888" s="2021"/>
      <c r="D888" s="2018"/>
      <c r="E888" s="477"/>
      <c r="F888" s="2019"/>
      <c r="G888" s="2021"/>
      <c r="H888" s="2018"/>
      <c r="I888" s="477"/>
      <c r="J888" s="2019"/>
      <c r="K888" s="2021"/>
      <c r="L888" s="2018"/>
      <c r="M888" s="477"/>
      <c r="N888" s="2019"/>
      <c r="O888" s="2021"/>
      <c r="P888" s="2018"/>
      <c r="Q888" s="477"/>
      <c r="R888" s="2019"/>
      <c r="S888" s="2021"/>
      <c r="T888" s="2018"/>
      <c r="U888" s="477"/>
      <c r="V888" s="2019"/>
      <c r="W888" s="2021"/>
      <c r="X888" s="2018"/>
      <c r="Y888" s="477"/>
      <c r="Z888" s="2019"/>
      <c r="AA888" s="2021"/>
      <c r="AB888" s="2018"/>
      <c r="AC888" s="477"/>
      <c r="AD888" s="2019"/>
      <c r="AE888" s="2021"/>
      <c r="AF888" s="2018"/>
      <c r="AG888" s="477"/>
      <c r="AH888" s="2019"/>
      <c r="AI888" s="2021"/>
      <c r="AJ888" s="2018"/>
      <c r="AK888" s="477"/>
      <c r="AL888" s="2019"/>
      <c r="AM888" s="2021"/>
      <c r="AN888" s="2018"/>
      <c r="AO888" s="477"/>
    </row>
    <row r="889" spans="1:43" ht="15">
      <c r="A889" s="475"/>
      <c r="B889" s="2019"/>
      <c r="C889" s="2021"/>
      <c r="D889" s="2018"/>
      <c r="E889" s="477"/>
      <c r="F889" s="2019"/>
      <c r="G889" s="2021"/>
      <c r="H889" s="2018"/>
      <c r="I889" s="477"/>
      <c r="J889" s="2019"/>
      <c r="K889" s="2021"/>
      <c r="L889" s="2018"/>
      <c r="M889" s="477"/>
      <c r="N889" s="2019"/>
      <c r="O889" s="2021"/>
      <c r="P889" s="2018"/>
      <c r="Q889" s="477"/>
      <c r="R889" s="2019"/>
      <c r="S889" s="2021"/>
      <c r="T889" s="2018"/>
      <c r="U889" s="477"/>
      <c r="V889" s="2019"/>
      <c r="W889" s="2021"/>
      <c r="X889" s="2018"/>
      <c r="Y889" s="477"/>
      <c r="Z889" s="2019"/>
      <c r="AA889" s="2021"/>
      <c r="AB889" s="2018"/>
      <c r="AC889" s="477"/>
      <c r="AD889" s="2019"/>
      <c r="AE889" s="2021"/>
      <c r="AF889" s="2018"/>
      <c r="AG889" s="477"/>
      <c r="AH889" s="2019"/>
      <c r="AI889" s="2021"/>
      <c r="AJ889" s="2018"/>
      <c r="AK889" s="477"/>
      <c r="AL889" s="2019"/>
      <c r="AM889" s="2021"/>
      <c r="AN889" s="2018"/>
      <c r="AO889" s="477"/>
    </row>
    <row r="890" spans="1:43" ht="15">
      <c r="A890" s="475"/>
      <c r="B890" s="2019"/>
      <c r="C890" s="2021"/>
      <c r="D890" s="2018"/>
      <c r="E890" s="477"/>
      <c r="F890" s="2019"/>
      <c r="G890" s="2021"/>
      <c r="H890" s="2018"/>
      <c r="I890" s="477"/>
      <c r="J890" s="2019"/>
      <c r="K890" s="2021"/>
      <c r="L890" s="2018"/>
      <c r="M890" s="477"/>
      <c r="N890" s="2019"/>
      <c r="O890" s="2021"/>
      <c r="P890" s="2018"/>
      <c r="Q890" s="477"/>
      <c r="R890" s="2019"/>
      <c r="S890" s="2021"/>
      <c r="T890" s="2018"/>
      <c r="U890" s="477"/>
      <c r="V890" s="2019"/>
      <c r="W890" s="2021"/>
      <c r="X890" s="2018"/>
      <c r="Y890" s="477"/>
      <c r="Z890" s="2019"/>
      <c r="AA890" s="2021"/>
      <c r="AB890" s="2018"/>
      <c r="AC890" s="477"/>
      <c r="AD890" s="2019"/>
      <c r="AE890" s="2021"/>
      <c r="AF890" s="2018"/>
      <c r="AG890" s="477"/>
      <c r="AH890" s="2019"/>
      <c r="AI890" s="2021"/>
      <c r="AJ890" s="2018"/>
      <c r="AK890" s="477"/>
      <c r="AL890" s="2019"/>
      <c r="AM890" s="2021"/>
      <c r="AN890" s="2018"/>
      <c r="AO890" s="477"/>
    </row>
    <row r="891" spans="1:43" ht="15">
      <c r="A891" s="475"/>
      <c r="B891" s="2019"/>
      <c r="C891" s="2021"/>
      <c r="D891" s="2018"/>
      <c r="E891" s="477"/>
      <c r="F891" s="2019"/>
      <c r="G891" s="2021"/>
      <c r="H891" s="2018"/>
      <c r="I891" s="477"/>
      <c r="J891" s="2019"/>
      <c r="K891" s="2021"/>
      <c r="L891" s="2018"/>
      <c r="M891" s="477"/>
      <c r="N891" s="2019"/>
      <c r="O891" s="2021"/>
      <c r="P891" s="2018"/>
      <c r="Q891" s="477"/>
      <c r="R891" s="2019"/>
      <c r="S891" s="2021"/>
      <c r="T891" s="2018"/>
      <c r="U891" s="477"/>
      <c r="V891" s="2019"/>
      <c r="W891" s="2021"/>
      <c r="X891" s="2018"/>
      <c r="Y891" s="477"/>
      <c r="Z891" s="2019"/>
      <c r="AA891" s="2021"/>
      <c r="AB891" s="2018"/>
      <c r="AC891" s="477"/>
      <c r="AD891" s="2019"/>
      <c r="AE891" s="2021"/>
      <c r="AF891" s="2018"/>
      <c r="AG891" s="477"/>
      <c r="AH891" s="2019"/>
      <c r="AI891" s="2021"/>
      <c r="AJ891" s="2018"/>
      <c r="AK891" s="477"/>
      <c r="AL891" s="2019"/>
      <c r="AM891" s="2021"/>
      <c r="AN891" s="2018"/>
      <c r="AO891" s="477"/>
    </row>
    <row r="892" spans="1:43" ht="15">
      <c r="A892" s="475"/>
      <c r="B892" s="2019"/>
      <c r="C892" s="2021"/>
      <c r="D892" s="2018"/>
      <c r="E892" s="477"/>
      <c r="F892" s="2019"/>
      <c r="G892" s="2021"/>
      <c r="H892" s="2018"/>
      <c r="I892" s="477"/>
      <c r="J892" s="2019"/>
      <c r="K892" s="2021"/>
      <c r="L892" s="2018"/>
      <c r="M892" s="477"/>
      <c r="N892" s="2019"/>
      <c r="O892" s="2021"/>
      <c r="P892" s="2018"/>
      <c r="Q892" s="477"/>
      <c r="R892" s="2019"/>
      <c r="S892" s="2021"/>
      <c r="T892" s="2018"/>
      <c r="U892" s="477"/>
      <c r="V892" s="2019"/>
      <c r="W892" s="2021"/>
      <c r="X892" s="2018"/>
      <c r="Y892" s="477"/>
      <c r="Z892" s="2019"/>
      <c r="AA892" s="2021"/>
      <c r="AB892" s="2018"/>
      <c r="AC892" s="477"/>
      <c r="AD892" s="2019"/>
      <c r="AE892" s="2021"/>
      <c r="AF892" s="2018"/>
      <c r="AG892" s="477"/>
      <c r="AH892" s="2019"/>
      <c r="AI892" s="2021"/>
      <c r="AJ892" s="2018"/>
      <c r="AK892" s="477"/>
      <c r="AL892" s="2019"/>
      <c r="AM892" s="2021"/>
      <c r="AN892" s="2018"/>
      <c r="AO892" s="477"/>
    </row>
    <row r="893" spans="1:43" ht="15">
      <c r="A893" s="475"/>
      <c r="B893" s="2019"/>
      <c r="C893" s="2021"/>
      <c r="D893" s="2018"/>
      <c r="E893" s="477"/>
      <c r="F893" s="2019"/>
      <c r="G893" s="2021"/>
      <c r="H893" s="2018"/>
      <c r="I893" s="477"/>
      <c r="J893" s="2019"/>
      <c r="K893" s="2021"/>
      <c r="L893" s="2018"/>
      <c r="M893" s="477"/>
      <c r="N893" s="2019"/>
      <c r="O893" s="2021"/>
      <c r="P893" s="2018"/>
      <c r="Q893" s="477"/>
      <c r="R893" s="2019"/>
      <c r="S893" s="2021"/>
      <c r="T893" s="2018"/>
      <c r="U893" s="477"/>
      <c r="V893" s="2019"/>
      <c r="W893" s="2021"/>
      <c r="X893" s="2018"/>
      <c r="Y893" s="477"/>
      <c r="Z893" s="2019"/>
      <c r="AA893" s="2021"/>
      <c r="AB893" s="2018"/>
      <c r="AC893" s="477"/>
      <c r="AD893" s="2019"/>
      <c r="AE893" s="2021"/>
      <c r="AF893" s="2018"/>
      <c r="AG893" s="477"/>
      <c r="AH893" s="2019"/>
      <c r="AI893" s="2021"/>
      <c r="AJ893" s="2018"/>
      <c r="AK893" s="477"/>
      <c r="AL893" s="2019"/>
      <c r="AM893" s="2021"/>
      <c r="AN893" s="2018"/>
      <c r="AO893" s="477"/>
    </row>
    <row r="894" spans="1:43" ht="15">
      <c r="A894" s="475"/>
      <c r="B894" s="2019"/>
      <c r="C894" s="2021"/>
      <c r="D894" s="2018"/>
      <c r="E894" s="477"/>
      <c r="F894" s="2019"/>
      <c r="G894" s="2021"/>
      <c r="H894" s="2018"/>
      <c r="I894" s="477"/>
      <c r="J894" s="2019"/>
      <c r="K894" s="2021"/>
      <c r="L894" s="2018"/>
      <c r="M894" s="477"/>
      <c r="N894" s="2019"/>
      <c r="O894" s="2021"/>
      <c r="P894" s="2018"/>
      <c r="Q894" s="477"/>
      <c r="R894" s="2019"/>
      <c r="S894" s="2021"/>
      <c r="T894" s="2018"/>
      <c r="U894" s="477"/>
      <c r="V894" s="2019"/>
      <c r="W894" s="2021"/>
      <c r="X894" s="2018"/>
      <c r="Y894" s="477"/>
      <c r="Z894" s="2019"/>
      <c r="AA894" s="2021"/>
      <c r="AB894" s="2018"/>
      <c r="AC894" s="477"/>
      <c r="AD894" s="2019"/>
      <c r="AE894" s="2021"/>
      <c r="AF894" s="2018"/>
      <c r="AG894" s="477"/>
      <c r="AH894" s="2019"/>
      <c r="AI894" s="2021"/>
      <c r="AJ894" s="2018"/>
      <c r="AK894" s="477"/>
      <c r="AL894" s="2019"/>
      <c r="AM894" s="2021"/>
      <c r="AN894" s="2018"/>
      <c r="AO894" s="477"/>
    </row>
    <row r="895" spans="1:43" ht="15">
      <c r="A895" s="475"/>
      <c r="B895" s="2019"/>
      <c r="C895" s="2021"/>
      <c r="D895" s="2018"/>
      <c r="E895" s="477"/>
      <c r="F895" s="2019"/>
      <c r="G895" s="2021"/>
      <c r="H895" s="2018"/>
      <c r="I895" s="477"/>
      <c r="J895" s="2019"/>
      <c r="K895" s="2021"/>
      <c r="L895" s="2018"/>
      <c r="M895" s="477"/>
      <c r="N895" s="2019"/>
      <c r="O895" s="2021"/>
      <c r="P895" s="2018"/>
      <c r="Q895" s="477"/>
      <c r="R895" s="2019"/>
      <c r="S895" s="2021"/>
      <c r="T895" s="2018"/>
      <c r="U895" s="477"/>
      <c r="V895" s="2019"/>
      <c r="W895" s="2021"/>
      <c r="X895" s="2018"/>
      <c r="Y895" s="477"/>
      <c r="Z895" s="2019"/>
      <c r="AA895" s="2021"/>
      <c r="AB895" s="2018"/>
      <c r="AC895" s="477"/>
      <c r="AD895" s="2019"/>
      <c r="AE895" s="2021"/>
      <c r="AF895" s="2018"/>
      <c r="AG895" s="477"/>
      <c r="AH895" s="2019"/>
      <c r="AI895" s="2021"/>
      <c r="AJ895" s="2018"/>
      <c r="AK895" s="477"/>
      <c r="AL895" s="2019"/>
      <c r="AM895" s="2021"/>
      <c r="AN895" s="2018"/>
      <c r="AO895" s="477"/>
    </row>
    <row r="896" spans="1:43" ht="15">
      <c r="A896" s="475"/>
      <c r="B896" s="2019"/>
      <c r="C896" s="2021"/>
      <c r="D896" s="2018"/>
      <c r="E896" s="477"/>
      <c r="F896" s="2019"/>
      <c r="G896" s="2021"/>
      <c r="H896" s="2018"/>
      <c r="I896" s="477"/>
      <c r="J896" s="2019"/>
      <c r="K896" s="2021"/>
      <c r="L896" s="2018"/>
      <c r="M896" s="477"/>
      <c r="N896" s="2019"/>
      <c r="O896" s="2021"/>
      <c r="P896" s="2018"/>
      <c r="Q896" s="477"/>
      <c r="R896" s="2019"/>
      <c r="S896" s="2021"/>
      <c r="T896" s="2018"/>
      <c r="U896" s="477"/>
      <c r="V896" s="2019"/>
      <c r="W896" s="2021"/>
      <c r="X896" s="2018"/>
      <c r="Y896" s="477"/>
      <c r="Z896" s="2019"/>
      <c r="AA896" s="2021"/>
      <c r="AB896" s="2018"/>
      <c r="AC896" s="477"/>
      <c r="AD896" s="2019"/>
      <c r="AE896" s="2021"/>
      <c r="AF896" s="2018"/>
      <c r="AG896" s="477"/>
      <c r="AH896" s="2019"/>
      <c r="AI896" s="2021"/>
      <c r="AJ896" s="2018"/>
      <c r="AK896" s="477"/>
      <c r="AL896" s="2019"/>
      <c r="AM896" s="2021"/>
      <c r="AN896" s="2018"/>
      <c r="AO896" s="477"/>
    </row>
    <row r="897" spans="1:41" ht="15">
      <c r="A897" s="475"/>
      <c r="B897" s="2019"/>
      <c r="C897" s="2021"/>
      <c r="D897" s="2018"/>
      <c r="E897" s="477"/>
      <c r="F897" s="2019"/>
      <c r="G897" s="2021"/>
      <c r="H897" s="2018"/>
      <c r="I897" s="477"/>
      <c r="J897" s="2019"/>
      <c r="K897" s="2021"/>
      <c r="L897" s="2018"/>
      <c r="M897" s="477"/>
      <c r="N897" s="2019"/>
      <c r="O897" s="2021"/>
      <c r="P897" s="2018"/>
      <c r="Q897" s="477"/>
      <c r="R897" s="2019"/>
      <c r="S897" s="2021"/>
      <c r="T897" s="2018"/>
      <c r="U897" s="477"/>
      <c r="V897" s="2019"/>
      <c r="W897" s="2021"/>
      <c r="X897" s="2018"/>
      <c r="Y897" s="477"/>
      <c r="Z897" s="2019"/>
      <c r="AA897" s="2021"/>
      <c r="AB897" s="2018"/>
      <c r="AC897" s="477"/>
      <c r="AD897" s="2019"/>
      <c r="AE897" s="2021"/>
      <c r="AF897" s="2018"/>
      <c r="AG897" s="477"/>
      <c r="AH897" s="2019"/>
      <c r="AI897" s="2021"/>
      <c r="AJ897" s="2018"/>
      <c r="AK897" s="477"/>
      <c r="AL897" s="2019"/>
      <c r="AM897" s="2021"/>
      <c r="AN897" s="2018"/>
      <c r="AO897" s="477"/>
    </row>
    <row r="898" spans="1:41" ht="15">
      <c r="A898" s="475"/>
      <c r="B898" s="2019"/>
      <c r="C898" s="2021"/>
      <c r="D898" s="2018"/>
      <c r="E898" s="477"/>
      <c r="F898" s="2019"/>
      <c r="G898" s="2021"/>
      <c r="H898" s="2018"/>
      <c r="I898" s="477"/>
      <c r="J898" s="2019"/>
      <c r="K898" s="2021"/>
      <c r="L898" s="2018"/>
      <c r="M898" s="477"/>
      <c r="N898" s="2019"/>
      <c r="O898" s="2021"/>
      <c r="P898" s="2018"/>
      <c r="Q898" s="477"/>
      <c r="R898" s="2019"/>
      <c r="S898" s="2021"/>
      <c r="T898" s="2018"/>
      <c r="U898" s="477"/>
      <c r="V898" s="2019"/>
      <c r="W898" s="2021"/>
      <c r="X898" s="2018"/>
      <c r="Y898" s="477"/>
      <c r="Z898" s="2019"/>
      <c r="AA898" s="2021"/>
      <c r="AB898" s="2018"/>
      <c r="AC898" s="477"/>
      <c r="AD898" s="2019"/>
      <c r="AE898" s="2021"/>
      <c r="AF898" s="2018"/>
      <c r="AG898" s="477"/>
      <c r="AH898" s="2019"/>
      <c r="AI898" s="2021"/>
      <c r="AJ898" s="2018"/>
      <c r="AK898" s="477"/>
      <c r="AL898" s="2019"/>
      <c r="AM898" s="2021"/>
      <c r="AN898" s="2018"/>
      <c r="AO898" s="477"/>
    </row>
    <row r="899" spans="1:41" ht="15">
      <c r="A899" s="475"/>
      <c r="B899" s="2019"/>
      <c r="C899" s="2021"/>
      <c r="D899" s="2018"/>
      <c r="E899" s="477"/>
      <c r="F899" s="2019"/>
      <c r="G899" s="2021"/>
      <c r="H899" s="2018"/>
      <c r="I899" s="477"/>
      <c r="J899" s="2019"/>
      <c r="K899" s="2021"/>
      <c r="L899" s="2018"/>
      <c r="M899" s="477"/>
      <c r="N899" s="2019"/>
      <c r="O899" s="2021"/>
      <c r="P899" s="2018"/>
      <c r="Q899" s="477"/>
      <c r="R899" s="2019"/>
      <c r="S899" s="2021"/>
      <c r="T899" s="2018"/>
      <c r="U899" s="477"/>
      <c r="V899" s="2019"/>
      <c r="W899" s="2021"/>
      <c r="X899" s="2018"/>
      <c r="Y899" s="477"/>
      <c r="Z899" s="2019"/>
      <c r="AA899" s="2021"/>
      <c r="AB899" s="2018"/>
      <c r="AC899" s="477"/>
      <c r="AD899" s="2019"/>
      <c r="AE899" s="2021"/>
      <c r="AF899" s="2018"/>
      <c r="AG899" s="477"/>
      <c r="AH899" s="2019"/>
      <c r="AI899" s="2021"/>
      <c r="AJ899" s="2018"/>
      <c r="AK899" s="477"/>
      <c r="AL899" s="2019"/>
      <c r="AM899" s="2021"/>
      <c r="AN899" s="2018"/>
      <c r="AO899" s="477"/>
    </row>
    <row r="900" spans="1:41" ht="15">
      <c r="A900" s="475"/>
      <c r="B900" s="2019"/>
      <c r="C900" s="2021"/>
      <c r="D900" s="2018"/>
      <c r="E900" s="477"/>
      <c r="F900" s="2019"/>
      <c r="G900" s="2021"/>
      <c r="H900" s="2018"/>
      <c r="I900" s="477"/>
      <c r="J900" s="2019"/>
      <c r="K900" s="2021"/>
      <c r="L900" s="2018"/>
      <c r="M900" s="477"/>
      <c r="N900" s="2019"/>
      <c r="O900" s="2021"/>
      <c r="P900" s="2018"/>
      <c r="Q900" s="477"/>
      <c r="R900" s="2019"/>
      <c r="S900" s="2021"/>
      <c r="T900" s="2018"/>
      <c r="U900" s="477"/>
      <c r="V900" s="2019"/>
      <c r="W900" s="2021"/>
      <c r="X900" s="2018"/>
      <c r="Y900" s="477"/>
      <c r="Z900" s="2019"/>
      <c r="AA900" s="2021"/>
      <c r="AB900" s="2018"/>
      <c r="AC900" s="477"/>
      <c r="AD900" s="2019"/>
      <c r="AE900" s="2021"/>
      <c r="AF900" s="2018"/>
      <c r="AG900" s="477"/>
      <c r="AH900" s="2019"/>
      <c r="AI900" s="2021"/>
      <c r="AJ900" s="2018"/>
      <c r="AK900" s="477"/>
      <c r="AL900" s="2019"/>
      <c r="AM900" s="2021"/>
      <c r="AN900" s="2018"/>
      <c r="AO900" s="477"/>
    </row>
    <row r="901" spans="1:41" ht="15">
      <c r="A901" s="475"/>
      <c r="B901" s="2019"/>
      <c r="C901" s="2021"/>
      <c r="D901" s="2018"/>
      <c r="E901" s="477"/>
      <c r="F901" s="2019"/>
      <c r="G901" s="2021"/>
      <c r="H901" s="2018"/>
      <c r="I901" s="477"/>
      <c r="J901" s="2019"/>
      <c r="K901" s="2021"/>
      <c r="L901" s="2018"/>
      <c r="M901" s="477"/>
      <c r="N901" s="2019"/>
      <c r="O901" s="2021"/>
      <c r="P901" s="2018"/>
      <c r="Q901" s="477"/>
      <c r="R901" s="2019"/>
      <c r="S901" s="2021"/>
      <c r="T901" s="2018"/>
      <c r="U901" s="477"/>
      <c r="V901" s="2019"/>
      <c r="W901" s="2021"/>
      <c r="X901" s="2018"/>
      <c r="Y901" s="477"/>
      <c r="Z901" s="2019"/>
      <c r="AA901" s="2021"/>
      <c r="AB901" s="2018"/>
      <c r="AC901" s="477"/>
      <c r="AD901" s="2019"/>
      <c r="AE901" s="2021"/>
      <c r="AF901" s="2018"/>
      <c r="AG901" s="477"/>
      <c r="AH901" s="2019"/>
      <c r="AI901" s="2021"/>
      <c r="AJ901" s="2018"/>
      <c r="AK901" s="477"/>
      <c r="AL901" s="2019"/>
      <c r="AM901" s="2021"/>
      <c r="AN901" s="2018"/>
      <c r="AO901" s="477"/>
    </row>
    <row r="902" spans="1:41" ht="15">
      <c r="A902" s="475"/>
      <c r="B902" s="2019"/>
      <c r="C902" s="2021"/>
      <c r="D902" s="2018"/>
      <c r="E902" s="477"/>
      <c r="F902" s="2019"/>
      <c r="G902" s="2021"/>
      <c r="H902" s="2018"/>
      <c r="I902" s="477"/>
      <c r="J902" s="2019"/>
      <c r="K902" s="2021"/>
      <c r="L902" s="2018"/>
      <c r="M902" s="477"/>
      <c r="N902" s="2019"/>
      <c r="O902" s="2021"/>
      <c r="P902" s="2018"/>
      <c r="Q902" s="477"/>
      <c r="R902" s="2019"/>
      <c r="S902" s="2021"/>
      <c r="T902" s="2018"/>
      <c r="U902" s="477"/>
      <c r="V902" s="2019"/>
      <c r="W902" s="2021"/>
      <c r="X902" s="2018"/>
      <c r="Y902" s="477"/>
      <c r="Z902" s="2019"/>
      <c r="AA902" s="2021"/>
      <c r="AB902" s="2018"/>
      <c r="AC902" s="477"/>
      <c r="AD902" s="2019"/>
      <c r="AE902" s="2021"/>
      <c r="AF902" s="2018"/>
      <c r="AG902" s="477"/>
      <c r="AH902" s="2019"/>
      <c r="AI902" s="2021"/>
      <c r="AJ902" s="2018"/>
      <c r="AK902" s="477"/>
      <c r="AL902" s="2019"/>
      <c r="AM902" s="2021"/>
      <c r="AN902" s="2018"/>
      <c r="AO902" s="477"/>
    </row>
    <row r="903" spans="1:41" ht="15">
      <c r="A903" s="475"/>
      <c r="B903" s="2019"/>
      <c r="C903" s="2021"/>
      <c r="D903" s="2018"/>
      <c r="E903" s="477"/>
      <c r="F903" s="2019"/>
      <c r="G903" s="2021"/>
      <c r="H903" s="2018"/>
      <c r="I903" s="477"/>
      <c r="J903" s="2019"/>
      <c r="K903" s="2021"/>
      <c r="L903" s="2018"/>
      <c r="M903" s="477"/>
      <c r="N903" s="2019"/>
      <c r="O903" s="2021"/>
      <c r="P903" s="2018"/>
      <c r="Q903" s="477"/>
      <c r="R903" s="2019"/>
      <c r="S903" s="2021"/>
      <c r="T903" s="2018"/>
      <c r="U903" s="477"/>
      <c r="V903" s="2019"/>
      <c r="W903" s="2021"/>
      <c r="X903" s="2018"/>
      <c r="Y903" s="477"/>
      <c r="Z903" s="2019"/>
      <c r="AA903" s="2021"/>
      <c r="AB903" s="2018"/>
      <c r="AC903" s="477"/>
      <c r="AD903" s="2019"/>
      <c r="AE903" s="2021"/>
      <c r="AF903" s="2018"/>
      <c r="AG903" s="477"/>
      <c r="AH903" s="2019"/>
      <c r="AI903" s="2021"/>
      <c r="AJ903" s="2018"/>
      <c r="AK903" s="477"/>
      <c r="AL903" s="2019"/>
      <c r="AM903" s="2021"/>
      <c r="AN903" s="2018"/>
      <c r="AO903" s="477"/>
    </row>
    <row r="904" spans="1:41" ht="15">
      <c r="A904" s="475"/>
      <c r="B904" s="2019"/>
      <c r="C904" s="2021"/>
      <c r="D904" s="2018"/>
      <c r="E904" s="477"/>
      <c r="F904" s="2019"/>
      <c r="G904" s="2021"/>
      <c r="H904" s="2018"/>
      <c r="I904" s="477"/>
      <c r="J904" s="2019"/>
      <c r="K904" s="2021"/>
      <c r="L904" s="2018"/>
      <c r="M904" s="477"/>
      <c r="N904" s="2019"/>
      <c r="O904" s="2021"/>
      <c r="P904" s="2018"/>
      <c r="Q904" s="477"/>
      <c r="R904" s="2019"/>
      <c r="S904" s="2021"/>
      <c r="T904" s="2018"/>
      <c r="U904" s="477"/>
      <c r="V904" s="2019"/>
      <c r="W904" s="2021"/>
      <c r="X904" s="2018"/>
      <c r="Y904" s="477"/>
      <c r="Z904" s="2019"/>
      <c r="AA904" s="2021"/>
      <c r="AB904" s="2018"/>
      <c r="AC904" s="477"/>
      <c r="AD904" s="2019"/>
      <c r="AE904" s="2021"/>
      <c r="AF904" s="2018"/>
      <c r="AG904" s="477"/>
      <c r="AH904" s="2019"/>
      <c r="AI904" s="2021"/>
      <c r="AJ904" s="2018"/>
      <c r="AK904" s="477"/>
      <c r="AL904" s="2019"/>
      <c r="AM904" s="2021"/>
      <c r="AN904" s="2018"/>
      <c r="AO904" s="477"/>
    </row>
    <row r="905" spans="1:41" ht="15">
      <c r="A905" s="475"/>
      <c r="B905" s="2019"/>
      <c r="C905" s="2021"/>
      <c r="D905" s="2018"/>
      <c r="E905" s="477"/>
      <c r="F905" s="2019"/>
      <c r="G905" s="2021"/>
      <c r="H905" s="2018"/>
      <c r="I905" s="477"/>
      <c r="J905" s="2019"/>
      <c r="K905" s="2021"/>
      <c r="L905" s="2018"/>
      <c r="M905" s="477"/>
      <c r="N905" s="2019"/>
      <c r="O905" s="2021"/>
      <c r="P905" s="2018"/>
      <c r="Q905" s="477"/>
      <c r="R905" s="2019"/>
      <c r="S905" s="2021"/>
      <c r="T905" s="2018"/>
      <c r="U905" s="477"/>
      <c r="V905" s="2019"/>
      <c r="W905" s="2021"/>
      <c r="X905" s="2018"/>
      <c r="Y905" s="477"/>
      <c r="Z905" s="2019"/>
      <c r="AA905" s="2021"/>
      <c r="AB905" s="2018"/>
      <c r="AC905" s="477"/>
      <c r="AD905" s="2019"/>
      <c r="AE905" s="2021"/>
      <c r="AF905" s="2018"/>
      <c r="AG905" s="477"/>
      <c r="AH905" s="2019"/>
      <c r="AI905" s="2021"/>
      <c r="AJ905" s="2018"/>
      <c r="AK905" s="477"/>
      <c r="AL905" s="2019"/>
      <c r="AM905" s="2021"/>
      <c r="AN905" s="2018"/>
      <c r="AO905" s="477"/>
    </row>
    <row r="906" spans="1:41" ht="15">
      <c r="A906" s="475"/>
      <c r="B906" s="2019"/>
      <c r="C906" s="2021"/>
      <c r="D906" s="2018"/>
      <c r="E906" s="477"/>
      <c r="F906" s="2019"/>
      <c r="G906" s="2021"/>
      <c r="H906" s="2018"/>
      <c r="I906" s="477"/>
      <c r="J906" s="2019"/>
      <c r="K906" s="2021"/>
      <c r="L906" s="2018"/>
      <c r="M906" s="477"/>
      <c r="N906" s="2019"/>
      <c r="O906" s="2021"/>
      <c r="P906" s="2018"/>
      <c r="Q906" s="477"/>
      <c r="R906" s="2019"/>
      <c r="S906" s="2021"/>
      <c r="T906" s="2018"/>
      <c r="U906" s="477"/>
      <c r="V906" s="2019"/>
      <c r="W906" s="2021"/>
      <c r="X906" s="2018"/>
      <c r="Y906" s="477"/>
      <c r="Z906" s="2019"/>
      <c r="AA906" s="2021"/>
      <c r="AB906" s="2018"/>
      <c r="AC906" s="477"/>
      <c r="AD906" s="2019"/>
      <c r="AE906" s="2021"/>
      <c r="AF906" s="2018"/>
      <c r="AG906" s="477"/>
      <c r="AH906" s="2019"/>
      <c r="AI906" s="2021"/>
      <c r="AJ906" s="2018"/>
      <c r="AK906" s="477"/>
      <c r="AL906" s="2019"/>
      <c r="AM906" s="2021"/>
      <c r="AN906" s="2018"/>
      <c r="AO906" s="477"/>
    </row>
    <row r="907" spans="1:41" ht="15">
      <c r="A907" s="475"/>
      <c r="B907" s="2019"/>
      <c r="C907" s="2021"/>
      <c r="D907" s="2018"/>
      <c r="E907" s="477"/>
      <c r="F907" s="2019"/>
      <c r="G907" s="2021"/>
      <c r="H907" s="2018"/>
      <c r="I907" s="477"/>
      <c r="J907" s="2019"/>
      <c r="K907" s="2021"/>
      <c r="L907" s="2018"/>
      <c r="M907" s="477"/>
      <c r="N907" s="2019"/>
      <c r="O907" s="2021"/>
      <c r="P907" s="2018"/>
      <c r="Q907" s="477"/>
      <c r="R907" s="2019"/>
      <c r="S907" s="2021"/>
      <c r="T907" s="2018"/>
      <c r="U907" s="477"/>
      <c r="V907" s="2019"/>
      <c r="W907" s="2021"/>
      <c r="X907" s="2018"/>
      <c r="Y907" s="477"/>
      <c r="Z907" s="2019"/>
      <c r="AA907" s="2021"/>
      <c r="AB907" s="2018"/>
      <c r="AC907" s="477"/>
      <c r="AD907" s="2019"/>
      <c r="AE907" s="2021"/>
      <c r="AF907" s="2018"/>
      <c r="AG907" s="477"/>
      <c r="AH907" s="2019"/>
      <c r="AI907" s="2021"/>
      <c r="AJ907" s="2018"/>
      <c r="AK907" s="477"/>
      <c r="AL907" s="2019"/>
      <c r="AM907" s="2021"/>
      <c r="AN907" s="2018"/>
      <c r="AO907" s="477"/>
    </row>
    <row r="908" spans="1:41" ht="15">
      <c r="A908" s="475"/>
      <c r="B908" s="2019"/>
      <c r="C908" s="2021"/>
      <c r="D908" s="2018"/>
      <c r="E908" s="477"/>
      <c r="F908" s="2019"/>
      <c r="G908" s="2021"/>
      <c r="H908" s="2018"/>
      <c r="I908" s="477"/>
      <c r="J908" s="2019"/>
      <c r="K908" s="2021"/>
      <c r="L908" s="2018"/>
      <c r="M908" s="477"/>
      <c r="N908" s="2019"/>
      <c r="O908" s="2021"/>
      <c r="P908" s="2018"/>
      <c r="Q908" s="477"/>
      <c r="R908" s="2019"/>
      <c r="S908" s="2021"/>
      <c r="T908" s="2018"/>
      <c r="U908" s="477"/>
      <c r="V908" s="2019"/>
      <c r="W908" s="2021"/>
      <c r="X908" s="2018"/>
      <c r="Y908" s="477"/>
      <c r="Z908" s="2019"/>
      <c r="AA908" s="2021"/>
      <c r="AB908" s="2018"/>
      <c r="AC908" s="477"/>
      <c r="AD908" s="2019"/>
      <c r="AE908" s="2021"/>
      <c r="AF908" s="2018"/>
      <c r="AG908" s="477"/>
      <c r="AH908" s="2019"/>
      <c r="AI908" s="2021"/>
      <c r="AJ908" s="2018"/>
      <c r="AK908" s="477"/>
      <c r="AL908" s="2019"/>
      <c r="AM908" s="2021"/>
      <c r="AN908" s="2018"/>
      <c r="AO908" s="477"/>
    </row>
    <row r="909" spans="1:41" ht="15">
      <c r="A909" s="475"/>
      <c r="B909" s="2019"/>
      <c r="C909" s="2021"/>
      <c r="D909" s="2018"/>
      <c r="E909" s="477"/>
      <c r="F909" s="2019"/>
      <c r="G909" s="2021"/>
      <c r="H909" s="2018"/>
      <c r="I909" s="477"/>
      <c r="J909" s="2019"/>
      <c r="K909" s="2021"/>
      <c r="L909" s="2018"/>
      <c r="M909" s="477"/>
      <c r="N909" s="2019"/>
      <c r="O909" s="2021"/>
      <c r="P909" s="2018"/>
      <c r="Q909" s="477"/>
      <c r="R909" s="2019"/>
      <c r="S909" s="2021"/>
      <c r="T909" s="2018"/>
      <c r="U909" s="477"/>
      <c r="V909" s="2019"/>
      <c r="W909" s="2021"/>
      <c r="X909" s="2018"/>
      <c r="Y909" s="477"/>
      <c r="Z909" s="2019"/>
      <c r="AA909" s="2021"/>
      <c r="AB909" s="2018"/>
      <c r="AC909" s="477"/>
      <c r="AD909" s="2019"/>
      <c r="AE909" s="2021"/>
      <c r="AF909" s="2018"/>
      <c r="AG909" s="477"/>
      <c r="AH909" s="2019"/>
      <c r="AI909" s="2021"/>
      <c r="AJ909" s="2018"/>
      <c r="AK909" s="477"/>
      <c r="AL909" s="2019"/>
      <c r="AM909" s="2021"/>
      <c r="AN909" s="2018"/>
      <c r="AO909" s="477"/>
    </row>
    <row r="910" spans="1:41" ht="15">
      <c r="A910" s="475"/>
      <c r="B910" s="2019"/>
      <c r="C910" s="2021"/>
      <c r="D910" s="2018"/>
      <c r="E910" s="477"/>
      <c r="F910" s="2019"/>
      <c r="G910" s="2021"/>
      <c r="H910" s="2018"/>
      <c r="I910" s="477"/>
      <c r="J910" s="2019"/>
      <c r="K910" s="2021"/>
      <c r="L910" s="2018"/>
      <c r="M910" s="477"/>
      <c r="N910" s="2019"/>
      <c r="O910" s="2021"/>
      <c r="P910" s="2018"/>
      <c r="Q910" s="477"/>
      <c r="R910" s="2019"/>
      <c r="S910" s="2021"/>
      <c r="T910" s="2018"/>
      <c r="U910" s="477"/>
      <c r="V910" s="2019"/>
      <c r="W910" s="2021"/>
      <c r="X910" s="2018"/>
      <c r="Y910" s="477"/>
      <c r="Z910" s="2019"/>
      <c r="AA910" s="2021"/>
      <c r="AB910" s="2018"/>
      <c r="AC910" s="477"/>
      <c r="AD910" s="2019"/>
      <c r="AE910" s="2021"/>
      <c r="AF910" s="2018"/>
      <c r="AG910" s="477"/>
      <c r="AH910" s="2019"/>
      <c r="AI910" s="2021"/>
      <c r="AJ910" s="2018"/>
      <c r="AK910" s="477"/>
      <c r="AL910" s="2019"/>
      <c r="AM910" s="2021"/>
      <c r="AN910" s="2018"/>
      <c r="AO910" s="477"/>
    </row>
    <row r="911" spans="1:41" ht="15">
      <c r="A911" s="475"/>
      <c r="B911" s="2019"/>
      <c r="C911" s="2021"/>
      <c r="D911" s="2018"/>
      <c r="E911" s="477"/>
      <c r="F911" s="2019"/>
      <c r="G911" s="2021"/>
      <c r="H911" s="2018"/>
      <c r="I911" s="477"/>
      <c r="J911" s="2019"/>
      <c r="K911" s="2021"/>
      <c r="L911" s="2018"/>
      <c r="M911" s="477"/>
      <c r="N911" s="2019"/>
      <c r="O911" s="2021"/>
      <c r="P911" s="2018"/>
      <c r="Q911" s="477"/>
      <c r="R911" s="2019"/>
      <c r="S911" s="2021"/>
      <c r="T911" s="2018"/>
      <c r="U911" s="477"/>
      <c r="V911" s="2019"/>
      <c r="W911" s="2021"/>
      <c r="X911" s="2018"/>
      <c r="Y911" s="477"/>
      <c r="Z911" s="2019"/>
      <c r="AA911" s="2021"/>
      <c r="AB911" s="2018"/>
      <c r="AC911" s="477"/>
      <c r="AD911" s="2019"/>
      <c r="AE911" s="2021"/>
      <c r="AF911" s="2018"/>
      <c r="AG911" s="477"/>
      <c r="AH911" s="2019"/>
      <c r="AI911" s="2021"/>
      <c r="AJ911" s="2018"/>
      <c r="AK911" s="477"/>
      <c r="AL911" s="2019"/>
      <c r="AM911" s="2021"/>
      <c r="AN911" s="2018"/>
      <c r="AO911" s="477"/>
    </row>
    <row r="912" spans="1:41" ht="15">
      <c r="A912" s="475"/>
      <c r="B912" s="2019"/>
      <c r="C912" s="2021"/>
      <c r="D912" s="2018"/>
      <c r="E912" s="477"/>
      <c r="F912" s="2019"/>
      <c r="G912" s="2021"/>
      <c r="H912" s="2018"/>
      <c r="I912" s="477"/>
      <c r="J912" s="2019"/>
      <c r="K912" s="2021"/>
      <c r="L912" s="2018"/>
      <c r="M912" s="477"/>
      <c r="N912" s="2019"/>
      <c r="O912" s="2021"/>
      <c r="P912" s="2018"/>
      <c r="Q912" s="477"/>
      <c r="R912" s="2019"/>
      <c r="S912" s="2021"/>
      <c r="T912" s="2018"/>
      <c r="U912" s="477"/>
      <c r="V912" s="2019"/>
      <c r="W912" s="2021"/>
      <c r="X912" s="2018"/>
      <c r="Y912" s="477"/>
      <c r="Z912" s="2019"/>
      <c r="AA912" s="2021"/>
      <c r="AB912" s="2018"/>
      <c r="AC912" s="477"/>
      <c r="AD912" s="2019"/>
      <c r="AE912" s="2021"/>
      <c r="AF912" s="2018"/>
      <c r="AG912" s="477"/>
      <c r="AH912" s="2019"/>
      <c r="AI912" s="2021"/>
      <c r="AJ912" s="2018"/>
      <c r="AK912" s="477"/>
      <c r="AL912" s="2019"/>
      <c r="AM912" s="2021"/>
      <c r="AN912" s="2018"/>
      <c r="AO912" s="477"/>
    </row>
    <row r="913" spans="1:41" ht="15">
      <c r="A913" s="475"/>
      <c r="B913" s="2019"/>
      <c r="C913" s="2021"/>
      <c r="D913" s="2018"/>
      <c r="E913" s="477"/>
      <c r="F913" s="2019"/>
      <c r="G913" s="2021"/>
      <c r="H913" s="2018"/>
      <c r="I913" s="477"/>
      <c r="J913" s="2019"/>
      <c r="K913" s="2021"/>
      <c r="L913" s="2018"/>
      <c r="M913" s="477"/>
      <c r="N913" s="2019"/>
      <c r="O913" s="2021"/>
      <c r="P913" s="2018"/>
      <c r="Q913" s="477"/>
      <c r="R913" s="2019"/>
      <c r="S913" s="2021"/>
      <c r="T913" s="2018"/>
      <c r="U913" s="477"/>
      <c r="V913" s="2019"/>
      <c r="W913" s="2021"/>
      <c r="X913" s="2018"/>
      <c r="Y913" s="477"/>
      <c r="Z913" s="2019"/>
      <c r="AA913" s="2021"/>
      <c r="AB913" s="2018"/>
      <c r="AC913" s="477"/>
      <c r="AD913" s="2019"/>
      <c r="AE913" s="2021"/>
      <c r="AF913" s="2018"/>
      <c r="AG913" s="477"/>
      <c r="AH913" s="2019"/>
      <c r="AI913" s="2021"/>
      <c r="AJ913" s="2018"/>
      <c r="AK913" s="477"/>
      <c r="AL913" s="2019"/>
      <c r="AM913" s="2021"/>
      <c r="AN913" s="2018"/>
      <c r="AO913" s="477"/>
    </row>
    <row r="914" spans="1:41" ht="15">
      <c r="A914" s="475"/>
      <c r="B914" s="2019"/>
      <c r="C914" s="2021"/>
      <c r="D914" s="2018"/>
      <c r="E914" s="477"/>
      <c r="F914" s="2019"/>
      <c r="G914" s="2021"/>
      <c r="H914" s="2018"/>
      <c r="I914" s="477"/>
      <c r="J914" s="2019"/>
      <c r="K914" s="2021"/>
      <c r="L914" s="2018"/>
      <c r="M914" s="477"/>
      <c r="N914" s="2019"/>
      <c r="O914" s="2021"/>
      <c r="P914" s="2018"/>
      <c r="Q914" s="477"/>
      <c r="R914" s="2019"/>
      <c r="S914" s="2021"/>
      <c r="T914" s="2018"/>
      <c r="U914" s="477"/>
      <c r="V914" s="2019"/>
      <c r="W914" s="2021"/>
      <c r="X914" s="2018"/>
      <c r="Y914" s="477"/>
      <c r="Z914" s="2019"/>
      <c r="AA914" s="2021"/>
      <c r="AB914" s="2018"/>
      <c r="AC914" s="477"/>
      <c r="AD914" s="2019"/>
      <c r="AE914" s="2021"/>
      <c r="AF914" s="2018"/>
      <c r="AG914" s="477"/>
      <c r="AH914" s="2019"/>
      <c r="AI914" s="2021"/>
      <c r="AJ914" s="2018"/>
      <c r="AK914" s="477"/>
      <c r="AL914" s="2019"/>
      <c r="AM914" s="2021"/>
      <c r="AN914" s="2018"/>
      <c r="AO914" s="477"/>
    </row>
    <row r="915" spans="1:41" ht="15">
      <c r="A915" s="475"/>
      <c r="B915" s="2019"/>
      <c r="C915" s="2021"/>
      <c r="D915" s="2018"/>
      <c r="E915" s="477"/>
      <c r="F915" s="2019"/>
      <c r="G915" s="2021"/>
      <c r="H915" s="2018"/>
      <c r="I915" s="477"/>
      <c r="J915" s="2019"/>
      <c r="K915" s="2021"/>
      <c r="L915" s="2018"/>
      <c r="M915" s="477"/>
      <c r="N915" s="2019"/>
      <c r="O915" s="2021"/>
      <c r="P915" s="2018"/>
      <c r="Q915" s="477"/>
      <c r="R915" s="2019"/>
      <c r="S915" s="2021"/>
      <c r="T915" s="2018"/>
      <c r="U915" s="477"/>
      <c r="V915" s="2019"/>
      <c r="W915" s="2021"/>
      <c r="X915" s="2018"/>
      <c r="Y915" s="477"/>
      <c r="Z915" s="2019"/>
      <c r="AA915" s="2021"/>
      <c r="AB915" s="2018"/>
      <c r="AC915" s="477"/>
      <c r="AD915" s="2019"/>
      <c r="AE915" s="2021"/>
      <c r="AF915" s="2018"/>
      <c r="AG915" s="477"/>
      <c r="AH915" s="2019"/>
      <c r="AI915" s="2021"/>
      <c r="AJ915" s="2018"/>
      <c r="AK915" s="477"/>
      <c r="AL915" s="2019"/>
      <c r="AM915" s="2021"/>
      <c r="AN915" s="2018"/>
      <c r="AO915" s="477"/>
    </row>
    <row r="916" spans="1:41" ht="15">
      <c r="A916" s="475"/>
      <c r="B916" s="2019"/>
      <c r="C916" s="2021"/>
      <c r="D916" s="2018"/>
      <c r="E916" s="477"/>
      <c r="F916" s="2019"/>
      <c r="G916" s="2021"/>
      <c r="H916" s="2018"/>
      <c r="I916" s="477"/>
      <c r="J916" s="2019"/>
      <c r="K916" s="2021"/>
      <c r="L916" s="2018"/>
      <c r="M916" s="477"/>
      <c r="N916" s="2019"/>
      <c r="O916" s="2021"/>
      <c r="P916" s="2018"/>
      <c r="Q916" s="477"/>
      <c r="R916" s="2019"/>
      <c r="S916" s="2021"/>
      <c r="T916" s="2018"/>
      <c r="U916" s="477"/>
      <c r="V916" s="2019"/>
      <c r="W916" s="2021"/>
      <c r="X916" s="2018"/>
      <c r="Y916" s="477"/>
      <c r="Z916" s="2019"/>
      <c r="AA916" s="2021"/>
      <c r="AB916" s="2018"/>
      <c r="AC916" s="477"/>
      <c r="AD916" s="2019"/>
      <c r="AE916" s="2021"/>
      <c r="AF916" s="2018"/>
      <c r="AG916" s="477"/>
      <c r="AH916" s="2019"/>
      <c r="AI916" s="2021"/>
      <c r="AJ916" s="2018"/>
      <c r="AK916" s="477"/>
      <c r="AL916" s="2019"/>
      <c r="AM916" s="2021"/>
      <c r="AN916" s="2018"/>
      <c r="AO916" s="477"/>
    </row>
    <row r="917" spans="1:41" ht="15">
      <c r="A917" s="475"/>
      <c r="B917" s="2019"/>
      <c r="C917" s="2021"/>
      <c r="D917" s="2018"/>
      <c r="E917" s="477"/>
      <c r="F917" s="2019"/>
      <c r="G917" s="2021"/>
      <c r="H917" s="2018"/>
      <c r="I917" s="477"/>
      <c r="J917" s="2019"/>
      <c r="K917" s="2021"/>
      <c r="L917" s="2018"/>
      <c r="M917" s="477"/>
      <c r="N917" s="2019"/>
      <c r="O917" s="2021"/>
      <c r="P917" s="2018"/>
      <c r="Q917" s="477"/>
      <c r="R917" s="2019"/>
      <c r="S917" s="2021"/>
      <c r="T917" s="2018"/>
      <c r="U917" s="477"/>
      <c r="V917" s="2019"/>
      <c r="W917" s="2021"/>
      <c r="X917" s="2018"/>
      <c r="Y917" s="477"/>
      <c r="Z917" s="2019"/>
      <c r="AA917" s="2021"/>
      <c r="AB917" s="2018"/>
      <c r="AC917" s="477"/>
      <c r="AD917" s="2019"/>
      <c r="AE917" s="2021"/>
      <c r="AF917" s="2018"/>
      <c r="AG917" s="477"/>
      <c r="AH917" s="2019"/>
      <c r="AI917" s="2021"/>
      <c r="AJ917" s="2018"/>
      <c r="AK917" s="477"/>
      <c r="AL917" s="2019"/>
      <c r="AM917" s="2021"/>
      <c r="AN917" s="2018"/>
      <c r="AO917" s="477"/>
    </row>
    <row r="918" spans="1:41" ht="15">
      <c r="A918" s="475"/>
      <c r="B918" s="2019"/>
      <c r="C918" s="2021"/>
      <c r="D918" s="2018"/>
      <c r="E918" s="477"/>
      <c r="F918" s="2019"/>
      <c r="G918" s="2021"/>
      <c r="H918" s="2018"/>
      <c r="I918" s="477"/>
      <c r="J918" s="2019"/>
      <c r="K918" s="2021"/>
      <c r="L918" s="2018"/>
      <c r="M918" s="477"/>
      <c r="N918" s="2019"/>
      <c r="O918" s="2021"/>
      <c r="P918" s="2018"/>
      <c r="Q918" s="477"/>
      <c r="R918" s="2019"/>
      <c r="S918" s="2021"/>
      <c r="T918" s="2018"/>
      <c r="U918" s="477"/>
      <c r="V918" s="2019"/>
      <c r="W918" s="2021"/>
      <c r="X918" s="2018"/>
      <c r="Y918" s="477"/>
      <c r="Z918" s="2019"/>
      <c r="AA918" s="2021"/>
      <c r="AB918" s="2018"/>
      <c r="AC918" s="477"/>
      <c r="AD918" s="2019"/>
      <c r="AE918" s="2021"/>
      <c r="AF918" s="2018"/>
      <c r="AG918" s="477"/>
      <c r="AH918" s="2019"/>
      <c r="AI918" s="2021"/>
      <c r="AJ918" s="2018"/>
      <c r="AK918" s="477"/>
      <c r="AL918" s="2019"/>
      <c r="AM918" s="2021"/>
      <c r="AN918" s="2018"/>
      <c r="AO918" s="477"/>
    </row>
    <row r="919" spans="1:41" ht="15">
      <c r="A919" s="475"/>
      <c r="B919" s="2019"/>
      <c r="C919" s="2021"/>
      <c r="D919" s="2018"/>
      <c r="E919" s="477"/>
      <c r="F919" s="2019"/>
      <c r="G919" s="2021"/>
      <c r="H919" s="2018"/>
      <c r="I919" s="477"/>
      <c r="J919" s="2019"/>
      <c r="K919" s="2021"/>
      <c r="L919" s="2018"/>
      <c r="M919" s="477"/>
      <c r="N919" s="2019"/>
      <c r="O919" s="2021"/>
      <c r="P919" s="2018"/>
      <c r="Q919" s="477"/>
      <c r="R919" s="2019"/>
      <c r="S919" s="2021"/>
      <c r="T919" s="2018"/>
      <c r="U919" s="477"/>
      <c r="V919" s="2019"/>
      <c r="W919" s="2021"/>
      <c r="X919" s="2018"/>
      <c r="Y919" s="477"/>
      <c r="Z919" s="2019"/>
      <c r="AA919" s="2021"/>
      <c r="AB919" s="2018"/>
      <c r="AC919" s="477"/>
      <c r="AD919" s="2019"/>
      <c r="AE919" s="2021"/>
      <c r="AF919" s="2018"/>
      <c r="AG919" s="477"/>
      <c r="AH919" s="2019"/>
      <c r="AI919" s="2021"/>
      <c r="AJ919" s="2018"/>
      <c r="AK919" s="477"/>
      <c r="AL919" s="2019"/>
      <c r="AM919" s="2021"/>
      <c r="AN919" s="2018"/>
      <c r="AO919" s="477"/>
    </row>
    <row r="920" spans="1:41" ht="15">
      <c r="A920" s="475"/>
      <c r="B920" s="2019"/>
      <c r="C920" s="2021"/>
      <c r="D920" s="2018"/>
      <c r="E920" s="477"/>
      <c r="F920" s="2019"/>
      <c r="G920" s="2021"/>
      <c r="H920" s="2018"/>
      <c r="I920" s="477"/>
      <c r="J920" s="2019"/>
      <c r="K920" s="2021"/>
      <c r="L920" s="2018"/>
      <c r="M920" s="477"/>
      <c r="N920" s="2019"/>
      <c r="O920" s="2021"/>
      <c r="P920" s="2018"/>
      <c r="Q920" s="477"/>
      <c r="R920" s="2019"/>
      <c r="S920" s="2021"/>
      <c r="T920" s="2018"/>
      <c r="U920" s="477"/>
      <c r="V920" s="2019"/>
      <c r="W920" s="2021"/>
      <c r="X920" s="2018"/>
      <c r="Y920" s="477"/>
      <c r="Z920" s="2019"/>
      <c r="AA920" s="2021"/>
      <c r="AB920" s="2018"/>
      <c r="AC920" s="477"/>
      <c r="AD920" s="2019"/>
      <c r="AE920" s="2021"/>
      <c r="AF920" s="2018"/>
      <c r="AG920" s="477"/>
      <c r="AH920" s="2019"/>
      <c r="AI920" s="2021"/>
      <c r="AJ920" s="2018"/>
      <c r="AK920" s="477"/>
      <c r="AL920" s="2019"/>
      <c r="AM920" s="2021"/>
      <c r="AN920" s="2018"/>
      <c r="AO920" s="477"/>
    </row>
    <row r="921" spans="1:41" ht="15">
      <c r="A921" s="475"/>
      <c r="B921" s="2019"/>
      <c r="C921" s="2021"/>
      <c r="D921" s="2018"/>
      <c r="E921" s="477"/>
      <c r="F921" s="2019"/>
      <c r="G921" s="2021"/>
      <c r="H921" s="2018"/>
      <c r="I921" s="477"/>
      <c r="J921" s="2019"/>
      <c r="K921" s="2021"/>
      <c r="L921" s="2018"/>
      <c r="M921" s="477"/>
      <c r="N921" s="2019"/>
      <c r="O921" s="2021"/>
      <c r="P921" s="2018"/>
      <c r="Q921" s="477"/>
      <c r="R921" s="2019"/>
      <c r="S921" s="2021"/>
      <c r="T921" s="2018"/>
      <c r="U921" s="477"/>
      <c r="V921" s="2019"/>
      <c r="W921" s="2021"/>
      <c r="X921" s="2018"/>
      <c r="Y921" s="477"/>
      <c r="Z921" s="2019"/>
      <c r="AA921" s="2021"/>
      <c r="AB921" s="2018"/>
      <c r="AC921" s="477"/>
      <c r="AD921" s="2019"/>
      <c r="AE921" s="2021"/>
      <c r="AF921" s="2018"/>
      <c r="AG921" s="477"/>
      <c r="AH921" s="2019"/>
      <c r="AI921" s="2021"/>
      <c r="AJ921" s="2018"/>
      <c r="AK921" s="477"/>
      <c r="AL921" s="2019"/>
      <c r="AM921" s="2021"/>
      <c r="AN921" s="2018"/>
      <c r="AO921" s="477"/>
    </row>
    <row r="922" spans="1:41" ht="15">
      <c r="A922" s="475"/>
      <c r="B922" s="2019"/>
      <c r="C922" s="2021"/>
      <c r="D922" s="2018"/>
      <c r="E922" s="477"/>
      <c r="F922" s="2019"/>
      <c r="G922" s="2021"/>
      <c r="H922" s="2018"/>
      <c r="I922" s="477"/>
      <c r="J922" s="2019"/>
      <c r="K922" s="2021"/>
      <c r="L922" s="2018"/>
      <c r="M922" s="477"/>
      <c r="N922" s="2019"/>
      <c r="O922" s="2021"/>
      <c r="P922" s="2018"/>
      <c r="Q922" s="477"/>
      <c r="R922" s="2019"/>
      <c r="S922" s="2021"/>
      <c r="T922" s="2018"/>
      <c r="U922" s="477"/>
      <c r="V922" s="2019"/>
      <c r="W922" s="2021"/>
      <c r="X922" s="2018"/>
      <c r="Y922" s="477"/>
      <c r="Z922" s="2019"/>
      <c r="AA922" s="2021"/>
      <c r="AB922" s="2018"/>
      <c r="AC922" s="477"/>
      <c r="AD922" s="2019"/>
      <c r="AE922" s="2021"/>
      <c r="AF922" s="2018"/>
      <c r="AG922" s="477"/>
      <c r="AH922" s="2019"/>
      <c r="AI922" s="2021"/>
      <c r="AJ922" s="2018"/>
      <c r="AK922" s="477"/>
      <c r="AL922" s="2019"/>
      <c r="AM922" s="2021"/>
      <c r="AN922" s="2018"/>
      <c r="AO922" s="477"/>
    </row>
    <row r="923" spans="1:41" ht="15">
      <c r="A923" s="475"/>
      <c r="B923" s="2019"/>
      <c r="C923" s="2021"/>
      <c r="D923" s="2018"/>
      <c r="E923" s="477"/>
      <c r="F923" s="2019"/>
      <c r="G923" s="2021"/>
      <c r="H923" s="2018"/>
      <c r="I923" s="477"/>
      <c r="J923" s="2019"/>
      <c r="K923" s="2021"/>
      <c r="L923" s="2018"/>
      <c r="M923" s="477"/>
      <c r="N923" s="2019"/>
      <c r="O923" s="2021"/>
      <c r="P923" s="2018"/>
      <c r="Q923" s="477"/>
      <c r="R923" s="2019"/>
      <c r="S923" s="2021"/>
      <c r="T923" s="2018"/>
      <c r="U923" s="477"/>
      <c r="V923" s="2019"/>
      <c r="W923" s="2021"/>
      <c r="X923" s="2018"/>
      <c r="Y923" s="477"/>
      <c r="Z923" s="2019"/>
      <c r="AA923" s="2021"/>
      <c r="AB923" s="2018"/>
      <c r="AC923" s="477"/>
      <c r="AD923" s="2019"/>
      <c r="AE923" s="2021"/>
      <c r="AF923" s="2018"/>
      <c r="AG923" s="477"/>
      <c r="AH923" s="2019"/>
      <c r="AI923" s="2021"/>
      <c r="AJ923" s="2018"/>
      <c r="AK923" s="477"/>
      <c r="AL923" s="2019"/>
      <c r="AM923" s="2021"/>
      <c r="AN923" s="2018"/>
      <c r="AO923" s="477"/>
    </row>
    <row r="924" spans="1:41" ht="15">
      <c r="A924" s="475"/>
      <c r="B924" s="2019"/>
      <c r="C924" s="2021"/>
      <c r="D924" s="2018"/>
      <c r="E924" s="477"/>
      <c r="F924" s="2019"/>
      <c r="G924" s="2021"/>
      <c r="H924" s="2018"/>
      <c r="I924" s="477"/>
      <c r="J924" s="2019"/>
      <c r="K924" s="2021"/>
      <c r="L924" s="2018"/>
      <c r="M924" s="477"/>
      <c r="N924" s="2019"/>
      <c r="O924" s="2021"/>
      <c r="P924" s="2018"/>
      <c r="Q924" s="477"/>
      <c r="R924" s="2019"/>
      <c r="S924" s="2021"/>
      <c r="T924" s="2018"/>
      <c r="U924" s="477"/>
      <c r="V924" s="2019"/>
      <c r="W924" s="2021"/>
      <c r="X924" s="2018"/>
      <c r="Y924" s="477"/>
      <c r="Z924" s="2019"/>
      <c r="AA924" s="2021"/>
      <c r="AB924" s="2018"/>
      <c r="AC924" s="477"/>
      <c r="AD924" s="2019"/>
      <c r="AE924" s="2021"/>
      <c r="AF924" s="2018"/>
      <c r="AG924" s="477"/>
      <c r="AH924" s="2019"/>
      <c r="AI924" s="2021"/>
      <c r="AJ924" s="2018"/>
      <c r="AK924" s="477"/>
      <c r="AL924" s="2019"/>
      <c r="AM924" s="2021"/>
      <c r="AN924" s="2018"/>
      <c r="AO924" s="477"/>
    </row>
    <row r="925" spans="1:41" ht="15">
      <c r="A925" s="475"/>
      <c r="B925" s="2019"/>
      <c r="C925" s="2021"/>
      <c r="D925" s="2018"/>
      <c r="E925" s="477"/>
      <c r="F925" s="2019"/>
      <c r="G925" s="2021"/>
      <c r="H925" s="2018"/>
      <c r="I925" s="477"/>
      <c r="J925" s="2019"/>
      <c r="K925" s="2021"/>
      <c r="L925" s="2018"/>
      <c r="M925" s="477"/>
      <c r="N925" s="2019"/>
      <c r="O925" s="2021"/>
      <c r="P925" s="2018"/>
      <c r="Q925" s="477"/>
      <c r="R925" s="2019"/>
      <c r="S925" s="2021"/>
      <c r="T925" s="2018"/>
      <c r="U925" s="477"/>
      <c r="V925" s="2019"/>
      <c r="W925" s="2021"/>
      <c r="X925" s="2018"/>
      <c r="Y925" s="477"/>
      <c r="Z925" s="2019"/>
      <c r="AA925" s="2021"/>
      <c r="AB925" s="2018"/>
      <c r="AC925" s="477"/>
      <c r="AD925" s="2019"/>
      <c r="AE925" s="2021"/>
      <c r="AF925" s="2018"/>
      <c r="AG925" s="477"/>
      <c r="AH925" s="2019"/>
      <c r="AI925" s="2021"/>
      <c r="AJ925" s="2018"/>
      <c r="AK925" s="477"/>
      <c r="AL925" s="2019"/>
      <c r="AM925" s="2021"/>
      <c r="AN925" s="2018"/>
      <c r="AO925" s="477"/>
    </row>
    <row r="926" spans="1:41" ht="15">
      <c r="A926" s="475"/>
      <c r="B926" s="2019"/>
      <c r="C926" s="2021"/>
      <c r="D926" s="2018"/>
      <c r="E926" s="477"/>
      <c r="F926" s="2019"/>
      <c r="G926" s="2021"/>
      <c r="H926" s="2018"/>
      <c r="I926" s="477"/>
      <c r="J926" s="2019"/>
      <c r="K926" s="2021"/>
      <c r="L926" s="2018"/>
      <c r="M926" s="477"/>
      <c r="N926" s="2019"/>
      <c r="O926" s="2021"/>
      <c r="P926" s="2018"/>
      <c r="Q926" s="477"/>
      <c r="R926" s="2019"/>
      <c r="S926" s="2021"/>
      <c r="T926" s="2018"/>
      <c r="U926" s="477"/>
      <c r="V926" s="2019"/>
      <c r="W926" s="2021"/>
      <c r="X926" s="2018"/>
      <c r="Y926" s="477"/>
      <c r="Z926" s="2019"/>
      <c r="AA926" s="2021"/>
      <c r="AB926" s="2018"/>
      <c r="AC926" s="477"/>
      <c r="AD926" s="2019"/>
      <c r="AE926" s="2021"/>
      <c r="AF926" s="2018"/>
      <c r="AG926" s="477"/>
      <c r="AH926" s="2019"/>
      <c r="AI926" s="2021"/>
      <c r="AJ926" s="2018"/>
      <c r="AK926" s="477"/>
      <c r="AL926" s="2019"/>
      <c r="AM926" s="2021"/>
      <c r="AN926" s="2018"/>
      <c r="AO926" s="477"/>
    </row>
    <row r="927" spans="1:41" ht="15">
      <c r="A927" s="475"/>
      <c r="B927" s="2019"/>
      <c r="C927" s="2021"/>
      <c r="D927" s="2018"/>
      <c r="E927" s="477"/>
      <c r="F927" s="2019"/>
      <c r="G927" s="2021"/>
      <c r="H927" s="2018"/>
      <c r="I927" s="477"/>
      <c r="J927" s="2019"/>
      <c r="K927" s="2021"/>
      <c r="L927" s="2018"/>
      <c r="M927" s="477"/>
      <c r="N927" s="2019"/>
      <c r="O927" s="2021"/>
      <c r="P927" s="2018"/>
      <c r="Q927" s="477"/>
      <c r="R927" s="2019"/>
      <c r="S927" s="2021"/>
      <c r="T927" s="2018"/>
      <c r="U927" s="477"/>
      <c r="V927" s="2019"/>
      <c r="W927" s="2021"/>
      <c r="X927" s="2018"/>
      <c r="Y927" s="477"/>
      <c r="Z927" s="2019"/>
      <c r="AA927" s="2021"/>
      <c r="AB927" s="2018"/>
      <c r="AC927" s="477"/>
      <c r="AD927" s="2019"/>
      <c r="AE927" s="2021"/>
      <c r="AF927" s="2018"/>
      <c r="AG927" s="477"/>
      <c r="AH927" s="2019"/>
      <c r="AI927" s="2021"/>
      <c r="AJ927" s="2018"/>
      <c r="AK927" s="477"/>
      <c r="AL927" s="2019"/>
      <c r="AM927" s="2021"/>
      <c r="AN927" s="2018"/>
      <c r="AO927" s="477"/>
    </row>
    <row r="928" spans="1:41" ht="15">
      <c r="A928" s="475"/>
      <c r="B928" s="2019"/>
      <c r="C928" s="2021"/>
      <c r="D928" s="2018"/>
      <c r="E928" s="477"/>
      <c r="F928" s="2019"/>
      <c r="G928" s="2021"/>
      <c r="H928" s="2018"/>
      <c r="I928" s="477"/>
      <c r="J928" s="2019"/>
      <c r="K928" s="2021"/>
      <c r="L928" s="2018"/>
      <c r="M928" s="477"/>
      <c r="N928" s="2019"/>
      <c r="O928" s="2021"/>
      <c r="P928" s="2018"/>
      <c r="Q928" s="477"/>
      <c r="R928" s="2019"/>
      <c r="S928" s="2021"/>
      <c r="T928" s="2018"/>
      <c r="U928" s="477"/>
      <c r="V928" s="2019"/>
      <c r="W928" s="2021"/>
      <c r="X928" s="2018"/>
      <c r="Y928" s="477"/>
      <c r="Z928" s="2019"/>
      <c r="AA928" s="2021"/>
      <c r="AB928" s="2018"/>
      <c r="AC928" s="477"/>
      <c r="AD928" s="2019"/>
      <c r="AE928" s="2021"/>
      <c r="AF928" s="2018"/>
      <c r="AG928" s="477"/>
      <c r="AH928" s="2019"/>
      <c r="AI928" s="2021"/>
      <c r="AJ928" s="2018"/>
      <c r="AK928" s="477"/>
      <c r="AL928" s="2019"/>
      <c r="AM928" s="2021"/>
      <c r="AN928" s="2018"/>
      <c r="AO928" s="477"/>
    </row>
    <row r="929" spans="1:41" ht="15">
      <c r="A929" s="475"/>
      <c r="B929" s="2019"/>
      <c r="C929" s="2021"/>
      <c r="D929" s="2018"/>
      <c r="E929" s="477"/>
      <c r="F929" s="2019"/>
      <c r="G929" s="2021"/>
      <c r="H929" s="2018"/>
      <c r="I929" s="477"/>
      <c r="J929" s="2019"/>
      <c r="K929" s="2021"/>
      <c r="L929" s="2018"/>
      <c r="M929" s="477"/>
      <c r="N929" s="2019"/>
      <c r="O929" s="2021"/>
      <c r="P929" s="2018"/>
      <c r="Q929" s="477"/>
      <c r="R929" s="2019"/>
      <c r="S929" s="2021"/>
      <c r="T929" s="2018"/>
      <c r="U929" s="477"/>
      <c r="V929" s="2019"/>
      <c r="W929" s="2021"/>
      <c r="X929" s="2018"/>
      <c r="Y929" s="477"/>
      <c r="Z929" s="2019"/>
      <c r="AA929" s="2021"/>
      <c r="AB929" s="2018"/>
      <c r="AC929" s="477"/>
      <c r="AD929" s="2019"/>
      <c r="AE929" s="2021"/>
      <c r="AF929" s="2018"/>
      <c r="AG929" s="477"/>
      <c r="AH929" s="2019"/>
      <c r="AI929" s="2021"/>
      <c r="AJ929" s="2018"/>
      <c r="AK929" s="477"/>
      <c r="AL929" s="2019"/>
      <c r="AM929" s="2021"/>
      <c r="AN929" s="2018"/>
      <c r="AO929" s="477"/>
    </row>
    <row r="930" spans="1:41" ht="15">
      <c r="A930" s="475"/>
      <c r="B930" s="2019"/>
      <c r="C930" s="2021"/>
      <c r="D930" s="2018"/>
      <c r="E930" s="477"/>
      <c r="F930" s="2019"/>
      <c r="G930" s="2021"/>
      <c r="H930" s="2018"/>
      <c r="I930" s="477"/>
      <c r="J930" s="2019"/>
      <c r="K930" s="2021"/>
      <c r="L930" s="2018"/>
      <c r="M930" s="477"/>
      <c r="N930" s="2019"/>
      <c r="O930" s="2021"/>
      <c r="P930" s="2018"/>
      <c r="Q930" s="477"/>
      <c r="R930" s="2019"/>
      <c r="S930" s="2021"/>
      <c r="T930" s="2018"/>
      <c r="U930" s="477"/>
      <c r="V930" s="2019"/>
      <c r="W930" s="2021"/>
      <c r="X930" s="2018"/>
      <c r="Y930" s="477"/>
      <c r="Z930" s="2019"/>
      <c r="AA930" s="2021"/>
      <c r="AB930" s="2018"/>
      <c r="AC930" s="477"/>
      <c r="AD930" s="2019"/>
      <c r="AE930" s="2021"/>
      <c r="AF930" s="2018"/>
      <c r="AG930" s="477"/>
      <c r="AH930" s="2019"/>
      <c r="AI930" s="2021"/>
      <c r="AJ930" s="2018"/>
      <c r="AK930" s="477"/>
      <c r="AL930" s="2019"/>
      <c r="AM930" s="2021"/>
      <c r="AN930" s="2018"/>
      <c r="AO930" s="477"/>
    </row>
    <row r="931" spans="1:41" ht="15">
      <c r="A931" s="475"/>
      <c r="B931" s="2019"/>
      <c r="C931" s="2021"/>
      <c r="D931" s="2018"/>
      <c r="E931" s="477"/>
      <c r="F931" s="2019"/>
      <c r="G931" s="2021"/>
      <c r="H931" s="2018"/>
      <c r="I931" s="477"/>
      <c r="J931" s="2019"/>
      <c r="K931" s="2021"/>
      <c r="L931" s="2018"/>
      <c r="M931" s="477"/>
      <c r="N931" s="2019"/>
      <c r="O931" s="2021"/>
      <c r="P931" s="2018"/>
      <c r="Q931" s="477"/>
      <c r="R931" s="2019"/>
      <c r="S931" s="2021"/>
      <c r="T931" s="2018"/>
      <c r="U931" s="477"/>
      <c r="V931" s="2019"/>
      <c r="W931" s="2021"/>
      <c r="X931" s="2018"/>
      <c r="Y931" s="477"/>
      <c r="Z931" s="2019"/>
      <c r="AA931" s="2021"/>
      <c r="AB931" s="2018"/>
      <c r="AC931" s="477"/>
      <c r="AD931" s="2019"/>
      <c r="AE931" s="2021"/>
      <c r="AF931" s="2018"/>
      <c r="AG931" s="477"/>
      <c r="AH931" s="2019"/>
      <c r="AI931" s="2021"/>
      <c r="AJ931" s="2018"/>
      <c r="AK931" s="477"/>
      <c r="AL931" s="2019"/>
      <c r="AM931" s="2021"/>
      <c r="AN931" s="2018"/>
      <c r="AO931" s="477"/>
    </row>
    <row r="932" spans="1:41" ht="15">
      <c r="A932" s="475"/>
      <c r="B932" s="2019"/>
      <c r="C932" s="2021"/>
      <c r="D932" s="2018"/>
      <c r="E932" s="477"/>
      <c r="F932" s="2019"/>
      <c r="G932" s="2021"/>
      <c r="H932" s="2018"/>
      <c r="I932" s="477"/>
      <c r="J932" s="2019"/>
      <c r="K932" s="2021"/>
      <c r="L932" s="2018"/>
      <c r="M932" s="477"/>
      <c r="N932" s="2019"/>
      <c r="O932" s="2021"/>
      <c r="P932" s="2018"/>
      <c r="Q932" s="477"/>
      <c r="R932" s="2019"/>
      <c r="S932" s="2021"/>
      <c r="T932" s="2018"/>
      <c r="U932" s="477"/>
      <c r="V932" s="2019"/>
      <c r="W932" s="2021"/>
      <c r="X932" s="2018"/>
      <c r="Y932" s="477"/>
      <c r="Z932" s="2019"/>
      <c r="AA932" s="2021"/>
      <c r="AB932" s="2018"/>
      <c r="AC932" s="477"/>
      <c r="AD932" s="2019"/>
      <c r="AE932" s="2021"/>
      <c r="AF932" s="2018"/>
      <c r="AG932" s="477"/>
      <c r="AH932" s="2019"/>
      <c r="AI932" s="2021"/>
      <c r="AJ932" s="2018"/>
      <c r="AK932" s="477"/>
      <c r="AL932" s="2019"/>
      <c r="AM932" s="2021"/>
      <c r="AN932" s="2018"/>
      <c r="AO932" s="477"/>
    </row>
    <row r="933" spans="1:41" ht="15">
      <c r="A933" s="475"/>
      <c r="B933" s="2019"/>
      <c r="C933" s="2021"/>
      <c r="D933" s="2018"/>
      <c r="E933" s="477"/>
      <c r="F933" s="2019"/>
      <c r="G933" s="2021"/>
      <c r="H933" s="2018"/>
      <c r="I933" s="477"/>
      <c r="J933" s="2019"/>
      <c r="K933" s="2021"/>
      <c r="L933" s="2018"/>
      <c r="M933" s="477"/>
      <c r="N933" s="2019"/>
      <c r="O933" s="2021"/>
      <c r="P933" s="2018"/>
      <c r="Q933" s="477"/>
      <c r="R933" s="2019"/>
      <c r="S933" s="2021"/>
      <c r="T933" s="2018"/>
      <c r="U933" s="477"/>
      <c r="V933" s="2019"/>
      <c r="W933" s="2021"/>
      <c r="X933" s="2018"/>
      <c r="Y933" s="477"/>
      <c r="Z933" s="2019"/>
      <c r="AA933" s="2021"/>
      <c r="AB933" s="2018"/>
      <c r="AC933" s="477"/>
      <c r="AD933" s="2019"/>
      <c r="AE933" s="2021"/>
      <c r="AF933" s="2018"/>
      <c r="AG933" s="477"/>
      <c r="AH933" s="2019"/>
      <c r="AI933" s="2021"/>
      <c r="AJ933" s="2018"/>
      <c r="AK933" s="477"/>
      <c r="AL933" s="2019"/>
      <c r="AM933" s="2021"/>
      <c r="AN933" s="2018"/>
      <c r="AO933" s="477"/>
    </row>
    <row r="934" spans="1:41" ht="15">
      <c r="A934" s="475"/>
      <c r="B934" s="2019"/>
      <c r="C934" s="2021"/>
      <c r="D934" s="2018"/>
      <c r="E934" s="477"/>
      <c r="F934" s="2019"/>
      <c r="G934" s="2021"/>
      <c r="H934" s="2018"/>
      <c r="I934" s="477"/>
      <c r="J934" s="2019"/>
      <c r="K934" s="2021"/>
      <c r="L934" s="2018"/>
      <c r="M934" s="477"/>
      <c r="N934" s="2019"/>
      <c r="O934" s="2021"/>
      <c r="P934" s="2018"/>
      <c r="Q934" s="477"/>
      <c r="R934" s="2019"/>
      <c r="S934" s="2021"/>
      <c r="T934" s="2018"/>
      <c r="U934" s="477"/>
      <c r="V934" s="2019"/>
      <c r="W934" s="2021"/>
      <c r="X934" s="2018"/>
      <c r="Y934" s="477"/>
      <c r="Z934" s="2019"/>
      <c r="AA934" s="2021"/>
      <c r="AB934" s="2018"/>
      <c r="AC934" s="477"/>
      <c r="AD934" s="2019"/>
      <c r="AE934" s="2021"/>
      <c r="AF934" s="2018"/>
      <c r="AG934" s="477"/>
      <c r="AH934" s="2019"/>
      <c r="AI934" s="2021"/>
      <c r="AJ934" s="2018"/>
      <c r="AK934" s="477"/>
      <c r="AL934" s="2019"/>
      <c r="AM934" s="2021"/>
      <c r="AN934" s="2018"/>
      <c r="AO934" s="477"/>
    </row>
    <row r="935" spans="1:41" ht="15">
      <c r="A935" s="475"/>
      <c r="B935" s="2019"/>
      <c r="C935" s="2021"/>
      <c r="D935" s="2018"/>
      <c r="E935" s="477"/>
      <c r="F935" s="2019"/>
      <c r="G935" s="2021"/>
      <c r="H935" s="2018"/>
      <c r="I935" s="477"/>
      <c r="J935" s="2019"/>
      <c r="K935" s="2021"/>
      <c r="L935" s="2018"/>
      <c r="M935" s="477"/>
      <c r="N935" s="2019"/>
      <c r="O935" s="2021"/>
      <c r="P935" s="2018"/>
      <c r="Q935" s="477"/>
      <c r="R935" s="2019"/>
      <c r="S935" s="2021"/>
      <c r="T935" s="2018"/>
      <c r="U935" s="477"/>
      <c r="V935" s="2019"/>
      <c r="W935" s="2021"/>
      <c r="X935" s="2018"/>
      <c r="Y935" s="477"/>
      <c r="Z935" s="2019"/>
      <c r="AA935" s="2021"/>
      <c r="AB935" s="2018"/>
      <c r="AC935" s="477"/>
      <c r="AD935" s="2019"/>
      <c r="AE935" s="2021"/>
      <c r="AF935" s="2018"/>
      <c r="AG935" s="477"/>
      <c r="AH935" s="2019"/>
      <c r="AI935" s="2021"/>
      <c r="AJ935" s="2018"/>
      <c r="AK935" s="477"/>
      <c r="AL935" s="2019"/>
      <c r="AM935" s="2021"/>
      <c r="AN935" s="2018"/>
      <c r="AO935" s="477"/>
    </row>
    <row r="936" spans="1:41" ht="15">
      <c r="A936" s="475"/>
      <c r="B936" s="2019"/>
      <c r="C936" s="2021"/>
      <c r="D936" s="2018"/>
      <c r="E936" s="477"/>
      <c r="F936" s="2019"/>
      <c r="G936" s="2021"/>
      <c r="H936" s="2018"/>
      <c r="I936" s="477"/>
      <c r="J936" s="2019"/>
      <c r="K936" s="2021"/>
      <c r="L936" s="2018"/>
      <c r="M936" s="477"/>
      <c r="N936" s="2019"/>
      <c r="O936" s="2021"/>
      <c r="P936" s="2018"/>
      <c r="Q936" s="477"/>
      <c r="R936" s="2019"/>
      <c r="S936" s="2021"/>
      <c r="T936" s="2018"/>
      <c r="U936" s="477"/>
      <c r="V936" s="2019"/>
      <c r="W936" s="2021"/>
      <c r="X936" s="2018"/>
      <c r="Y936" s="477"/>
      <c r="Z936" s="2019"/>
      <c r="AA936" s="2021"/>
      <c r="AB936" s="2018"/>
      <c r="AC936" s="477"/>
      <c r="AD936" s="2019"/>
      <c r="AE936" s="2021"/>
      <c r="AF936" s="2018"/>
      <c r="AG936" s="477"/>
      <c r="AH936" s="2019"/>
      <c r="AI936" s="2021"/>
      <c r="AJ936" s="2018"/>
      <c r="AK936" s="477"/>
      <c r="AL936" s="2019"/>
      <c r="AM936" s="2021"/>
      <c r="AN936" s="2018"/>
      <c r="AO936" s="477"/>
    </row>
    <row r="937" spans="1:41" ht="15">
      <c r="A937" s="475"/>
      <c r="B937" s="2019"/>
      <c r="C937" s="2021"/>
      <c r="D937" s="2018"/>
      <c r="E937" s="477"/>
      <c r="F937" s="2019"/>
      <c r="G937" s="2021"/>
      <c r="H937" s="2018"/>
      <c r="I937" s="477"/>
      <c r="J937" s="2019"/>
      <c r="K937" s="2021"/>
      <c r="L937" s="2018"/>
      <c r="M937" s="477"/>
      <c r="N937" s="2019"/>
      <c r="O937" s="2021"/>
      <c r="P937" s="2018"/>
      <c r="Q937" s="477"/>
      <c r="R937" s="2019"/>
      <c r="S937" s="2021"/>
      <c r="T937" s="2018"/>
      <c r="U937" s="477"/>
      <c r="V937" s="2019"/>
      <c r="W937" s="2021"/>
      <c r="X937" s="2018"/>
      <c r="Y937" s="477"/>
      <c r="Z937" s="2019"/>
      <c r="AA937" s="2021"/>
      <c r="AB937" s="2018"/>
      <c r="AC937" s="477"/>
      <c r="AD937" s="2019"/>
      <c r="AE937" s="2021"/>
      <c r="AF937" s="2018"/>
      <c r="AG937" s="477"/>
      <c r="AH937" s="2019"/>
      <c r="AI937" s="2021"/>
      <c r="AJ937" s="2018"/>
      <c r="AK937" s="477"/>
      <c r="AL937" s="2019"/>
      <c r="AM937" s="2021"/>
      <c r="AN937" s="2018"/>
      <c r="AO937" s="477"/>
    </row>
    <row r="938" spans="1:41" ht="15">
      <c r="A938" s="475"/>
      <c r="B938" s="2019"/>
      <c r="C938" s="2021"/>
      <c r="D938" s="2018"/>
      <c r="E938" s="477"/>
      <c r="F938" s="2019"/>
      <c r="G938" s="2021"/>
      <c r="H938" s="2018"/>
      <c r="I938" s="477"/>
      <c r="J938" s="2019"/>
      <c r="K938" s="2021"/>
      <c r="L938" s="2018"/>
      <c r="M938" s="477"/>
      <c r="N938" s="2019"/>
      <c r="O938" s="2021"/>
      <c r="P938" s="2018"/>
      <c r="Q938" s="477"/>
      <c r="R938" s="2019"/>
      <c r="S938" s="2021"/>
      <c r="T938" s="2018"/>
      <c r="U938" s="477"/>
      <c r="V938" s="2019"/>
      <c r="W938" s="2021"/>
      <c r="X938" s="2018"/>
      <c r="Y938" s="477"/>
      <c r="Z938" s="2019"/>
      <c r="AA938" s="2021"/>
      <c r="AB938" s="2018"/>
      <c r="AC938" s="477"/>
      <c r="AD938" s="2019"/>
      <c r="AE938" s="2021"/>
      <c r="AF938" s="2018"/>
      <c r="AG938" s="477"/>
      <c r="AH938" s="2019"/>
      <c r="AI938" s="2021"/>
      <c r="AJ938" s="2018"/>
      <c r="AK938" s="477"/>
      <c r="AL938" s="2019"/>
      <c r="AM938" s="2021"/>
      <c r="AN938" s="2018"/>
      <c r="AO938" s="477"/>
    </row>
    <row r="939" spans="1:41" ht="15">
      <c r="A939" s="475"/>
      <c r="B939" s="2019"/>
      <c r="C939" s="2021"/>
      <c r="D939" s="2018"/>
      <c r="E939" s="477"/>
      <c r="F939" s="2019"/>
      <c r="G939" s="2021"/>
      <c r="H939" s="2018"/>
      <c r="I939" s="477"/>
      <c r="J939" s="2019"/>
      <c r="K939" s="2021"/>
      <c r="L939" s="2018"/>
      <c r="M939" s="477"/>
      <c r="N939" s="2019"/>
      <c r="O939" s="2021"/>
      <c r="P939" s="2018"/>
      <c r="Q939" s="477"/>
      <c r="R939" s="2019"/>
      <c r="S939" s="2021"/>
      <c r="T939" s="2018"/>
      <c r="U939" s="477"/>
      <c r="V939" s="2019"/>
      <c r="W939" s="2021"/>
      <c r="X939" s="2018"/>
      <c r="Y939" s="477"/>
      <c r="Z939" s="2019"/>
      <c r="AA939" s="2021"/>
      <c r="AB939" s="2018"/>
      <c r="AC939" s="477"/>
      <c r="AD939" s="2019"/>
      <c r="AE939" s="2021"/>
      <c r="AF939" s="2018"/>
      <c r="AG939" s="477"/>
      <c r="AH939" s="2019"/>
      <c r="AI939" s="2021"/>
      <c r="AJ939" s="2018"/>
      <c r="AK939" s="477"/>
      <c r="AL939" s="2019"/>
      <c r="AM939" s="2021"/>
      <c r="AN939" s="2018"/>
      <c r="AO939" s="477"/>
    </row>
    <row r="940" spans="1:41" ht="15">
      <c r="A940" s="475"/>
      <c r="B940" s="2019"/>
      <c r="C940" s="2021"/>
      <c r="D940" s="2018"/>
      <c r="E940" s="477"/>
      <c r="F940" s="2019"/>
      <c r="G940" s="2021"/>
      <c r="H940" s="2018"/>
      <c r="I940" s="477"/>
      <c r="J940" s="2019"/>
      <c r="K940" s="2021"/>
      <c r="L940" s="2018"/>
      <c r="M940" s="477"/>
      <c r="N940" s="2019"/>
      <c r="O940" s="2021"/>
      <c r="P940" s="2018"/>
      <c r="Q940" s="477"/>
      <c r="R940" s="2019"/>
      <c r="S940" s="2021"/>
      <c r="T940" s="2018"/>
      <c r="U940" s="477"/>
      <c r="V940" s="2019"/>
      <c r="W940" s="2021"/>
      <c r="X940" s="2018"/>
      <c r="Y940" s="477"/>
      <c r="Z940" s="2019"/>
      <c r="AA940" s="2021"/>
      <c r="AB940" s="2018"/>
      <c r="AC940" s="477"/>
      <c r="AD940" s="2019"/>
      <c r="AE940" s="2021"/>
      <c r="AF940" s="2018"/>
      <c r="AG940" s="477"/>
      <c r="AH940" s="2019"/>
      <c r="AI940" s="2021"/>
      <c r="AJ940" s="2018"/>
      <c r="AK940" s="477"/>
      <c r="AL940" s="2019"/>
      <c r="AM940" s="2021"/>
      <c r="AN940" s="2018"/>
      <c r="AO940" s="477"/>
    </row>
    <row r="941" spans="1:41" ht="15">
      <c r="A941" s="475"/>
      <c r="B941" s="2019"/>
      <c r="C941" s="2021"/>
      <c r="D941" s="2018"/>
      <c r="E941" s="477"/>
      <c r="F941" s="2019"/>
      <c r="G941" s="2021"/>
      <c r="H941" s="2018"/>
      <c r="I941" s="477"/>
      <c r="J941" s="2019"/>
      <c r="K941" s="2021"/>
      <c r="L941" s="2018"/>
      <c r="M941" s="477"/>
      <c r="N941" s="2019"/>
      <c r="O941" s="2021"/>
      <c r="P941" s="2018"/>
      <c r="Q941" s="477"/>
      <c r="R941" s="2019"/>
      <c r="S941" s="2021"/>
      <c r="T941" s="2018"/>
      <c r="U941" s="477"/>
      <c r="V941" s="2019"/>
      <c r="W941" s="2021"/>
      <c r="X941" s="2018"/>
      <c r="Y941" s="477"/>
      <c r="Z941" s="2019"/>
      <c r="AA941" s="2021"/>
      <c r="AB941" s="2018"/>
      <c r="AC941" s="477"/>
      <c r="AD941" s="2019"/>
      <c r="AE941" s="2021"/>
      <c r="AF941" s="2018"/>
      <c r="AG941" s="477"/>
      <c r="AH941" s="2019"/>
      <c r="AI941" s="2021"/>
      <c r="AJ941" s="2018"/>
      <c r="AK941" s="477"/>
      <c r="AL941" s="2019"/>
      <c r="AM941" s="2021"/>
      <c r="AN941" s="2018"/>
      <c r="AO941" s="477"/>
    </row>
    <row r="942" spans="1:41" ht="15">
      <c r="A942" s="475"/>
      <c r="B942" s="2019"/>
      <c r="C942" s="2021"/>
      <c r="D942" s="2018"/>
      <c r="E942" s="477"/>
      <c r="F942" s="2019"/>
      <c r="G942" s="2021"/>
      <c r="H942" s="2018"/>
      <c r="I942" s="477"/>
      <c r="J942" s="2019"/>
      <c r="K942" s="2021"/>
      <c r="L942" s="2018"/>
      <c r="M942" s="477"/>
      <c r="N942" s="2019"/>
      <c r="O942" s="2021"/>
      <c r="P942" s="2018"/>
      <c r="Q942" s="477"/>
      <c r="R942" s="2019"/>
      <c r="S942" s="2021"/>
      <c r="T942" s="2018"/>
      <c r="U942" s="477"/>
      <c r="V942" s="2019"/>
      <c r="W942" s="2021"/>
      <c r="X942" s="2018"/>
      <c r="Y942" s="477"/>
      <c r="Z942" s="2019"/>
      <c r="AA942" s="2021"/>
      <c r="AB942" s="2018"/>
      <c r="AC942" s="477"/>
      <c r="AD942" s="2019"/>
      <c r="AE942" s="2021"/>
      <c r="AF942" s="2018"/>
      <c r="AG942" s="477"/>
      <c r="AH942" s="2019"/>
      <c r="AI942" s="2021"/>
      <c r="AJ942" s="2018"/>
      <c r="AK942" s="477"/>
      <c r="AL942" s="2019"/>
      <c r="AM942" s="2021"/>
      <c r="AN942" s="2018"/>
      <c r="AO942" s="477"/>
    </row>
    <row r="943" spans="1:41" ht="15">
      <c r="A943" s="475"/>
      <c r="B943" s="2019"/>
      <c r="C943" s="2021"/>
      <c r="D943" s="2018"/>
      <c r="E943" s="477"/>
      <c r="F943" s="2019"/>
      <c r="G943" s="2021"/>
      <c r="H943" s="2018"/>
      <c r="I943" s="477"/>
      <c r="J943" s="2019"/>
      <c r="K943" s="2021"/>
      <c r="L943" s="2018"/>
      <c r="M943" s="477"/>
      <c r="N943" s="2019"/>
      <c r="O943" s="2021"/>
      <c r="P943" s="2018"/>
      <c r="Q943" s="477"/>
      <c r="R943" s="2019"/>
      <c r="S943" s="2021"/>
      <c r="T943" s="2018"/>
      <c r="U943" s="477"/>
      <c r="V943" s="2019"/>
      <c r="W943" s="2021"/>
      <c r="X943" s="2018"/>
      <c r="Y943" s="477"/>
      <c r="Z943" s="2019"/>
      <c r="AA943" s="2021"/>
      <c r="AB943" s="2018"/>
      <c r="AC943" s="477"/>
      <c r="AD943" s="2019"/>
      <c r="AE943" s="2021"/>
      <c r="AF943" s="2018"/>
      <c r="AG943" s="477"/>
      <c r="AH943" s="2019"/>
      <c r="AI943" s="2021"/>
      <c r="AJ943" s="2018"/>
      <c r="AK943" s="477"/>
      <c r="AL943" s="2019"/>
      <c r="AM943" s="2021"/>
      <c r="AN943" s="2018"/>
      <c r="AO943" s="477"/>
    </row>
    <row r="944" spans="1:41" ht="15">
      <c r="A944" s="475"/>
      <c r="B944" s="2019"/>
      <c r="C944" s="2021"/>
      <c r="D944" s="2018"/>
      <c r="E944" s="477"/>
      <c r="F944" s="2019"/>
      <c r="G944" s="2021"/>
      <c r="H944" s="2018"/>
      <c r="I944" s="477"/>
      <c r="J944" s="2019"/>
      <c r="K944" s="2021"/>
      <c r="L944" s="2018"/>
      <c r="M944" s="477"/>
      <c r="N944" s="2019"/>
      <c r="O944" s="2021"/>
      <c r="P944" s="2018"/>
      <c r="Q944" s="477"/>
      <c r="R944" s="2019"/>
      <c r="S944" s="2021"/>
      <c r="T944" s="2018"/>
      <c r="U944" s="477"/>
      <c r="V944" s="2019"/>
      <c r="W944" s="2021"/>
      <c r="X944" s="2018"/>
      <c r="Y944" s="477"/>
      <c r="Z944" s="2019"/>
      <c r="AA944" s="2021"/>
      <c r="AB944" s="2018"/>
      <c r="AC944" s="477"/>
      <c r="AD944" s="2019"/>
      <c r="AE944" s="2021"/>
      <c r="AF944" s="2018"/>
      <c r="AG944" s="477"/>
      <c r="AH944" s="2019"/>
      <c r="AI944" s="2021"/>
      <c r="AJ944" s="2018"/>
      <c r="AK944" s="477"/>
      <c r="AL944" s="2019"/>
      <c r="AM944" s="2021"/>
      <c r="AN944" s="2018"/>
      <c r="AO944" s="477"/>
    </row>
    <row r="945" spans="1:41" ht="15">
      <c r="A945" s="475"/>
      <c r="B945" s="2019"/>
      <c r="C945" s="2021"/>
      <c r="D945" s="2018"/>
      <c r="E945" s="477"/>
      <c r="F945" s="2019"/>
      <c r="G945" s="2021"/>
      <c r="H945" s="2018"/>
      <c r="I945" s="477"/>
      <c r="J945" s="2019"/>
      <c r="K945" s="2021"/>
      <c r="L945" s="2018"/>
      <c r="M945" s="477"/>
      <c r="N945" s="2019"/>
      <c r="O945" s="2021"/>
      <c r="P945" s="2018"/>
      <c r="Q945" s="477"/>
      <c r="R945" s="2019"/>
      <c r="S945" s="2021"/>
      <c r="T945" s="2018"/>
      <c r="U945" s="477"/>
      <c r="V945" s="2019"/>
      <c r="W945" s="2021"/>
      <c r="X945" s="2018"/>
      <c r="Y945" s="477"/>
      <c r="Z945" s="2019"/>
      <c r="AA945" s="2021"/>
      <c r="AB945" s="2018"/>
      <c r="AC945" s="477"/>
      <c r="AD945" s="2019"/>
      <c r="AE945" s="2021"/>
      <c r="AF945" s="2018"/>
      <c r="AG945" s="477"/>
      <c r="AH945" s="2019"/>
      <c r="AI945" s="2021"/>
      <c r="AJ945" s="2018"/>
      <c r="AK945" s="477"/>
      <c r="AL945" s="2019"/>
      <c r="AM945" s="2021"/>
      <c r="AN945" s="2018"/>
      <c r="AO945" s="477"/>
    </row>
    <row r="946" spans="1:41" ht="15">
      <c r="A946" s="475"/>
      <c r="B946" s="2019"/>
      <c r="C946" s="2021"/>
      <c r="D946" s="2018"/>
      <c r="E946" s="477"/>
      <c r="F946" s="2019"/>
      <c r="G946" s="2021"/>
      <c r="H946" s="2018"/>
      <c r="I946" s="477"/>
      <c r="J946" s="2019"/>
      <c r="K946" s="2021"/>
      <c r="L946" s="2018"/>
      <c r="M946" s="477"/>
      <c r="N946" s="2019"/>
      <c r="O946" s="2021"/>
      <c r="P946" s="2018"/>
      <c r="Q946" s="477"/>
      <c r="R946" s="2019"/>
      <c r="S946" s="2021"/>
      <c r="T946" s="2018"/>
      <c r="U946" s="477"/>
      <c r="V946" s="2019"/>
      <c r="W946" s="2021"/>
      <c r="X946" s="2018"/>
      <c r="Y946" s="477"/>
      <c r="Z946" s="2019"/>
      <c r="AA946" s="2021"/>
      <c r="AB946" s="2018"/>
      <c r="AC946" s="477"/>
      <c r="AD946" s="2019"/>
      <c r="AE946" s="2021"/>
      <c r="AF946" s="2018"/>
      <c r="AG946" s="477"/>
      <c r="AH946" s="2019"/>
      <c r="AI946" s="2021"/>
      <c r="AJ946" s="2018"/>
      <c r="AK946" s="477"/>
      <c r="AL946" s="2019"/>
      <c r="AM946" s="2021"/>
      <c r="AN946" s="2018"/>
      <c r="AO946" s="477"/>
    </row>
    <row r="947" spans="1:41" ht="15">
      <c r="A947" s="475"/>
      <c r="B947" s="2019"/>
      <c r="C947" s="2021"/>
      <c r="D947" s="2018"/>
      <c r="E947" s="477"/>
      <c r="F947" s="2019"/>
      <c r="G947" s="2021"/>
      <c r="H947" s="2018"/>
      <c r="I947" s="477"/>
      <c r="J947" s="2019"/>
      <c r="K947" s="2021"/>
      <c r="L947" s="2018"/>
      <c r="M947" s="477"/>
      <c r="N947" s="2019"/>
      <c r="O947" s="2021"/>
      <c r="P947" s="2018"/>
      <c r="Q947" s="477"/>
      <c r="R947" s="2019"/>
      <c r="S947" s="2021"/>
      <c r="T947" s="2018"/>
      <c r="U947" s="477"/>
      <c r="V947" s="2019"/>
      <c r="W947" s="2021"/>
      <c r="X947" s="2018"/>
      <c r="Y947" s="477"/>
      <c r="Z947" s="2019"/>
      <c r="AA947" s="2021"/>
      <c r="AB947" s="2018"/>
      <c r="AC947" s="477"/>
      <c r="AD947" s="2019"/>
      <c r="AE947" s="2021"/>
      <c r="AF947" s="2018"/>
      <c r="AG947" s="477"/>
      <c r="AH947" s="2019"/>
      <c r="AI947" s="2021"/>
      <c r="AJ947" s="2018"/>
      <c r="AK947" s="477"/>
      <c r="AL947" s="2019"/>
      <c r="AM947" s="2021"/>
      <c r="AN947" s="2018"/>
      <c r="AO947" s="477"/>
    </row>
    <row r="948" spans="1:41" ht="15">
      <c r="A948" s="475"/>
      <c r="B948" s="2019"/>
      <c r="C948" s="2021"/>
      <c r="D948" s="2018"/>
      <c r="E948" s="477"/>
      <c r="F948" s="2019"/>
      <c r="G948" s="2021"/>
      <c r="H948" s="2018"/>
      <c r="I948" s="477"/>
      <c r="J948" s="2019"/>
      <c r="K948" s="2021"/>
      <c r="L948" s="2018"/>
      <c r="M948" s="477"/>
      <c r="N948" s="2019"/>
      <c r="O948" s="2021"/>
      <c r="P948" s="2018"/>
      <c r="Q948" s="477"/>
      <c r="R948" s="2019"/>
      <c r="S948" s="2021"/>
      <c r="T948" s="2018"/>
      <c r="U948" s="477"/>
      <c r="V948" s="2019"/>
      <c r="W948" s="2021"/>
      <c r="X948" s="2018"/>
      <c r="Y948" s="477"/>
      <c r="Z948" s="2019"/>
      <c r="AA948" s="2021"/>
      <c r="AB948" s="2018"/>
      <c r="AC948" s="477"/>
      <c r="AD948" s="2019"/>
      <c r="AE948" s="2021"/>
      <c r="AF948" s="2018"/>
      <c r="AG948" s="477"/>
      <c r="AH948" s="2019"/>
      <c r="AI948" s="2021"/>
      <c r="AJ948" s="2018"/>
      <c r="AK948" s="477"/>
      <c r="AL948" s="2019"/>
      <c r="AM948" s="2021"/>
      <c r="AN948" s="2018"/>
      <c r="AO948" s="477"/>
    </row>
    <row r="949" spans="1:41" ht="15">
      <c r="A949" s="475"/>
      <c r="B949" s="2019"/>
      <c r="C949" s="2021"/>
      <c r="D949" s="2018"/>
      <c r="E949" s="477"/>
      <c r="F949" s="2019"/>
      <c r="G949" s="2021"/>
      <c r="H949" s="2018"/>
      <c r="I949" s="477"/>
      <c r="J949" s="2019"/>
      <c r="K949" s="2021"/>
      <c r="L949" s="2018"/>
      <c r="M949" s="477"/>
      <c r="N949" s="2019"/>
      <c r="O949" s="2021"/>
      <c r="P949" s="2018"/>
      <c r="Q949" s="477"/>
      <c r="R949" s="2019"/>
      <c r="S949" s="2021"/>
      <c r="T949" s="2018"/>
      <c r="U949" s="477"/>
      <c r="V949" s="2019"/>
      <c r="W949" s="2021"/>
      <c r="X949" s="2018"/>
      <c r="Y949" s="477"/>
      <c r="Z949" s="2019"/>
      <c r="AA949" s="2021"/>
      <c r="AB949" s="2018"/>
      <c r="AC949" s="477"/>
      <c r="AD949" s="2019"/>
      <c r="AE949" s="2021"/>
      <c r="AF949" s="2018"/>
      <c r="AG949" s="477"/>
      <c r="AH949" s="2019"/>
      <c r="AI949" s="2021"/>
      <c r="AJ949" s="2018"/>
      <c r="AK949" s="477"/>
      <c r="AL949" s="2019"/>
      <c r="AM949" s="2021"/>
      <c r="AN949" s="2018"/>
      <c r="AO949" s="477"/>
    </row>
    <row r="950" spans="1:41" ht="15">
      <c r="A950" s="475"/>
      <c r="B950" s="2019"/>
      <c r="C950" s="2021"/>
      <c r="D950" s="2018"/>
      <c r="E950" s="477"/>
      <c r="F950" s="2019"/>
      <c r="G950" s="2021"/>
      <c r="H950" s="2018"/>
      <c r="I950" s="477"/>
      <c r="J950" s="2019"/>
      <c r="K950" s="2021"/>
      <c r="L950" s="2018"/>
      <c r="M950" s="477"/>
      <c r="N950" s="2019"/>
      <c r="O950" s="2021"/>
      <c r="P950" s="2018"/>
      <c r="Q950" s="477"/>
      <c r="R950" s="2019"/>
      <c r="S950" s="2021"/>
      <c r="T950" s="2018"/>
      <c r="U950" s="477"/>
      <c r="V950" s="2019"/>
      <c r="W950" s="2021"/>
      <c r="X950" s="2018"/>
      <c r="Y950" s="477"/>
      <c r="Z950" s="2019"/>
      <c r="AA950" s="2021"/>
      <c r="AB950" s="2018"/>
      <c r="AC950" s="477"/>
      <c r="AD950" s="2019"/>
      <c r="AE950" s="2021"/>
      <c r="AF950" s="2018"/>
      <c r="AG950" s="477"/>
      <c r="AH950" s="2019"/>
      <c r="AI950" s="2021"/>
      <c r="AJ950" s="2018"/>
      <c r="AK950" s="477"/>
      <c r="AL950" s="2019"/>
      <c r="AM950" s="2021"/>
      <c r="AN950" s="2018"/>
      <c r="AO950" s="477"/>
    </row>
    <row r="951" spans="1:41" ht="15">
      <c r="A951" s="475"/>
      <c r="B951" s="2019"/>
      <c r="C951" s="2021"/>
      <c r="D951" s="2018"/>
      <c r="E951" s="477"/>
      <c r="F951" s="2019"/>
      <c r="G951" s="2021"/>
      <c r="H951" s="2018"/>
      <c r="I951" s="477"/>
      <c r="J951" s="2019"/>
      <c r="K951" s="2021"/>
      <c r="L951" s="2018"/>
      <c r="M951" s="477"/>
      <c r="N951" s="2019"/>
      <c r="O951" s="2021"/>
      <c r="P951" s="2018"/>
      <c r="Q951" s="477"/>
      <c r="R951" s="2019"/>
      <c r="S951" s="2021"/>
      <c r="T951" s="2018"/>
      <c r="U951" s="477"/>
      <c r="V951" s="2019"/>
      <c r="W951" s="2021"/>
      <c r="X951" s="2018"/>
      <c r="Y951" s="477"/>
      <c r="Z951" s="2019"/>
      <c r="AA951" s="2021"/>
      <c r="AB951" s="2018"/>
      <c r="AC951" s="477"/>
      <c r="AD951" s="2019"/>
      <c r="AE951" s="2021"/>
      <c r="AF951" s="2018"/>
      <c r="AG951" s="477"/>
      <c r="AH951" s="2019"/>
      <c r="AI951" s="2021"/>
      <c r="AJ951" s="2018"/>
      <c r="AK951" s="477"/>
      <c r="AL951" s="2019"/>
      <c r="AM951" s="2021"/>
      <c r="AN951" s="2018"/>
      <c r="AO951" s="477"/>
    </row>
    <row r="952" spans="1:41" ht="15">
      <c r="A952" s="475"/>
      <c r="B952" s="2019"/>
      <c r="C952" s="2021"/>
      <c r="D952" s="2018"/>
      <c r="E952" s="477"/>
      <c r="F952" s="2019"/>
      <c r="G952" s="2021"/>
      <c r="H952" s="2018"/>
      <c r="I952" s="477"/>
      <c r="J952" s="2019"/>
      <c r="K952" s="2021"/>
      <c r="L952" s="2018"/>
      <c r="M952" s="477"/>
      <c r="N952" s="2019"/>
      <c r="O952" s="2021"/>
      <c r="P952" s="2018"/>
      <c r="Q952" s="477"/>
      <c r="R952" s="2019"/>
      <c r="S952" s="2021"/>
      <c r="T952" s="2018"/>
      <c r="U952" s="477"/>
      <c r="V952" s="2019"/>
      <c r="W952" s="2021"/>
      <c r="X952" s="2018"/>
      <c r="Y952" s="477"/>
      <c r="Z952" s="2019"/>
      <c r="AA952" s="2021"/>
      <c r="AB952" s="2018"/>
      <c r="AC952" s="477"/>
      <c r="AD952" s="2019"/>
      <c r="AE952" s="2021"/>
      <c r="AF952" s="2018"/>
      <c r="AG952" s="477"/>
      <c r="AH952" s="2019"/>
      <c r="AI952" s="2021"/>
      <c r="AJ952" s="2018"/>
      <c r="AK952" s="477"/>
      <c r="AL952" s="2019"/>
      <c r="AM952" s="2021"/>
      <c r="AN952" s="2018"/>
      <c r="AO952" s="477"/>
    </row>
    <row r="953" spans="1:41" ht="15">
      <c r="A953" s="475"/>
      <c r="B953" s="2019"/>
      <c r="C953" s="2021"/>
      <c r="D953" s="2018"/>
      <c r="E953" s="477"/>
      <c r="F953" s="2019"/>
      <c r="G953" s="2021"/>
      <c r="H953" s="2018"/>
      <c r="I953" s="477"/>
      <c r="J953" s="2019"/>
      <c r="K953" s="2021"/>
      <c r="L953" s="2018"/>
      <c r="M953" s="477"/>
      <c r="N953" s="2019"/>
      <c r="O953" s="2021"/>
      <c r="P953" s="2018"/>
      <c r="Q953" s="477"/>
      <c r="R953" s="2019"/>
      <c r="S953" s="2021"/>
      <c r="T953" s="2018"/>
      <c r="U953" s="477"/>
      <c r="V953" s="2019"/>
      <c r="W953" s="2021"/>
      <c r="X953" s="2018"/>
      <c r="Y953" s="477"/>
      <c r="Z953" s="2019"/>
      <c r="AA953" s="2021"/>
      <c r="AB953" s="2018"/>
      <c r="AC953" s="477"/>
      <c r="AD953" s="2019"/>
      <c r="AE953" s="2021"/>
      <c r="AF953" s="2018"/>
      <c r="AG953" s="477"/>
      <c r="AH953" s="2019"/>
      <c r="AI953" s="2021"/>
      <c r="AJ953" s="2018"/>
      <c r="AK953" s="477"/>
      <c r="AL953" s="2019"/>
      <c r="AM953" s="2021"/>
      <c r="AN953" s="2018"/>
      <c r="AO953" s="477"/>
    </row>
    <row r="954" spans="1:41" ht="15">
      <c r="A954" s="475"/>
      <c r="B954" s="2019"/>
      <c r="C954" s="2021"/>
      <c r="D954" s="2018"/>
      <c r="E954" s="477"/>
      <c r="F954" s="2019"/>
      <c r="G954" s="2021"/>
      <c r="H954" s="2018"/>
      <c r="I954" s="477"/>
      <c r="J954" s="2019"/>
      <c r="K954" s="2021"/>
      <c r="L954" s="2018"/>
      <c r="M954" s="477"/>
      <c r="N954" s="2019"/>
      <c r="O954" s="2021"/>
      <c r="P954" s="2018"/>
      <c r="Q954" s="477"/>
      <c r="R954" s="2019"/>
      <c r="S954" s="2021"/>
      <c r="T954" s="2018"/>
      <c r="U954" s="477"/>
      <c r="V954" s="2019"/>
      <c r="W954" s="2021"/>
      <c r="X954" s="2018"/>
      <c r="Y954" s="477"/>
      <c r="Z954" s="2019"/>
      <c r="AA954" s="2021"/>
      <c r="AB954" s="2018"/>
      <c r="AC954" s="477"/>
      <c r="AD954" s="2019"/>
      <c r="AE954" s="2021"/>
      <c r="AF954" s="2018"/>
      <c r="AG954" s="477"/>
      <c r="AH954" s="2019"/>
      <c r="AI954" s="2021"/>
      <c r="AJ954" s="2018"/>
      <c r="AK954" s="477"/>
      <c r="AL954" s="2019"/>
      <c r="AM954" s="2021"/>
      <c r="AN954" s="2018"/>
      <c r="AO954" s="477"/>
    </row>
    <row r="955" spans="1:41" ht="15">
      <c r="A955" s="475"/>
      <c r="B955" s="2019"/>
      <c r="C955" s="2021"/>
      <c r="D955" s="2018"/>
      <c r="E955" s="477"/>
      <c r="F955" s="2019"/>
      <c r="G955" s="2021"/>
      <c r="H955" s="2018"/>
      <c r="I955" s="477"/>
      <c r="J955" s="2019"/>
      <c r="K955" s="2021"/>
      <c r="L955" s="2018"/>
      <c r="M955" s="477"/>
      <c r="N955" s="2019"/>
      <c r="O955" s="2021"/>
      <c r="P955" s="2018"/>
      <c r="Q955" s="477"/>
      <c r="R955" s="2019"/>
      <c r="S955" s="2021"/>
      <c r="T955" s="2018"/>
      <c r="U955" s="477"/>
      <c r="V955" s="2019"/>
      <c r="W955" s="2021"/>
      <c r="X955" s="2018"/>
      <c r="Y955" s="477"/>
      <c r="Z955" s="2019"/>
      <c r="AA955" s="2021"/>
      <c r="AB955" s="2018"/>
      <c r="AC955" s="477"/>
      <c r="AD955" s="2019"/>
      <c r="AE955" s="2021"/>
      <c r="AF955" s="2018"/>
      <c r="AG955" s="477"/>
      <c r="AH955" s="2019"/>
      <c r="AI955" s="2021"/>
      <c r="AJ955" s="2018"/>
      <c r="AK955" s="477"/>
      <c r="AL955" s="2019"/>
      <c r="AM955" s="2021"/>
      <c r="AN955" s="2018"/>
      <c r="AO955" s="477"/>
    </row>
    <row r="956" spans="1:41" ht="15">
      <c r="A956" s="475"/>
      <c r="B956" s="2019"/>
      <c r="C956" s="2021"/>
      <c r="D956" s="2018"/>
      <c r="E956" s="477"/>
      <c r="F956" s="2019"/>
      <c r="G956" s="2021"/>
      <c r="H956" s="2018"/>
      <c r="I956" s="477"/>
      <c r="J956" s="2019"/>
      <c r="K956" s="2021"/>
      <c r="L956" s="2018"/>
      <c r="M956" s="477"/>
      <c r="N956" s="2019"/>
      <c r="O956" s="2021"/>
      <c r="P956" s="2018"/>
      <c r="Q956" s="477"/>
      <c r="R956" s="2019"/>
      <c r="S956" s="2021"/>
      <c r="T956" s="2018"/>
      <c r="U956" s="477"/>
      <c r="V956" s="2019"/>
      <c r="W956" s="2021"/>
      <c r="X956" s="2018"/>
      <c r="Y956" s="477"/>
      <c r="Z956" s="2019"/>
      <c r="AA956" s="2021"/>
      <c r="AB956" s="2018"/>
      <c r="AC956" s="477"/>
      <c r="AD956" s="2019"/>
      <c r="AE956" s="2021"/>
      <c r="AF956" s="2018"/>
      <c r="AG956" s="477"/>
      <c r="AH956" s="2019"/>
      <c r="AI956" s="2021"/>
      <c r="AJ956" s="2018"/>
      <c r="AK956" s="477"/>
      <c r="AL956" s="2019"/>
      <c r="AM956" s="2021"/>
      <c r="AN956" s="2018"/>
      <c r="AO956" s="477"/>
    </row>
    <row r="957" spans="1:41" ht="15">
      <c r="A957" s="475"/>
      <c r="B957" s="2019"/>
      <c r="C957" s="2021"/>
      <c r="D957" s="2018"/>
      <c r="E957" s="477"/>
      <c r="F957" s="2019"/>
      <c r="G957" s="2021"/>
      <c r="H957" s="2018"/>
      <c r="I957" s="477"/>
      <c r="J957" s="2019"/>
      <c r="K957" s="2021"/>
      <c r="L957" s="2018"/>
      <c r="M957" s="477"/>
      <c r="N957" s="2019"/>
      <c r="O957" s="2021"/>
      <c r="P957" s="2018"/>
      <c r="Q957" s="477"/>
      <c r="R957" s="2019"/>
      <c r="S957" s="2021"/>
      <c r="T957" s="2018"/>
      <c r="U957" s="477"/>
      <c r="V957" s="2019"/>
      <c r="W957" s="2021"/>
      <c r="X957" s="2018"/>
      <c r="Y957" s="477"/>
      <c r="Z957" s="2019"/>
      <c r="AA957" s="2021"/>
      <c r="AB957" s="2018"/>
      <c r="AC957" s="477"/>
      <c r="AD957" s="2019"/>
      <c r="AE957" s="2021"/>
      <c r="AF957" s="2018"/>
      <c r="AG957" s="477"/>
      <c r="AH957" s="2019"/>
      <c r="AI957" s="2021"/>
      <c r="AJ957" s="2018"/>
      <c r="AK957" s="477"/>
      <c r="AL957" s="2019"/>
      <c r="AM957" s="2021"/>
      <c r="AN957" s="2018"/>
      <c r="AO957" s="477"/>
    </row>
    <row r="958" spans="1:41" ht="15">
      <c r="A958" s="475"/>
      <c r="B958" s="2019"/>
      <c r="C958" s="2021"/>
      <c r="D958" s="2018"/>
      <c r="E958" s="477"/>
      <c r="F958" s="2019"/>
      <c r="G958" s="2021"/>
      <c r="H958" s="2018"/>
      <c r="I958" s="477"/>
      <c r="J958" s="2019"/>
      <c r="K958" s="2021"/>
      <c r="L958" s="2018"/>
      <c r="M958" s="477"/>
      <c r="N958" s="2019"/>
      <c r="O958" s="2021"/>
      <c r="P958" s="2018"/>
      <c r="Q958" s="477"/>
      <c r="R958" s="2019"/>
      <c r="S958" s="2021"/>
      <c r="T958" s="2018"/>
      <c r="U958" s="477"/>
      <c r="V958" s="2019"/>
      <c r="W958" s="2021"/>
      <c r="X958" s="2018"/>
      <c r="Y958" s="477"/>
      <c r="Z958" s="2019"/>
      <c r="AA958" s="2021"/>
      <c r="AB958" s="2018"/>
      <c r="AC958" s="477"/>
      <c r="AD958" s="2019"/>
      <c r="AE958" s="2021"/>
      <c r="AF958" s="2018"/>
      <c r="AG958" s="477"/>
      <c r="AH958" s="2019"/>
      <c r="AI958" s="2021"/>
      <c r="AJ958" s="2018"/>
      <c r="AK958" s="477"/>
      <c r="AL958" s="2019"/>
      <c r="AM958" s="2021"/>
      <c r="AN958" s="2018"/>
      <c r="AO958" s="477"/>
    </row>
    <row r="959" spans="1:41" ht="15">
      <c r="A959" s="475"/>
      <c r="B959" s="2019"/>
      <c r="C959" s="2021"/>
      <c r="D959" s="2018"/>
      <c r="E959" s="477"/>
      <c r="F959" s="2019"/>
      <c r="G959" s="2021"/>
      <c r="H959" s="2018"/>
      <c r="I959" s="477"/>
      <c r="J959" s="2019"/>
      <c r="K959" s="2021"/>
      <c r="L959" s="2018"/>
      <c r="M959" s="477"/>
      <c r="N959" s="2019"/>
      <c r="O959" s="2021"/>
      <c r="P959" s="2018"/>
      <c r="Q959" s="477"/>
      <c r="R959" s="2019"/>
      <c r="S959" s="2021"/>
      <c r="T959" s="2018"/>
      <c r="U959" s="477"/>
      <c r="V959" s="2019"/>
      <c r="W959" s="2021"/>
      <c r="X959" s="2018"/>
      <c r="Y959" s="477"/>
      <c r="Z959" s="2019"/>
      <c r="AA959" s="2021"/>
      <c r="AB959" s="2018"/>
      <c r="AC959" s="477"/>
      <c r="AD959" s="2019"/>
      <c r="AE959" s="2021"/>
      <c r="AF959" s="2018"/>
      <c r="AG959" s="477"/>
      <c r="AH959" s="2019"/>
      <c r="AI959" s="2021"/>
      <c r="AJ959" s="2018"/>
      <c r="AK959" s="477"/>
      <c r="AL959" s="2019"/>
      <c r="AM959" s="2021"/>
      <c r="AN959" s="2018"/>
      <c r="AO959" s="477"/>
    </row>
    <row r="960" spans="1:41" ht="15">
      <c r="A960" s="475"/>
      <c r="B960" s="2019"/>
      <c r="C960" s="2021"/>
      <c r="D960" s="2018"/>
      <c r="E960" s="477"/>
      <c r="F960" s="2019"/>
      <c r="G960" s="2021"/>
      <c r="H960" s="2018"/>
      <c r="I960" s="477"/>
      <c r="J960" s="2019"/>
      <c r="K960" s="2021"/>
      <c r="L960" s="2018"/>
      <c r="M960" s="477"/>
      <c r="N960" s="2019"/>
      <c r="O960" s="2021"/>
      <c r="P960" s="2018"/>
      <c r="Q960" s="477"/>
      <c r="R960" s="2019"/>
      <c r="S960" s="2021"/>
      <c r="T960" s="2018"/>
      <c r="U960" s="477"/>
      <c r="V960" s="2019"/>
      <c r="W960" s="2021"/>
      <c r="X960" s="2018"/>
      <c r="Y960" s="477"/>
      <c r="Z960" s="2019"/>
      <c r="AA960" s="2021"/>
      <c r="AB960" s="2018"/>
      <c r="AC960" s="477"/>
      <c r="AD960" s="2019"/>
      <c r="AE960" s="2021"/>
      <c r="AF960" s="2018"/>
      <c r="AG960" s="477"/>
      <c r="AH960" s="2019"/>
      <c r="AI960" s="2021"/>
      <c r="AJ960" s="2018"/>
      <c r="AK960" s="477"/>
      <c r="AL960" s="2019"/>
      <c r="AM960" s="2021"/>
      <c r="AN960" s="2018"/>
      <c r="AO960" s="477"/>
    </row>
    <row r="961" spans="1:41" ht="15">
      <c r="A961" s="475"/>
      <c r="B961" s="2019"/>
      <c r="C961" s="2021"/>
      <c r="D961" s="2018"/>
      <c r="E961" s="477"/>
      <c r="F961" s="2019"/>
      <c r="G961" s="2021"/>
      <c r="H961" s="2018"/>
      <c r="I961" s="477"/>
      <c r="J961" s="2019"/>
      <c r="K961" s="2021"/>
      <c r="L961" s="2018"/>
      <c r="M961" s="477"/>
      <c r="N961" s="2019"/>
      <c r="O961" s="2021"/>
      <c r="P961" s="2018"/>
      <c r="Q961" s="477"/>
      <c r="R961" s="2019"/>
      <c r="S961" s="2021"/>
      <c r="T961" s="2018"/>
      <c r="U961" s="477"/>
      <c r="V961" s="2019"/>
      <c r="W961" s="2021"/>
      <c r="X961" s="2018"/>
      <c r="Y961" s="477"/>
      <c r="Z961" s="2019"/>
      <c r="AA961" s="2021"/>
      <c r="AB961" s="2018"/>
      <c r="AC961" s="477"/>
      <c r="AD961" s="2019"/>
      <c r="AE961" s="2021"/>
      <c r="AF961" s="2018"/>
      <c r="AG961" s="477"/>
      <c r="AH961" s="2019"/>
      <c r="AI961" s="2021"/>
      <c r="AJ961" s="2018"/>
      <c r="AK961" s="477"/>
      <c r="AL961" s="2019"/>
      <c r="AM961" s="2021"/>
      <c r="AN961" s="2018"/>
      <c r="AO961" s="477"/>
    </row>
    <row r="962" spans="1:41" ht="15">
      <c r="A962" s="475"/>
      <c r="B962" s="2019"/>
      <c r="C962" s="2021"/>
      <c r="D962" s="2018"/>
      <c r="E962" s="477"/>
      <c r="F962" s="2019"/>
      <c r="G962" s="2021"/>
      <c r="H962" s="2018"/>
      <c r="I962" s="477"/>
      <c r="J962" s="2019"/>
      <c r="K962" s="2021"/>
      <c r="L962" s="2018"/>
      <c r="M962" s="477"/>
      <c r="N962" s="2019"/>
      <c r="O962" s="2021"/>
      <c r="P962" s="2018"/>
      <c r="Q962" s="477"/>
      <c r="R962" s="2019"/>
      <c r="S962" s="2021"/>
      <c r="T962" s="2018"/>
      <c r="U962" s="477"/>
      <c r="V962" s="2019"/>
      <c r="W962" s="2021"/>
      <c r="X962" s="2018"/>
      <c r="Y962" s="477"/>
      <c r="Z962" s="2019"/>
      <c r="AA962" s="2021"/>
      <c r="AB962" s="2018"/>
      <c r="AC962" s="477"/>
      <c r="AD962" s="2019"/>
      <c r="AE962" s="2021"/>
      <c r="AF962" s="2018"/>
      <c r="AG962" s="477"/>
      <c r="AH962" s="2019"/>
      <c r="AI962" s="2021"/>
      <c r="AJ962" s="2018"/>
      <c r="AK962" s="477"/>
      <c r="AL962" s="2019"/>
      <c r="AM962" s="2021"/>
      <c r="AN962" s="2018"/>
      <c r="AO962" s="477"/>
    </row>
    <row r="963" spans="1:41" ht="15">
      <c r="A963" s="475"/>
      <c r="B963" s="2019"/>
      <c r="C963" s="2021"/>
      <c r="D963" s="2018"/>
      <c r="E963" s="477"/>
      <c r="F963" s="2019"/>
      <c r="G963" s="2021"/>
      <c r="H963" s="2018"/>
      <c r="I963" s="477"/>
      <c r="J963" s="2019"/>
      <c r="K963" s="2021"/>
      <c r="L963" s="2018"/>
      <c r="M963" s="477"/>
      <c r="N963" s="2019"/>
      <c r="O963" s="2021"/>
      <c r="P963" s="2018"/>
      <c r="Q963" s="477"/>
      <c r="R963" s="2019"/>
      <c r="S963" s="2021"/>
      <c r="T963" s="2018"/>
      <c r="U963" s="477"/>
      <c r="V963" s="2019"/>
      <c r="W963" s="2021"/>
      <c r="X963" s="2018"/>
      <c r="Y963" s="477"/>
      <c r="Z963" s="2019"/>
      <c r="AA963" s="2021"/>
      <c r="AB963" s="2018"/>
      <c r="AC963" s="477"/>
      <c r="AD963" s="2019"/>
      <c r="AE963" s="2021"/>
      <c r="AF963" s="2018"/>
      <c r="AG963" s="477"/>
      <c r="AH963" s="2019"/>
      <c r="AI963" s="2021"/>
      <c r="AJ963" s="2018"/>
      <c r="AK963" s="477"/>
      <c r="AL963" s="2019"/>
      <c r="AM963" s="2021"/>
      <c r="AN963" s="2018"/>
      <c r="AO963" s="477"/>
    </row>
    <row r="964" spans="1:41" ht="15">
      <c r="A964" s="475"/>
      <c r="B964" s="2019"/>
      <c r="C964" s="2021"/>
      <c r="D964" s="2018"/>
      <c r="E964" s="477"/>
      <c r="F964" s="2019"/>
      <c r="G964" s="2021"/>
      <c r="H964" s="2018"/>
      <c r="I964" s="477"/>
      <c r="J964" s="2019"/>
      <c r="K964" s="2021"/>
      <c r="L964" s="2018"/>
      <c r="M964" s="477"/>
      <c r="N964" s="2019"/>
      <c r="O964" s="2021"/>
      <c r="P964" s="2018"/>
      <c r="Q964" s="477"/>
      <c r="R964" s="2019"/>
      <c r="S964" s="2021"/>
      <c r="T964" s="2018"/>
      <c r="U964" s="477"/>
      <c r="V964" s="2019"/>
      <c r="W964" s="2021"/>
      <c r="X964" s="2018"/>
      <c r="Y964" s="477"/>
      <c r="Z964" s="2019"/>
      <c r="AA964" s="2021"/>
      <c r="AB964" s="2018"/>
      <c r="AC964" s="477"/>
      <c r="AD964" s="2019"/>
      <c r="AE964" s="2021"/>
      <c r="AF964" s="2018"/>
      <c r="AG964" s="477"/>
      <c r="AH964" s="2019"/>
      <c r="AI964" s="2021"/>
      <c r="AJ964" s="2018"/>
      <c r="AK964" s="477"/>
      <c r="AL964" s="2019"/>
      <c r="AM964" s="2021"/>
      <c r="AN964" s="2018"/>
      <c r="AO964" s="477"/>
    </row>
    <row r="965" spans="1:41" ht="15">
      <c r="A965" s="475"/>
      <c r="B965" s="2019"/>
      <c r="C965" s="2021"/>
      <c r="D965" s="2018"/>
      <c r="E965" s="477"/>
      <c r="F965" s="2019"/>
      <c r="G965" s="2021"/>
      <c r="H965" s="2018"/>
      <c r="I965" s="477"/>
      <c r="J965" s="2019"/>
      <c r="K965" s="2021"/>
      <c r="L965" s="2018"/>
      <c r="M965" s="477"/>
      <c r="N965" s="2019"/>
      <c r="O965" s="2021"/>
      <c r="P965" s="2018"/>
      <c r="Q965" s="477"/>
      <c r="R965" s="2019"/>
      <c r="S965" s="2021"/>
      <c r="T965" s="2018"/>
      <c r="U965" s="477"/>
      <c r="V965" s="2019"/>
      <c r="W965" s="2021"/>
      <c r="X965" s="2018"/>
      <c r="Y965" s="477"/>
      <c r="Z965" s="2019"/>
      <c r="AA965" s="2021"/>
      <c r="AB965" s="2018"/>
      <c r="AC965" s="477"/>
      <c r="AD965" s="2019"/>
      <c r="AE965" s="2021"/>
      <c r="AF965" s="2018"/>
      <c r="AG965" s="477"/>
      <c r="AH965" s="2019"/>
      <c r="AI965" s="2021"/>
      <c r="AJ965" s="2018"/>
      <c r="AK965" s="477"/>
      <c r="AL965" s="2019"/>
      <c r="AM965" s="2021"/>
      <c r="AN965" s="2018"/>
      <c r="AO965" s="477"/>
    </row>
    <row r="966" spans="1:41" ht="15">
      <c r="A966" s="475"/>
      <c r="B966" s="2019"/>
      <c r="C966" s="2021"/>
      <c r="D966" s="2018"/>
      <c r="E966" s="477"/>
      <c r="F966" s="2019"/>
      <c r="G966" s="2021"/>
      <c r="H966" s="2018"/>
      <c r="I966" s="477"/>
      <c r="J966" s="2019"/>
      <c r="K966" s="2021"/>
      <c r="L966" s="2018"/>
      <c r="M966" s="477"/>
      <c r="N966" s="2019"/>
      <c r="O966" s="2021"/>
      <c r="P966" s="2018"/>
      <c r="Q966" s="477"/>
      <c r="R966" s="2019"/>
      <c r="S966" s="2021"/>
      <c r="T966" s="2018"/>
      <c r="U966" s="477"/>
      <c r="V966" s="2019"/>
      <c r="W966" s="2021"/>
      <c r="X966" s="2018"/>
      <c r="Y966" s="477"/>
      <c r="Z966" s="2019"/>
      <c r="AA966" s="2021"/>
      <c r="AB966" s="2018"/>
      <c r="AC966" s="477"/>
      <c r="AD966" s="2019"/>
      <c r="AE966" s="2021"/>
      <c r="AF966" s="2018"/>
      <c r="AG966" s="477"/>
      <c r="AH966" s="2019"/>
      <c r="AI966" s="2021"/>
      <c r="AJ966" s="2018"/>
      <c r="AK966" s="477"/>
      <c r="AL966" s="2019"/>
      <c r="AM966" s="2021"/>
      <c r="AN966" s="2018"/>
      <c r="AO966" s="477"/>
    </row>
    <row r="967" spans="1:41" ht="15">
      <c r="A967" s="475"/>
      <c r="B967" s="2019"/>
      <c r="C967" s="2021"/>
      <c r="D967" s="2018"/>
      <c r="E967" s="477"/>
      <c r="F967" s="2019"/>
      <c r="G967" s="2021"/>
      <c r="H967" s="2018"/>
      <c r="I967" s="477"/>
      <c r="J967" s="2019"/>
      <c r="K967" s="2021"/>
      <c r="L967" s="2018"/>
      <c r="M967" s="477"/>
      <c r="N967" s="2019"/>
      <c r="O967" s="2021"/>
      <c r="P967" s="2018"/>
      <c r="Q967" s="477"/>
      <c r="R967" s="2019"/>
      <c r="S967" s="2021"/>
      <c r="T967" s="2018"/>
      <c r="U967" s="477"/>
      <c r="V967" s="2019"/>
      <c r="W967" s="2021"/>
      <c r="X967" s="2018"/>
      <c r="Y967" s="477"/>
      <c r="Z967" s="2019"/>
      <c r="AA967" s="2021"/>
      <c r="AB967" s="2018"/>
      <c r="AC967" s="477"/>
      <c r="AD967" s="2019"/>
      <c r="AE967" s="2021"/>
      <c r="AF967" s="2018"/>
      <c r="AG967" s="477"/>
      <c r="AH967" s="2019"/>
      <c r="AI967" s="2021"/>
      <c r="AJ967" s="2018"/>
      <c r="AK967" s="477"/>
      <c r="AL967" s="2019"/>
      <c r="AM967" s="2021"/>
      <c r="AN967" s="2018"/>
      <c r="AO967" s="477"/>
    </row>
    <row r="968" spans="1:41" ht="15">
      <c r="A968" s="475"/>
      <c r="B968" s="2019"/>
      <c r="C968" s="2021"/>
      <c r="D968" s="2018"/>
      <c r="E968" s="477"/>
      <c r="F968" s="2019"/>
      <c r="G968" s="2021"/>
      <c r="H968" s="2018"/>
      <c r="I968" s="477"/>
      <c r="J968" s="2019"/>
      <c r="K968" s="2021"/>
      <c r="L968" s="2018"/>
      <c r="M968" s="477"/>
      <c r="N968" s="2019"/>
      <c r="O968" s="2021"/>
      <c r="P968" s="2018"/>
      <c r="Q968" s="477"/>
      <c r="R968" s="2019"/>
      <c r="S968" s="2021"/>
      <c r="T968" s="2018"/>
      <c r="U968" s="477"/>
      <c r="V968" s="2019"/>
      <c r="W968" s="2021"/>
      <c r="X968" s="2018"/>
      <c r="Y968" s="477"/>
      <c r="Z968" s="2019"/>
      <c r="AA968" s="2021"/>
      <c r="AB968" s="2018"/>
      <c r="AC968" s="477"/>
      <c r="AD968" s="2019"/>
      <c r="AE968" s="2021"/>
      <c r="AF968" s="2018"/>
      <c r="AG968" s="477"/>
      <c r="AH968" s="2019"/>
      <c r="AI968" s="2021"/>
      <c r="AJ968" s="2018"/>
      <c r="AK968" s="477"/>
      <c r="AL968" s="2019"/>
      <c r="AM968" s="2021"/>
      <c r="AN968" s="2018"/>
      <c r="AO968" s="477"/>
    </row>
    <row r="969" spans="1:41" ht="15">
      <c r="A969" s="475"/>
      <c r="B969" s="2019"/>
      <c r="C969" s="2021"/>
      <c r="D969" s="2018"/>
      <c r="E969" s="477"/>
      <c r="F969" s="2019"/>
      <c r="G969" s="2021"/>
      <c r="H969" s="2018"/>
      <c r="I969" s="477"/>
      <c r="J969" s="2019"/>
      <c r="K969" s="2021"/>
      <c r="L969" s="2018"/>
      <c r="M969" s="477"/>
      <c r="N969" s="2019"/>
      <c r="O969" s="2021"/>
      <c r="P969" s="2018"/>
      <c r="Q969" s="477"/>
      <c r="R969" s="2019"/>
      <c r="S969" s="2021"/>
      <c r="T969" s="2018"/>
      <c r="U969" s="477"/>
      <c r="V969" s="2019"/>
      <c r="W969" s="2021"/>
      <c r="X969" s="2018"/>
      <c r="Y969" s="477"/>
      <c r="Z969" s="2019"/>
      <c r="AA969" s="2021"/>
      <c r="AB969" s="2018"/>
      <c r="AC969" s="477"/>
      <c r="AD969" s="2019"/>
      <c r="AE969" s="2021"/>
      <c r="AF969" s="2018"/>
      <c r="AG969" s="477"/>
      <c r="AH969" s="2019"/>
      <c r="AI969" s="2021"/>
      <c r="AJ969" s="2018"/>
      <c r="AK969" s="477"/>
      <c r="AL969" s="2019"/>
      <c r="AM969" s="2021"/>
      <c r="AN969" s="2018"/>
      <c r="AO969" s="477"/>
    </row>
    <row r="970" spans="1:41" ht="15">
      <c r="A970" s="475"/>
      <c r="B970" s="2019"/>
      <c r="C970" s="2021"/>
      <c r="D970" s="2018"/>
      <c r="E970" s="477"/>
      <c r="F970" s="2019"/>
      <c r="G970" s="2021"/>
      <c r="H970" s="2018"/>
      <c r="I970" s="477"/>
      <c r="J970" s="2019"/>
      <c r="K970" s="2021"/>
      <c r="L970" s="2018"/>
      <c r="M970" s="477"/>
      <c r="N970" s="2019"/>
      <c r="O970" s="2021"/>
      <c r="P970" s="2018"/>
      <c r="Q970" s="477"/>
      <c r="R970" s="2019"/>
      <c r="S970" s="2021"/>
      <c r="T970" s="2018"/>
      <c r="U970" s="477"/>
      <c r="V970" s="2019"/>
      <c r="W970" s="2021"/>
      <c r="X970" s="2018"/>
      <c r="Y970" s="477"/>
      <c r="Z970" s="2019"/>
      <c r="AA970" s="2021"/>
      <c r="AB970" s="2018"/>
      <c r="AC970" s="477"/>
      <c r="AD970" s="2019"/>
      <c r="AE970" s="2021"/>
      <c r="AF970" s="2018"/>
      <c r="AG970" s="477"/>
      <c r="AH970" s="2019"/>
      <c r="AI970" s="2021"/>
      <c r="AJ970" s="2018"/>
      <c r="AK970" s="477"/>
      <c r="AL970" s="2019"/>
      <c r="AM970" s="2021"/>
      <c r="AN970" s="2018"/>
      <c r="AO970" s="477"/>
    </row>
    <row r="971" spans="1:41" ht="15">
      <c r="A971" s="475"/>
      <c r="B971" s="2019"/>
      <c r="C971" s="2021"/>
      <c r="D971" s="2018"/>
      <c r="E971" s="477"/>
      <c r="F971" s="2019"/>
      <c r="G971" s="2021"/>
      <c r="H971" s="2018"/>
      <c r="I971" s="477"/>
      <c r="J971" s="2019"/>
      <c r="K971" s="2021"/>
      <c r="L971" s="2018"/>
      <c r="M971" s="477"/>
      <c r="N971" s="2019"/>
      <c r="O971" s="2021"/>
      <c r="P971" s="2018"/>
      <c r="Q971" s="477"/>
      <c r="R971" s="2019"/>
      <c r="S971" s="2021"/>
      <c r="T971" s="2018"/>
      <c r="U971" s="477"/>
      <c r="V971" s="2019"/>
      <c r="W971" s="2021"/>
      <c r="X971" s="2018"/>
      <c r="Y971" s="477"/>
      <c r="Z971" s="2019"/>
      <c r="AA971" s="2021"/>
      <c r="AB971" s="2018"/>
      <c r="AC971" s="477"/>
      <c r="AD971" s="2019"/>
      <c r="AE971" s="2021"/>
      <c r="AF971" s="2018"/>
      <c r="AG971" s="477"/>
      <c r="AH971" s="2019"/>
      <c r="AI971" s="2021"/>
      <c r="AJ971" s="2018"/>
      <c r="AK971" s="477"/>
      <c r="AL971" s="2019"/>
      <c r="AM971" s="2021"/>
      <c r="AN971" s="2018"/>
      <c r="AO971" s="477"/>
    </row>
    <row r="972" spans="1:41" ht="15">
      <c r="A972" s="475"/>
      <c r="B972" s="2019"/>
      <c r="C972" s="2021"/>
      <c r="D972" s="2018"/>
      <c r="E972" s="477"/>
      <c r="F972" s="2019"/>
      <c r="G972" s="2021"/>
      <c r="H972" s="2018"/>
      <c r="I972" s="477"/>
      <c r="J972" s="2019"/>
      <c r="K972" s="2021"/>
      <c r="L972" s="2018"/>
      <c r="M972" s="477"/>
      <c r="N972" s="2019"/>
      <c r="O972" s="2021"/>
      <c r="P972" s="2018"/>
      <c r="Q972" s="477"/>
      <c r="R972" s="2019"/>
      <c r="S972" s="2021"/>
      <c r="T972" s="2018"/>
      <c r="U972" s="477"/>
      <c r="V972" s="2019"/>
      <c r="W972" s="2021"/>
      <c r="X972" s="2018"/>
      <c r="Y972" s="477"/>
      <c r="Z972" s="2019"/>
      <c r="AA972" s="2021"/>
      <c r="AB972" s="2018"/>
      <c r="AC972" s="477"/>
      <c r="AD972" s="2019"/>
      <c r="AE972" s="2021"/>
      <c r="AF972" s="2018"/>
      <c r="AG972" s="477"/>
      <c r="AH972" s="2019"/>
      <c r="AI972" s="2021"/>
      <c r="AJ972" s="2018"/>
      <c r="AK972" s="477"/>
      <c r="AL972" s="2019"/>
      <c r="AM972" s="2021"/>
      <c r="AN972" s="2018"/>
      <c r="AO972" s="477"/>
    </row>
    <row r="973" spans="1:41" ht="15">
      <c r="A973" s="475"/>
      <c r="B973" s="2019"/>
      <c r="C973" s="2021"/>
      <c r="D973" s="2018"/>
      <c r="E973" s="477"/>
      <c r="F973" s="2019"/>
      <c r="G973" s="2021"/>
      <c r="H973" s="2018"/>
      <c r="I973" s="477"/>
      <c r="J973" s="2019"/>
      <c r="K973" s="2021"/>
      <c r="L973" s="2018"/>
      <c r="M973" s="477"/>
      <c r="N973" s="2019"/>
      <c r="O973" s="2021"/>
      <c r="P973" s="2018"/>
      <c r="Q973" s="477"/>
      <c r="R973" s="2019"/>
      <c r="S973" s="2021"/>
      <c r="T973" s="2018"/>
      <c r="U973" s="477"/>
      <c r="V973" s="2019"/>
      <c r="W973" s="2021"/>
      <c r="X973" s="2018"/>
      <c r="Y973" s="477"/>
      <c r="Z973" s="2019"/>
      <c r="AA973" s="2021"/>
      <c r="AB973" s="2018"/>
      <c r="AC973" s="477"/>
      <c r="AD973" s="2019"/>
      <c r="AE973" s="2021"/>
      <c r="AF973" s="2018"/>
      <c r="AG973" s="477"/>
      <c r="AH973" s="2019"/>
      <c r="AI973" s="2021"/>
      <c r="AJ973" s="2018"/>
      <c r="AK973" s="477"/>
      <c r="AL973" s="2019"/>
      <c r="AM973" s="2021"/>
      <c r="AN973" s="2018"/>
      <c r="AO973" s="477"/>
    </row>
    <row r="974" spans="1:41" ht="15">
      <c r="A974" s="475"/>
      <c r="B974" s="2019"/>
      <c r="C974" s="2021"/>
      <c r="D974" s="2018"/>
      <c r="E974" s="477"/>
      <c r="F974" s="2019"/>
      <c r="G974" s="2021"/>
      <c r="H974" s="2018"/>
      <c r="I974" s="477"/>
      <c r="J974" s="2019"/>
      <c r="K974" s="2021"/>
      <c r="L974" s="2018"/>
      <c r="M974" s="477"/>
      <c r="N974" s="2019"/>
      <c r="O974" s="2021"/>
      <c r="P974" s="2018"/>
      <c r="Q974" s="477"/>
      <c r="R974" s="2019"/>
      <c r="S974" s="2021"/>
      <c r="T974" s="2018"/>
      <c r="U974" s="477"/>
      <c r="V974" s="2019"/>
      <c r="W974" s="2021"/>
      <c r="X974" s="2018"/>
      <c r="Y974" s="477"/>
      <c r="Z974" s="2019"/>
      <c r="AA974" s="2021"/>
      <c r="AB974" s="2018"/>
      <c r="AC974" s="477"/>
      <c r="AD974" s="2019"/>
      <c r="AE974" s="2021"/>
      <c r="AF974" s="2018"/>
      <c r="AG974" s="477"/>
      <c r="AH974" s="2019"/>
      <c r="AI974" s="2021"/>
      <c r="AJ974" s="2018"/>
      <c r="AK974" s="477"/>
      <c r="AL974" s="2019"/>
      <c r="AM974" s="2021"/>
      <c r="AN974" s="2018"/>
      <c r="AO974" s="477"/>
    </row>
    <row r="975" spans="1:41" ht="15">
      <c r="A975" s="475"/>
      <c r="B975" s="2019"/>
      <c r="C975" s="2021"/>
      <c r="D975" s="2018"/>
      <c r="E975" s="477"/>
      <c r="F975" s="2019"/>
      <c r="G975" s="2021"/>
      <c r="H975" s="2018"/>
      <c r="I975" s="477"/>
      <c r="J975" s="2019"/>
      <c r="K975" s="2021"/>
      <c r="L975" s="2018"/>
      <c r="M975" s="477"/>
      <c r="N975" s="2019"/>
      <c r="O975" s="2021"/>
      <c r="P975" s="2018"/>
      <c r="Q975" s="477"/>
      <c r="R975" s="2019"/>
      <c r="S975" s="2021"/>
      <c r="T975" s="2018"/>
      <c r="U975" s="477"/>
      <c r="V975" s="2019"/>
      <c r="W975" s="2021"/>
      <c r="X975" s="2018"/>
      <c r="Y975" s="477"/>
      <c r="Z975" s="2019"/>
      <c r="AA975" s="2021"/>
      <c r="AB975" s="2018"/>
      <c r="AC975" s="477"/>
      <c r="AD975" s="2019"/>
      <c r="AE975" s="2021"/>
      <c r="AF975" s="2018"/>
      <c r="AG975" s="477"/>
      <c r="AH975" s="2019"/>
      <c r="AI975" s="2021"/>
      <c r="AJ975" s="2018"/>
      <c r="AK975" s="477"/>
      <c r="AL975" s="2019"/>
      <c r="AM975" s="2021"/>
      <c r="AN975" s="2018"/>
      <c r="AO975" s="477"/>
    </row>
    <row r="976" spans="1:41" ht="15">
      <c r="A976" s="475"/>
      <c r="B976" s="2019"/>
      <c r="C976" s="2021"/>
      <c r="D976" s="2018"/>
      <c r="E976" s="477"/>
      <c r="F976" s="2019"/>
      <c r="G976" s="2021"/>
      <c r="H976" s="2018"/>
      <c r="I976" s="477"/>
      <c r="J976" s="2019"/>
      <c r="K976" s="2021"/>
      <c r="L976" s="2018"/>
      <c r="M976" s="477"/>
      <c r="N976" s="2019"/>
      <c r="O976" s="2021"/>
      <c r="P976" s="2018"/>
      <c r="Q976" s="477"/>
      <c r="R976" s="2019"/>
      <c r="S976" s="2021"/>
      <c r="T976" s="2018"/>
      <c r="U976" s="477"/>
      <c r="V976" s="2019"/>
      <c r="W976" s="2021"/>
      <c r="X976" s="2018"/>
      <c r="Y976" s="477"/>
      <c r="Z976" s="2019"/>
      <c r="AA976" s="2021"/>
      <c r="AB976" s="2018"/>
      <c r="AC976" s="477"/>
      <c r="AD976" s="2019"/>
      <c r="AE976" s="2021"/>
      <c r="AF976" s="2018"/>
      <c r="AG976" s="477"/>
      <c r="AH976" s="2019"/>
      <c r="AI976" s="2021"/>
      <c r="AJ976" s="2018"/>
      <c r="AK976" s="477"/>
      <c r="AL976" s="2019"/>
      <c r="AM976" s="2021"/>
      <c r="AN976" s="2018"/>
      <c r="AO976" s="477"/>
    </row>
    <row r="977" spans="1:41" ht="15">
      <c r="A977" s="475"/>
      <c r="B977" s="2019"/>
      <c r="C977" s="2021"/>
      <c r="D977" s="2018"/>
      <c r="E977" s="477"/>
      <c r="F977" s="2019"/>
      <c r="G977" s="2021"/>
      <c r="H977" s="2018"/>
      <c r="I977" s="477"/>
      <c r="J977" s="2019"/>
      <c r="K977" s="2021"/>
      <c r="L977" s="2018"/>
      <c r="M977" s="477"/>
      <c r="N977" s="2019"/>
      <c r="O977" s="2021"/>
      <c r="P977" s="2018"/>
      <c r="Q977" s="477"/>
      <c r="R977" s="2019"/>
      <c r="S977" s="2021"/>
      <c r="T977" s="2018"/>
      <c r="U977" s="477"/>
      <c r="V977" s="2019"/>
      <c r="W977" s="2021"/>
      <c r="X977" s="2018"/>
      <c r="Y977" s="477"/>
      <c r="Z977" s="2019"/>
      <c r="AA977" s="2021"/>
      <c r="AB977" s="2018"/>
      <c r="AC977" s="477"/>
      <c r="AD977" s="2019"/>
      <c r="AE977" s="2021"/>
      <c r="AF977" s="2018"/>
      <c r="AG977" s="477"/>
      <c r="AH977" s="2019"/>
      <c r="AI977" s="2021"/>
      <c r="AJ977" s="2018"/>
      <c r="AK977" s="477"/>
      <c r="AL977" s="2019"/>
      <c r="AM977" s="2021"/>
      <c r="AN977" s="2018"/>
      <c r="AO977" s="477"/>
    </row>
    <row r="978" spans="1:41" ht="15">
      <c r="A978" s="475"/>
      <c r="B978" s="2019"/>
      <c r="C978" s="2021"/>
      <c r="D978" s="2018"/>
      <c r="E978" s="477"/>
      <c r="F978" s="2019"/>
      <c r="G978" s="2021"/>
      <c r="H978" s="2018"/>
      <c r="I978" s="477"/>
      <c r="J978" s="2019"/>
      <c r="K978" s="2021"/>
      <c r="L978" s="2018"/>
      <c r="M978" s="477"/>
      <c r="N978" s="2019"/>
      <c r="O978" s="2021"/>
      <c r="P978" s="2018"/>
      <c r="Q978" s="477"/>
      <c r="R978" s="2019"/>
      <c r="S978" s="2021"/>
      <c r="T978" s="2018"/>
      <c r="U978" s="477"/>
      <c r="V978" s="2019"/>
      <c r="W978" s="2021"/>
      <c r="X978" s="2018"/>
      <c r="Y978" s="477"/>
      <c r="Z978" s="2019"/>
      <c r="AA978" s="2021"/>
      <c r="AB978" s="2018"/>
      <c r="AC978" s="477"/>
      <c r="AD978" s="2019"/>
      <c r="AE978" s="2021"/>
      <c r="AF978" s="2018"/>
      <c r="AG978" s="477"/>
      <c r="AH978" s="2019"/>
      <c r="AI978" s="2021"/>
      <c r="AJ978" s="2018"/>
      <c r="AK978" s="477"/>
      <c r="AL978" s="2019"/>
      <c r="AM978" s="2021"/>
      <c r="AN978" s="2018"/>
      <c r="AO978" s="477"/>
    </row>
    <row r="979" spans="1:41" ht="15">
      <c r="A979" s="475"/>
      <c r="B979" s="2019"/>
      <c r="C979" s="2021"/>
      <c r="D979" s="2018"/>
      <c r="E979" s="477"/>
      <c r="F979" s="2019"/>
      <c r="G979" s="2021"/>
      <c r="H979" s="2018"/>
      <c r="I979" s="477"/>
      <c r="J979" s="2019"/>
      <c r="K979" s="2021"/>
      <c r="L979" s="2018"/>
      <c r="M979" s="477"/>
      <c r="N979" s="2019"/>
      <c r="O979" s="2021"/>
      <c r="P979" s="2018"/>
      <c r="Q979" s="477"/>
      <c r="R979" s="2019"/>
      <c r="S979" s="2021"/>
      <c r="T979" s="2018"/>
      <c r="U979" s="477"/>
      <c r="V979" s="2019"/>
      <c r="W979" s="2021"/>
      <c r="X979" s="2018"/>
      <c r="Y979" s="477"/>
      <c r="Z979" s="2019"/>
      <c r="AA979" s="2021"/>
      <c r="AB979" s="2018"/>
      <c r="AC979" s="477"/>
      <c r="AD979" s="2019"/>
      <c r="AE979" s="2021"/>
      <c r="AF979" s="2018"/>
      <c r="AG979" s="477"/>
      <c r="AH979" s="2019"/>
      <c r="AI979" s="2021"/>
      <c r="AJ979" s="2018"/>
      <c r="AK979" s="477"/>
      <c r="AL979" s="2019"/>
      <c r="AM979" s="2021"/>
      <c r="AN979" s="2018"/>
      <c r="AO979" s="477"/>
    </row>
    <row r="980" spans="1:41" ht="15">
      <c r="A980" s="475"/>
      <c r="B980" s="2019"/>
      <c r="C980" s="2021"/>
      <c r="D980" s="2018"/>
      <c r="E980" s="477"/>
      <c r="F980" s="2019"/>
      <c r="G980" s="2021"/>
      <c r="H980" s="2018"/>
      <c r="I980" s="477"/>
      <c r="J980" s="2019"/>
      <c r="K980" s="2021"/>
      <c r="L980" s="2018"/>
      <c r="M980" s="477"/>
      <c r="N980" s="2019"/>
      <c r="O980" s="2021"/>
      <c r="P980" s="2018"/>
      <c r="Q980" s="477"/>
      <c r="R980" s="2019"/>
      <c r="S980" s="2021"/>
      <c r="T980" s="2018"/>
      <c r="U980" s="477"/>
      <c r="V980" s="2019"/>
      <c r="W980" s="2021"/>
      <c r="X980" s="2018"/>
      <c r="Y980" s="477"/>
      <c r="Z980" s="2019"/>
      <c r="AA980" s="2021"/>
      <c r="AB980" s="2018"/>
      <c r="AC980" s="477"/>
      <c r="AD980" s="2019"/>
      <c r="AE980" s="2021"/>
      <c r="AF980" s="2018"/>
      <c r="AG980" s="477"/>
      <c r="AH980" s="2019"/>
      <c r="AI980" s="2021"/>
      <c r="AJ980" s="2018"/>
      <c r="AK980" s="477"/>
      <c r="AL980" s="2019"/>
      <c r="AM980" s="2021"/>
      <c r="AN980" s="2018"/>
      <c r="AO980" s="477"/>
    </row>
    <row r="981" spans="1:41" ht="15">
      <c r="A981" s="475"/>
      <c r="B981" s="2019"/>
      <c r="C981" s="2021"/>
      <c r="D981" s="2018"/>
      <c r="E981" s="477"/>
      <c r="F981" s="2019"/>
      <c r="G981" s="2021"/>
      <c r="H981" s="2018"/>
      <c r="I981" s="477"/>
      <c r="J981" s="2019"/>
      <c r="K981" s="2021"/>
      <c r="L981" s="2018"/>
      <c r="M981" s="477"/>
      <c r="N981" s="2019"/>
      <c r="O981" s="2021"/>
      <c r="P981" s="2018"/>
      <c r="Q981" s="477"/>
      <c r="R981" s="2019"/>
      <c r="S981" s="2021"/>
      <c r="T981" s="2018"/>
      <c r="U981" s="477"/>
      <c r="V981" s="2019"/>
      <c r="W981" s="2021"/>
      <c r="X981" s="2018"/>
      <c r="Y981" s="477"/>
      <c r="Z981" s="2019"/>
      <c r="AA981" s="2021"/>
      <c r="AB981" s="2018"/>
      <c r="AC981" s="477"/>
      <c r="AD981" s="2019"/>
      <c r="AE981" s="2021"/>
      <c r="AF981" s="2018"/>
      <c r="AG981" s="477"/>
      <c r="AH981" s="2019"/>
      <c r="AI981" s="2021"/>
      <c r="AJ981" s="2018"/>
      <c r="AK981" s="477"/>
      <c r="AL981" s="2019"/>
      <c r="AM981" s="2021"/>
      <c r="AN981" s="2018"/>
      <c r="AO981" s="477"/>
    </row>
    <row r="982" spans="1:41" ht="15">
      <c r="A982" s="475"/>
      <c r="B982" s="2019"/>
      <c r="C982" s="2021"/>
      <c r="D982" s="2018"/>
      <c r="E982" s="477"/>
      <c r="F982" s="2019"/>
      <c r="G982" s="2021"/>
      <c r="H982" s="2018"/>
      <c r="I982" s="477"/>
      <c r="J982" s="2019"/>
      <c r="K982" s="2021"/>
      <c r="L982" s="2018"/>
      <c r="M982" s="477"/>
      <c r="N982" s="2019"/>
      <c r="O982" s="2021"/>
      <c r="P982" s="2018"/>
      <c r="Q982" s="477"/>
      <c r="R982" s="2019"/>
      <c r="S982" s="2021"/>
      <c r="T982" s="2018"/>
      <c r="U982" s="477"/>
      <c r="V982" s="2019"/>
      <c r="W982" s="2021"/>
      <c r="X982" s="2018"/>
      <c r="Y982" s="477"/>
      <c r="Z982" s="2019"/>
      <c r="AA982" s="2021"/>
      <c r="AB982" s="2018"/>
      <c r="AC982" s="477"/>
      <c r="AD982" s="2019"/>
      <c r="AE982" s="2021"/>
      <c r="AF982" s="2018"/>
      <c r="AG982" s="477"/>
      <c r="AH982" s="2019"/>
      <c r="AI982" s="2021"/>
      <c r="AJ982" s="2018"/>
      <c r="AK982" s="477"/>
      <c r="AL982" s="2019"/>
      <c r="AM982" s="2021"/>
      <c r="AN982" s="2018"/>
      <c r="AO982" s="477"/>
    </row>
    <row r="983" spans="1:41" ht="15">
      <c r="A983" s="475"/>
      <c r="B983" s="2019"/>
      <c r="C983" s="2021"/>
      <c r="D983" s="2018"/>
      <c r="E983" s="477"/>
      <c r="F983" s="2019"/>
      <c r="G983" s="2021"/>
      <c r="H983" s="2018"/>
      <c r="I983" s="477"/>
      <c r="J983" s="2019"/>
      <c r="K983" s="2021"/>
      <c r="L983" s="2018"/>
      <c r="M983" s="477"/>
      <c r="N983" s="2019"/>
      <c r="O983" s="2021"/>
      <c r="P983" s="2018"/>
      <c r="Q983" s="477"/>
      <c r="R983" s="2019"/>
      <c r="S983" s="2021"/>
      <c r="T983" s="2018"/>
      <c r="U983" s="477"/>
      <c r="V983" s="2019"/>
      <c r="W983" s="2021"/>
      <c r="X983" s="2018"/>
      <c r="Y983" s="477"/>
      <c r="Z983" s="2019"/>
      <c r="AA983" s="2021"/>
      <c r="AB983" s="2018"/>
      <c r="AC983" s="477"/>
      <c r="AD983" s="2019"/>
      <c r="AE983" s="2021"/>
      <c r="AF983" s="2018"/>
      <c r="AG983" s="477"/>
      <c r="AH983" s="2019"/>
      <c r="AI983" s="2021"/>
      <c r="AJ983" s="2018"/>
      <c r="AK983" s="477"/>
      <c r="AL983" s="2019"/>
      <c r="AM983" s="2021"/>
      <c r="AN983" s="2018"/>
      <c r="AO983" s="477"/>
    </row>
    <row r="984" spans="1:41" ht="15">
      <c r="A984" s="475"/>
      <c r="B984" s="2019"/>
      <c r="C984" s="2021"/>
      <c r="D984" s="2018"/>
      <c r="E984" s="477"/>
      <c r="F984" s="2019"/>
      <c r="G984" s="2021"/>
      <c r="H984" s="2018"/>
      <c r="I984" s="477"/>
      <c r="J984" s="2019"/>
      <c r="K984" s="2021"/>
      <c r="L984" s="2018"/>
      <c r="M984" s="477"/>
      <c r="N984" s="2019"/>
      <c r="O984" s="2021"/>
      <c r="P984" s="2018"/>
      <c r="Q984" s="477"/>
      <c r="R984" s="2019"/>
      <c r="S984" s="2021"/>
      <c r="T984" s="2018"/>
      <c r="U984" s="477"/>
      <c r="V984" s="2019"/>
      <c r="W984" s="2021"/>
      <c r="X984" s="2018"/>
      <c r="Y984" s="477"/>
      <c r="Z984" s="2019"/>
      <c r="AA984" s="2021"/>
      <c r="AB984" s="2018"/>
      <c r="AC984" s="477"/>
      <c r="AD984" s="2019"/>
      <c r="AE984" s="2021"/>
      <c r="AF984" s="2018"/>
      <c r="AG984" s="477"/>
      <c r="AH984" s="2019"/>
      <c r="AI984" s="2021"/>
      <c r="AJ984" s="2018"/>
      <c r="AK984" s="477"/>
      <c r="AL984" s="2019"/>
      <c r="AM984" s="2021"/>
      <c r="AN984" s="2018"/>
      <c r="AO984" s="477"/>
    </row>
    <row r="985" spans="1:41" ht="15">
      <c r="A985" s="475"/>
      <c r="B985" s="2019"/>
      <c r="C985" s="2021"/>
      <c r="D985" s="2018"/>
      <c r="E985" s="477"/>
      <c r="F985" s="2019"/>
      <c r="G985" s="2021"/>
      <c r="H985" s="2018"/>
      <c r="I985" s="477"/>
      <c r="J985" s="2019"/>
      <c r="K985" s="2021"/>
      <c r="L985" s="2018"/>
      <c r="M985" s="477"/>
      <c r="N985" s="2019"/>
      <c r="O985" s="2021"/>
      <c r="P985" s="2018"/>
      <c r="Q985" s="477"/>
      <c r="R985" s="2019"/>
      <c r="S985" s="2021"/>
      <c r="T985" s="2018"/>
      <c r="U985" s="477"/>
      <c r="V985" s="2019"/>
      <c r="W985" s="2021"/>
      <c r="X985" s="2018"/>
      <c r="Y985" s="477"/>
      <c r="Z985" s="2019"/>
      <c r="AA985" s="2021"/>
      <c r="AB985" s="2018"/>
      <c r="AC985" s="477"/>
      <c r="AD985" s="2019"/>
      <c r="AE985" s="2021"/>
      <c r="AF985" s="2018"/>
      <c r="AG985" s="477"/>
      <c r="AH985" s="2019"/>
      <c r="AI985" s="2021"/>
      <c r="AJ985" s="2018"/>
      <c r="AK985" s="477"/>
      <c r="AL985" s="2019"/>
      <c r="AM985" s="2021"/>
      <c r="AN985" s="2018"/>
      <c r="AO985" s="477"/>
    </row>
    <row r="986" spans="1:41" ht="15">
      <c r="A986" s="475"/>
      <c r="B986" s="2019"/>
      <c r="C986" s="2021"/>
      <c r="D986" s="2018"/>
      <c r="E986" s="477"/>
      <c r="F986" s="2019"/>
      <c r="G986" s="2021"/>
      <c r="H986" s="2018"/>
      <c r="I986" s="477"/>
      <c r="J986" s="2019"/>
      <c r="K986" s="2021"/>
      <c r="L986" s="2018"/>
      <c r="M986" s="477"/>
      <c r="N986" s="2019"/>
      <c r="O986" s="2021"/>
      <c r="P986" s="2018"/>
      <c r="Q986" s="477"/>
      <c r="R986" s="2019"/>
      <c r="S986" s="2021"/>
      <c r="T986" s="2018"/>
      <c r="U986" s="477"/>
      <c r="V986" s="2019"/>
      <c r="W986" s="2021"/>
      <c r="X986" s="2018"/>
      <c r="Y986" s="477"/>
      <c r="Z986" s="2019"/>
      <c r="AA986" s="2021"/>
      <c r="AB986" s="2018"/>
      <c r="AC986" s="477"/>
      <c r="AD986" s="2019"/>
      <c r="AE986" s="2021"/>
      <c r="AF986" s="2018"/>
      <c r="AG986" s="477"/>
      <c r="AH986" s="2019"/>
      <c r="AI986" s="2021"/>
      <c r="AJ986" s="2018"/>
      <c r="AK986" s="477"/>
      <c r="AL986" s="2019"/>
      <c r="AM986" s="2021"/>
      <c r="AN986" s="2018"/>
      <c r="AO986" s="477"/>
    </row>
    <row r="987" spans="1:41" ht="15">
      <c r="A987" s="475"/>
      <c r="B987" s="2019"/>
      <c r="C987" s="2021"/>
      <c r="D987" s="2018"/>
      <c r="E987" s="477"/>
      <c r="F987" s="2019"/>
      <c r="G987" s="2021"/>
      <c r="H987" s="2018"/>
      <c r="I987" s="477"/>
      <c r="J987" s="2019"/>
      <c r="K987" s="2021"/>
      <c r="L987" s="2018"/>
      <c r="M987" s="477"/>
      <c r="N987" s="2019"/>
      <c r="O987" s="2021"/>
      <c r="P987" s="2018"/>
      <c r="Q987" s="477"/>
      <c r="R987" s="2019"/>
      <c r="S987" s="2021"/>
      <c r="T987" s="2018"/>
      <c r="U987" s="477"/>
      <c r="V987" s="2019"/>
      <c r="W987" s="2021"/>
      <c r="X987" s="2018"/>
      <c r="Y987" s="477"/>
      <c r="Z987" s="2019"/>
      <c r="AA987" s="2021"/>
      <c r="AB987" s="2018"/>
      <c r="AC987" s="477"/>
      <c r="AD987" s="2019"/>
      <c r="AE987" s="2021"/>
      <c r="AF987" s="2018"/>
      <c r="AG987" s="477"/>
      <c r="AH987" s="2019"/>
      <c r="AI987" s="2021"/>
      <c r="AJ987" s="2018"/>
      <c r="AK987" s="477"/>
      <c r="AL987" s="2019"/>
      <c r="AM987" s="2021"/>
      <c r="AN987" s="2018"/>
      <c r="AO987" s="477"/>
    </row>
    <row r="988" spans="1:41" ht="15">
      <c r="A988" s="475"/>
      <c r="B988" s="2019"/>
      <c r="C988" s="2021"/>
      <c r="D988" s="2018"/>
      <c r="E988" s="477"/>
      <c r="F988" s="2019"/>
      <c r="G988" s="2021"/>
      <c r="H988" s="2018"/>
      <c r="I988" s="477"/>
      <c r="J988" s="2019"/>
      <c r="K988" s="2021"/>
      <c r="L988" s="2018"/>
      <c r="M988" s="477"/>
      <c r="N988" s="2019"/>
      <c r="O988" s="2021"/>
      <c r="P988" s="2018"/>
      <c r="Q988" s="477"/>
      <c r="R988" s="2019"/>
      <c r="S988" s="2021"/>
      <c r="T988" s="2018"/>
      <c r="U988" s="477"/>
      <c r="V988" s="2019"/>
      <c r="W988" s="2021"/>
      <c r="X988" s="2018"/>
      <c r="Y988" s="477"/>
      <c r="Z988" s="2019"/>
      <c r="AA988" s="2021"/>
      <c r="AB988" s="2018"/>
      <c r="AC988" s="477"/>
      <c r="AD988" s="2019"/>
      <c r="AE988" s="2021"/>
      <c r="AF988" s="2018"/>
      <c r="AG988" s="477"/>
      <c r="AH988" s="2019"/>
      <c r="AI988" s="2021"/>
      <c r="AJ988" s="2018"/>
      <c r="AK988" s="477"/>
      <c r="AL988" s="2019"/>
      <c r="AM988" s="2021"/>
      <c r="AN988" s="2018"/>
      <c r="AO988" s="477"/>
    </row>
    <row r="989" spans="1:41" ht="15">
      <c r="A989" s="475"/>
      <c r="B989" s="2019"/>
      <c r="C989" s="2021"/>
      <c r="D989" s="2018"/>
      <c r="E989" s="477"/>
      <c r="F989" s="2019"/>
      <c r="G989" s="2021"/>
      <c r="H989" s="2018"/>
      <c r="I989" s="477"/>
      <c r="J989" s="2019"/>
      <c r="K989" s="2021"/>
      <c r="L989" s="2018"/>
      <c r="M989" s="477"/>
      <c r="N989" s="2019"/>
      <c r="O989" s="2021"/>
      <c r="P989" s="2018"/>
      <c r="Q989" s="477"/>
      <c r="R989" s="2019"/>
      <c r="S989" s="2021"/>
      <c r="T989" s="2018"/>
      <c r="U989" s="477"/>
      <c r="V989" s="2019"/>
      <c r="W989" s="2021"/>
      <c r="X989" s="2018"/>
      <c r="Y989" s="477"/>
      <c r="Z989" s="2019"/>
      <c r="AA989" s="2021"/>
      <c r="AB989" s="2018"/>
      <c r="AC989" s="477"/>
      <c r="AD989" s="2019"/>
      <c r="AE989" s="2021"/>
      <c r="AF989" s="2018"/>
      <c r="AG989" s="477"/>
      <c r="AH989" s="2019"/>
      <c r="AI989" s="2021"/>
      <c r="AJ989" s="2018"/>
      <c r="AK989" s="477"/>
      <c r="AL989" s="2019"/>
      <c r="AM989" s="2021"/>
      <c r="AN989" s="2018"/>
      <c r="AO989" s="477"/>
    </row>
    <row r="990" spans="1:41" ht="15">
      <c r="A990" s="475"/>
      <c r="B990" s="2019"/>
      <c r="C990" s="2021"/>
      <c r="D990" s="2018"/>
      <c r="E990" s="477"/>
      <c r="F990" s="2019"/>
      <c r="G990" s="2021"/>
      <c r="H990" s="2018"/>
      <c r="I990" s="477"/>
      <c r="J990" s="2019"/>
      <c r="K990" s="2021"/>
      <c r="L990" s="2018"/>
      <c r="M990" s="477"/>
      <c r="N990" s="2019"/>
      <c r="O990" s="2021"/>
      <c r="P990" s="2018"/>
      <c r="Q990" s="477"/>
      <c r="R990" s="2019"/>
      <c r="S990" s="2021"/>
      <c r="T990" s="2018"/>
      <c r="U990" s="477"/>
      <c r="V990" s="2019"/>
      <c r="W990" s="2021"/>
      <c r="X990" s="2018"/>
      <c r="Y990" s="477"/>
      <c r="Z990" s="2019"/>
      <c r="AA990" s="2021"/>
      <c r="AB990" s="2018"/>
      <c r="AC990" s="477"/>
      <c r="AD990" s="2019"/>
      <c r="AE990" s="2021"/>
      <c r="AF990" s="2018"/>
      <c r="AG990" s="477"/>
      <c r="AH990" s="2019"/>
      <c r="AI990" s="2021"/>
      <c r="AJ990" s="2018"/>
      <c r="AK990" s="477"/>
      <c r="AL990" s="2019"/>
      <c r="AM990" s="2021"/>
      <c r="AN990" s="2018"/>
      <c r="AO990" s="477"/>
    </row>
    <row r="991" spans="1:41" ht="15">
      <c r="A991" s="475"/>
      <c r="B991" s="2019"/>
      <c r="C991" s="2021"/>
      <c r="D991" s="2018"/>
      <c r="E991" s="477"/>
      <c r="F991" s="2019"/>
      <c r="G991" s="2021"/>
      <c r="H991" s="2018"/>
      <c r="I991" s="477"/>
      <c r="J991" s="2019"/>
      <c r="K991" s="2021"/>
      <c r="L991" s="2018"/>
      <c r="M991" s="477"/>
      <c r="N991" s="2019"/>
      <c r="O991" s="2021"/>
      <c r="P991" s="2018"/>
      <c r="Q991" s="477"/>
      <c r="R991" s="2019"/>
      <c r="S991" s="2021"/>
      <c r="T991" s="2018"/>
      <c r="U991" s="477"/>
      <c r="V991" s="2019"/>
      <c r="W991" s="2021"/>
      <c r="X991" s="2018"/>
      <c r="Y991" s="477"/>
      <c r="Z991" s="2019"/>
      <c r="AA991" s="2021"/>
      <c r="AB991" s="2018"/>
      <c r="AC991" s="477"/>
      <c r="AD991" s="2019"/>
      <c r="AE991" s="2021"/>
      <c r="AF991" s="2018"/>
      <c r="AG991" s="477"/>
      <c r="AH991" s="2019"/>
      <c r="AI991" s="2021"/>
      <c r="AJ991" s="2018"/>
      <c r="AK991" s="477"/>
      <c r="AL991" s="2019"/>
      <c r="AM991" s="2021"/>
      <c r="AN991" s="2018"/>
      <c r="AO991" s="477"/>
    </row>
    <row r="992" spans="1:41" ht="15">
      <c r="A992" s="475"/>
      <c r="B992" s="2019"/>
      <c r="C992" s="2021"/>
      <c r="D992" s="2018"/>
      <c r="E992" s="477"/>
      <c r="F992" s="2019"/>
      <c r="G992" s="2021"/>
      <c r="H992" s="2018"/>
      <c r="I992" s="477"/>
      <c r="J992" s="2019"/>
      <c r="K992" s="2021"/>
      <c r="L992" s="2018"/>
      <c r="M992" s="477"/>
      <c r="N992" s="2019"/>
      <c r="O992" s="2021"/>
      <c r="P992" s="2018"/>
      <c r="Q992" s="477"/>
      <c r="R992" s="2019"/>
      <c r="S992" s="2021"/>
      <c r="T992" s="2018"/>
      <c r="U992" s="477"/>
      <c r="V992" s="2019"/>
      <c r="W992" s="2021"/>
      <c r="X992" s="2018"/>
      <c r="Y992" s="477"/>
      <c r="Z992" s="2019"/>
      <c r="AA992" s="2021"/>
      <c r="AB992" s="2018"/>
      <c r="AC992" s="477"/>
      <c r="AD992" s="2019"/>
      <c r="AE992" s="2021"/>
      <c r="AF992" s="2018"/>
      <c r="AG992" s="477"/>
      <c r="AH992" s="2019"/>
      <c r="AI992" s="2021"/>
      <c r="AJ992" s="2018"/>
      <c r="AK992" s="477"/>
      <c r="AL992" s="2019"/>
      <c r="AM992" s="2021"/>
      <c r="AN992" s="2018"/>
      <c r="AO992" s="477"/>
    </row>
    <row r="993" spans="1:41" ht="15">
      <c r="A993" s="475"/>
      <c r="B993" s="2019"/>
      <c r="C993" s="2021"/>
      <c r="D993" s="2018"/>
      <c r="E993" s="477"/>
      <c r="F993" s="2019"/>
      <c r="G993" s="2021"/>
      <c r="H993" s="2018"/>
      <c r="I993" s="477"/>
      <c r="J993" s="2019"/>
      <c r="K993" s="2021"/>
      <c r="L993" s="2018"/>
      <c r="M993" s="477"/>
      <c r="N993" s="2019"/>
      <c r="O993" s="2021"/>
      <c r="P993" s="2018"/>
      <c r="Q993" s="477"/>
      <c r="R993" s="2019"/>
      <c r="S993" s="2021"/>
      <c r="T993" s="2018"/>
      <c r="U993" s="477"/>
      <c r="V993" s="2019"/>
      <c r="W993" s="2021"/>
      <c r="X993" s="2018"/>
      <c r="Y993" s="477"/>
      <c r="Z993" s="2019"/>
      <c r="AA993" s="2021"/>
      <c r="AB993" s="2018"/>
      <c r="AC993" s="477"/>
      <c r="AD993" s="2019"/>
      <c r="AE993" s="2021"/>
      <c r="AF993" s="2018"/>
      <c r="AG993" s="477"/>
      <c r="AH993" s="2019"/>
      <c r="AI993" s="2021"/>
      <c r="AJ993" s="2018"/>
      <c r="AK993" s="477"/>
      <c r="AL993" s="2019"/>
      <c r="AM993" s="2021"/>
      <c r="AN993" s="2018"/>
      <c r="AO993" s="477"/>
    </row>
    <row r="994" spans="1:41" ht="15">
      <c r="A994" s="475"/>
      <c r="B994" s="2019"/>
      <c r="C994" s="2021"/>
      <c r="D994" s="2018"/>
      <c r="E994" s="477"/>
      <c r="F994" s="2019"/>
      <c r="G994" s="2021"/>
      <c r="H994" s="2018"/>
      <c r="I994" s="477"/>
      <c r="J994" s="2019"/>
      <c r="K994" s="2021"/>
      <c r="L994" s="2018"/>
      <c r="M994" s="477"/>
      <c r="N994" s="2019"/>
      <c r="O994" s="2021"/>
      <c r="P994" s="2018"/>
      <c r="Q994" s="477"/>
      <c r="R994" s="2019"/>
      <c r="S994" s="2021"/>
      <c r="T994" s="2018"/>
      <c r="U994" s="477"/>
      <c r="V994" s="2019"/>
      <c r="W994" s="2021"/>
      <c r="X994" s="2018"/>
      <c r="Y994" s="477"/>
      <c r="Z994" s="2019"/>
      <c r="AA994" s="2021"/>
      <c r="AB994" s="2018"/>
      <c r="AC994" s="477"/>
      <c r="AD994" s="2019"/>
      <c r="AE994" s="2021"/>
      <c r="AF994" s="2018"/>
      <c r="AG994" s="477"/>
      <c r="AH994" s="2019"/>
      <c r="AI994" s="2021"/>
      <c r="AJ994" s="2018"/>
      <c r="AK994" s="477"/>
      <c r="AL994" s="2019"/>
      <c r="AM994" s="2021"/>
      <c r="AN994" s="2018"/>
      <c r="AO994" s="477"/>
    </row>
    <row r="995" spans="1:41" ht="15">
      <c r="A995" s="475"/>
      <c r="B995" s="2019"/>
      <c r="C995" s="2021"/>
      <c r="D995" s="2018"/>
      <c r="E995" s="477"/>
      <c r="F995" s="2019"/>
      <c r="G995" s="2021"/>
      <c r="H995" s="2018"/>
      <c r="I995" s="477"/>
      <c r="J995" s="2019"/>
      <c r="K995" s="2021"/>
      <c r="L995" s="2018"/>
      <c r="M995" s="477"/>
      <c r="N995" s="2019"/>
      <c r="O995" s="2021"/>
      <c r="P995" s="2018"/>
      <c r="Q995" s="477"/>
      <c r="R995" s="2019"/>
      <c r="S995" s="2021"/>
      <c r="T995" s="2018"/>
      <c r="U995" s="477"/>
      <c r="V995" s="2019"/>
      <c r="W995" s="2021"/>
      <c r="X995" s="2018"/>
      <c r="Y995" s="477"/>
      <c r="Z995" s="2019"/>
      <c r="AA995" s="2021"/>
      <c r="AB995" s="2018"/>
      <c r="AC995" s="477"/>
      <c r="AD995" s="2019"/>
      <c r="AE995" s="2021"/>
      <c r="AF995" s="2018"/>
      <c r="AG995" s="477"/>
      <c r="AH995" s="2019"/>
      <c r="AI995" s="2021"/>
      <c r="AJ995" s="2018"/>
      <c r="AK995" s="477"/>
      <c r="AL995" s="2019"/>
      <c r="AM995" s="2021"/>
      <c r="AN995" s="2018"/>
      <c r="AO995" s="477"/>
    </row>
    <row r="996" spans="1:41" ht="15">
      <c r="A996" s="475"/>
      <c r="B996" s="2019"/>
      <c r="C996" s="2021"/>
      <c r="D996" s="2018"/>
      <c r="E996" s="477"/>
      <c r="F996" s="2019"/>
      <c r="G996" s="2021"/>
      <c r="H996" s="2018"/>
      <c r="I996" s="477"/>
      <c r="J996" s="2019"/>
      <c r="K996" s="2021"/>
      <c r="L996" s="2018"/>
      <c r="M996" s="477"/>
      <c r="N996" s="2019"/>
      <c r="O996" s="2021"/>
      <c r="P996" s="2018"/>
      <c r="Q996" s="477"/>
      <c r="R996" s="2019"/>
      <c r="S996" s="2021"/>
      <c r="T996" s="2018"/>
      <c r="U996" s="477"/>
      <c r="V996" s="2019"/>
      <c r="W996" s="2021"/>
      <c r="X996" s="2018"/>
      <c r="Y996" s="477"/>
      <c r="Z996" s="2019"/>
      <c r="AA996" s="2021"/>
      <c r="AB996" s="2018"/>
      <c r="AC996" s="477"/>
      <c r="AD996" s="2019"/>
      <c r="AE996" s="2021"/>
      <c r="AF996" s="2018"/>
      <c r="AG996" s="477"/>
      <c r="AH996" s="2019"/>
      <c r="AI996" s="2021"/>
      <c r="AJ996" s="2018"/>
      <c r="AK996" s="477"/>
      <c r="AL996" s="2019"/>
      <c r="AM996" s="2021"/>
      <c r="AN996" s="2018"/>
      <c r="AO996" s="477"/>
    </row>
    <row r="997" spans="1:41" ht="15">
      <c r="A997" s="475"/>
      <c r="B997" s="2019"/>
      <c r="C997" s="2021"/>
      <c r="D997" s="2018"/>
      <c r="E997" s="477"/>
      <c r="F997" s="2019"/>
      <c r="G997" s="2021"/>
      <c r="H997" s="2018"/>
      <c r="I997" s="477"/>
      <c r="J997" s="2019"/>
      <c r="K997" s="2021"/>
      <c r="L997" s="2018"/>
      <c r="M997" s="477"/>
      <c r="N997" s="2019"/>
      <c r="O997" s="2021"/>
      <c r="P997" s="2018"/>
      <c r="Q997" s="477"/>
      <c r="R997" s="2019"/>
      <c r="S997" s="2021"/>
      <c r="T997" s="2018"/>
      <c r="U997" s="477"/>
      <c r="V997" s="2019"/>
      <c r="W997" s="2021"/>
      <c r="X997" s="2018"/>
      <c r="Y997" s="477"/>
      <c r="Z997" s="2019"/>
      <c r="AA997" s="2021"/>
      <c r="AB997" s="2018"/>
      <c r="AC997" s="477"/>
      <c r="AD997" s="2019"/>
      <c r="AE997" s="2021"/>
      <c r="AF997" s="2018"/>
      <c r="AG997" s="477"/>
      <c r="AH997" s="2019"/>
      <c r="AI997" s="2021"/>
      <c r="AJ997" s="2018"/>
      <c r="AK997" s="477"/>
      <c r="AL997" s="2019"/>
      <c r="AM997" s="2021"/>
      <c r="AN997" s="2018"/>
      <c r="AO997" s="477"/>
    </row>
    <row r="998" spans="1:41" ht="15">
      <c r="A998" s="475"/>
      <c r="B998" s="2019"/>
      <c r="C998" s="2021"/>
      <c r="D998" s="2018"/>
      <c r="E998" s="477"/>
      <c r="F998" s="2019"/>
      <c r="G998" s="2021"/>
      <c r="H998" s="2018"/>
      <c r="I998" s="477"/>
      <c r="J998" s="2019"/>
      <c r="K998" s="2021"/>
      <c r="L998" s="2018"/>
      <c r="M998" s="477"/>
      <c r="N998" s="2019"/>
      <c r="O998" s="2021"/>
      <c r="P998" s="2018"/>
      <c r="Q998" s="477"/>
      <c r="R998" s="2019"/>
      <c r="S998" s="2021"/>
      <c r="T998" s="2018"/>
      <c r="U998" s="477"/>
      <c r="V998" s="2019"/>
      <c r="W998" s="2021"/>
      <c r="X998" s="2018"/>
      <c r="Y998" s="477"/>
      <c r="Z998" s="2019"/>
      <c r="AA998" s="2021"/>
      <c r="AB998" s="2018"/>
      <c r="AC998" s="477"/>
      <c r="AD998" s="2019"/>
      <c r="AE998" s="2021"/>
      <c r="AF998" s="2018"/>
      <c r="AG998" s="477"/>
      <c r="AH998" s="2019"/>
      <c r="AI998" s="2021"/>
      <c r="AJ998" s="2018"/>
      <c r="AK998" s="477"/>
      <c r="AL998" s="2019"/>
      <c r="AM998" s="2021"/>
      <c r="AN998" s="2018"/>
      <c r="AO998" s="477"/>
    </row>
    <row r="999" spans="1:41" ht="15">
      <c r="A999" s="475"/>
      <c r="B999" s="2019"/>
      <c r="C999" s="2021"/>
      <c r="D999" s="2018"/>
      <c r="E999" s="477"/>
      <c r="F999" s="2019"/>
      <c r="G999" s="2021"/>
      <c r="H999" s="2018"/>
      <c r="I999" s="477"/>
      <c r="J999" s="2019"/>
      <c r="K999" s="2021"/>
      <c r="L999" s="2018"/>
      <c r="M999" s="477"/>
      <c r="N999" s="2019"/>
      <c r="O999" s="2021"/>
      <c r="P999" s="2018"/>
      <c r="Q999" s="477"/>
      <c r="R999" s="2019"/>
      <c r="S999" s="2021"/>
      <c r="T999" s="2018"/>
      <c r="U999" s="477"/>
      <c r="V999" s="2019"/>
      <c r="W999" s="2021"/>
      <c r="X999" s="2018"/>
      <c r="Y999" s="477"/>
      <c r="Z999" s="2019"/>
      <c r="AA999" s="2021"/>
      <c r="AB999" s="2018"/>
      <c r="AC999" s="477"/>
      <c r="AD999" s="2019"/>
      <c r="AE999" s="2021"/>
      <c r="AF999" s="2018"/>
      <c r="AG999" s="477"/>
      <c r="AH999" s="2019"/>
      <c r="AI999" s="2021"/>
      <c r="AJ999" s="2018"/>
      <c r="AK999" s="477"/>
      <c r="AL999" s="2019"/>
      <c r="AM999" s="2021"/>
      <c r="AN999" s="2018"/>
      <c r="AO999" s="477"/>
    </row>
    <row r="1000" spans="1:41" ht="15">
      <c r="A1000" s="475"/>
      <c r="B1000" s="2019"/>
      <c r="C1000" s="2021"/>
      <c r="D1000" s="2018"/>
      <c r="E1000" s="477"/>
      <c r="F1000" s="2019"/>
      <c r="G1000" s="2021"/>
      <c r="H1000" s="2018"/>
      <c r="I1000" s="477"/>
      <c r="J1000" s="2019"/>
      <c r="K1000" s="2021"/>
      <c r="L1000" s="2018"/>
      <c r="M1000" s="477"/>
      <c r="N1000" s="2019"/>
      <c r="O1000" s="2021"/>
      <c r="P1000" s="2018"/>
      <c r="Q1000" s="477"/>
      <c r="R1000" s="2019"/>
      <c r="S1000" s="2021"/>
      <c r="T1000" s="2018"/>
      <c r="U1000" s="477"/>
      <c r="V1000" s="2019"/>
      <c r="W1000" s="2021"/>
      <c r="X1000" s="2018"/>
      <c r="Y1000" s="477"/>
      <c r="Z1000" s="2019"/>
      <c r="AA1000" s="2021"/>
      <c r="AB1000" s="2018"/>
      <c r="AC1000" s="477"/>
      <c r="AD1000" s="2019"/>
      <c r="AE1000" s="2021"/>
      <c r="AF1000" s="2018"/>
      <c r="AG1000" s="477"/>
      <c r="AH1000" s="2019"/>
      <c r="AI1000" s="2021"/>
      <c r="AJ1000" s="2018"/>
      <c r="AK1000" s="477"/>
      <c r="AL1000" s="2019"/>
      <c r="AM1000" s="2021"/>
      <c r="AN1000" s="2018"/>
      <c r="AO1000" s="477"/>
    </row>
    <row r="1001" spans="1:41" ht="15">
      <c r="A1001" s="475"/>
      <c r="B1001" s="2019"/>
      <c r="C1001" s="2021"/>
      <c r="D1001" s="2018"/>
      <c r="E1001" s="477"/>
      <c r="F1001" s="2019"/>
      <c r="G1001" s="2021"/>
      <c r="H1001" s="2018"/>
      <c r="I1001" s="477"/>
      <c r="J1001" s="2019"/>
      <c r="K1001" s="2021"/>
      <c r="L1001" s="2018"/>
      <c r="M1001" s="477"/>
      <c r="N1001" s="2019"/>
      <c r="O1001" s="2021"/>
      <c r="P1001" s="2018"/>
      <c r="Q1001" s="477"/>
      <c r="R1001" s="2019"/>
      <c r="S1001" s="2021"/>
      <c r="T1001" s="2018"/>
      <c r="U1001" s="477"/>
      <c r="V1001" s="2019"/>
      <c r="W1001" s="2021"/>
      <c r="X1001" s="2018"/>
      <c r="Y1001" s="477"/>
      <c r="Z1001" s="2019"/>
      <c r="AA1001" s="2021"/>
      <c r="AB1001" s="2018"/>
      <c r="AC1001" s="477"/>
      <c r="AD1001" s="2019"/>
      <c r="AE1001" s="2021"/>
      <c r="AF1001" s="2018"/>
      <c r="AG1001" s="477"/>
      <c r="AH1001" s="2019"/>
      <c r="AI1001" s="2021"/>
      <c r="AJ1001" s="2018"/>
      <c r="AK1001" s="477"/>
      <c r="AL1001" s="2019"/>
      <c r="AM1001" s="2021"/>
      <c r="AN1001" s="2018"/>
      <c r="AO1001" s="477"/>
    </row>
    <row r="1002" spans="1:41" ht="15">
      <c r="A1002" s="475"/>
      <c r="B1002" s="2019"/>
      <c r="C1002" s="2021"/>
      <c r="D1002" s="2018"/>
      <c r="E1002" s="477"/>
      <c r="F1002" s="2019"/>
      <c r="G1002" s="2021"/>
      <c r="H1002" s="2018"/>
      <c r="I1002" s="477"/>
      <c r="J1002" s="2019"/>
      <c r="K1002" s="2021"/>
      <c r="L1002" s="2018"/>
      <c r="M1002" s="477"/>
      <c r="N1002" s="2019"/>
      <c r="O1002" s="2021"/>
      <c r="P1002" s="2018"/>
      <c r="Q1002" s="477"/>
      <c r="R1002" s="2019"/>
      <c r="S1002" s="2021"/>
      <c r="T1002" s="2018"/>
      <c r="U1002" s="477"/>
      <c r="V1002" s="2019"/>
      <c r="W1002" s="2021"/>
      <c r="X1002" s="2018"/>
      <c r="Y1002" s="477"/>
      <c r="Z1002" s="2019"/>
      <c r="AA1002" s="2021"/>
      <c r="AB1002" s="2018"/>
      <c r="AC1002" s="477"/>
      <c r="AD1002" s="2019"/>
      <c r="AE1002" s="2021"/>
      <c r="AF1002" s="2018"/>
      <c r="AG1002" s="477"/>
      <c r="AH1002" s="2019"/>
      <c r="AI1002" s="2021"/>
      <c r="AJ1002" s="2018"/>
      <c r="AK1002" s="477"/>
      <c r="AL1002" s="2019"/>
      <c r="AM1002" s="2021"/>
      <c r="AN1002" s="2018"/>
      <c r="AO1002" s="477"/>
    </row>
    <row r="1003" spans="1:41" ht="15">
      <c r="A1003" s="475"/>
      <c r="B1003" s="2019"/>
      <c r="C1003" s="2021"/>
      <c r="D1003" s="2018"/>
      <c r="E1003" s="477"/>
      <c r="F1003" s="2019"/>
      <c r="G1003" s="2021"/>
      <c r="H1003" s="2018"/>
      <c r="I1003" s="477"/>
      <c r="J1003" s="2019"/>
      <c r="K1003" s="2021"/>
      <c r="L1003" s="2018"/>
      <c r="M1003" s="477"/>
      <c r="N1003" s="2019"/>
      <c r="O1003" s="2021"/>
      <c r="P1003" s="2018"/>
      <c r="Q1003" s="477"/>
      <c r="R1003" s="2019"/>
      <c r="S1003" s="2021"/>
      <c r="T1003" s="2018"/>
      <c r="U1003" s="477"/>
      <c r="V1003" s="2019"/>
      <c r="W1003" s="2021"/>
      <c r="X1003" s="2018"/>
      <c r="Y1003" s="477"/>
      <c r="Z1003" s="2019"/>
      <c r="AA1003" s="2021"/>
      <c r="AB1003" s="2018"/>
      <c r="AC1003" s="477"/>
      <c r="AD1003" s="2019"/>
      <c r="AE1003" s="2021"/>
      <c r="AF1003" s="2018"/>
      <c r="AG1003" s="477"/>
      <c r="AH1003" s="2019"/>
      <c r="AI1003" s="2021"/>
      <c r="AJ1003" s="2018"/>
      <c r="AK1003" s="477"/>
      <c r="AL1003" s="2019"/>
      <c r="AM1003" s="2021"/>
      <c r="AN1003" s="2018"/>
      <c r="AO1003" s="477"/>
    </row>
    <row r="1004" spans="1:41" ht="15">
      <c r="A1004" s="475"/>
      <c r="B1004" s="2019"/>
      <c r="C1004" s="2021"/>
      <c r="D1004" s="2018"/>
      <c r="E1004" s="477"/>
      <c r="F1004" s="2019"/>
      <c r="G1004" s="2021"/>
      <c r="H1004" s="2018"/>
      <c r="I1004" s="477"/>
      <c r="J1004" s="2019"/>
      <c r="K1004" s="2021"/>
      <c r="L1004" s="2018"/>
      <c r="M1004" s="477"/>
      <c r="N1004" s="2019"/>
      <c r="O1004" s="2021"/>
      <c r="P1004" s="2018"/>
      <c r="Q1004" s="477"/>
      <c r="R1004" s="2019"/>
      <c r="S1004" s="2021"/>
      <c r="T1004" s="2018"/>
      <c r="U1004" s="477"/>
      <c r="V1004" s="2019"/>
      <c r="W1004" s="2021"/>
      <c r="X1004" s="2018"/>
      <c r="Y1004" s="477"/>
      <c r="Z1004" s="2019"/>
      <c r="AA1004" s="2021"/>
      <c r="AB1004" s="2018"/>
      <c r="AC1004" s="477"/>
      <c r="AD1004" s="2019"/>
      <c r="AE1004" s="2021"/>
      <c r="AF1004" s="2018"/>
      <c r="AG1004" s="477"/>
      <c r="AH1004" s="2019"/>
      <c r="AI1004" s="2021"/>
      <c r="AJ1004" s="2018"/>
      <c r="AK1004" s="477"/>
      <c r="AL1004" s="2019"/>
      <c r="AM1004" s="2021"/>
      <c r="AN1004" s="2018"/>
      <c r="AO1004" s="477"/>
    </row>
    <row r="1005" spans="1:41" ht="15">
      <c r="A1005" s="475"/>
      <c r="B1005" s="2019"/>
      <c r="C1005" s="2021"/>
      <c r="D1005" s="2018"/>
      <c r="E1005" s="477"/>
      <c r="F1005" s="2019"/>
      <c r="G1005" s="2021"/>
      <c r="H1005" s="2018"/>
      <c r="I1005" s="477"/>
      <c r="J1005" s="2019"/>
      <c r="K1005" s="2021"/>
      <c r="L1005" s="2018"/>
      <c r="M1005" s="477"/>
      <c r="N1005" s="2019"/>
      <c r="O1005" s="2021"/>
      <c r="P1005" s="2018"/>
      <c r="Q1005" s="477"/>
      <c r="R1005" s="2019"/>
      <c r="S1005" s="2021"/>
      <c r="T1005" s="2018"/>
      <c r="U1005" s="477"/>
      <c r="V1005" s="2019"/>
      <c r="W1005" s="2021"/>
      <c r="X1005" s="2018"/>
      <c r="Y1005" s="477"/>
      <c r="Z1005" s="2019"/>
      <c r="AA1005" s="2021"/>
      <c r="AB1005" s="2018"/>
      <c r="AC1005" s="477"/>
      <c r="AD1005" s="2019"/>
      <c r="AE1005" s="2021"/>
      <c r="AF1005" s="2018"/>
      <c r="AG1005" s="477"/>
      <c r="AH1005" s="2019"/>
      <c r="AI1005" s="2021"/>
      <c r="AJ1005" s="2018"/>
      <c r="AK1005" s="477"/>
      <c r="AL1005" s="2019"/>
      <c r="AM1005" s="2021"/>
      <c r="AN1005" s="2018"/>
      <c r="AO1005" s="477"/>
    </row>
    <row r="1006" spans="1:41" ht="15">
      <c r="A1006" s="475"/>
      <c r="B1006" s="2019"/>
      <c r="C1006" s="2021"/>
      <c r="D1006" s="2018"/>
      <c r="E1006" s="477"/>
      <c r="F1006" s="2019"/>
      <c r="G1006" s="2021"/>
      <c r="H1006" s="2018"/>
      <c r="I1006" s="477"/>
      <c r="J1006" s="2019"/>
      <c r="K1006" s="2021"/>
      <c r="L1006" s="2018"/>
      <c r="M1006" s="477"/>
      <c r="N1006" s="2019"/>
      <c r="O1006" s="2021"/>
      <c r="P1006" s="2018"/>
      <c r="Q1006" s="477"/>
      <c r="R1006" s="2019"/>
      <c r="S1006" s="2021"/>
      <c r="T1006" s="2018"/>
      <c r="U1006" s="477"/>
      <c r="V1006" s="2019"/>
      <c r="W1006" s="2021"/>
      <c r="X1006" s="2018"/>
      <c r="Y1006" s="477"/>
      <c r="Z1006" s="2019"/>
      <c r="AA1006" s="2021"/>
      <c r="AB1006" s="2018"/>
      <c r="AC1006" s="477"/>
      <c r="AD1006" s="2019"/>
      <c r="AE1006" s="2021"/>
      <c r="AF1006" s="2018"/>
      <c r="AG1006" s="477"/>
      <c r="AH1006" s="2019"/>
      <c r="AI1006" s="2021"/>
      <c r="AJ1006" s="2018"/>
      <c r="AK1006" s="477"/>
      <c r="AL1006" s="2019"/>
      <c r="AM1006" s="2021"/>
      <c r="AN1006" s="2018"/>
      <c r="AO1006" s="477"/>
    </row>
    <row r="1007" spans="1:41" ht="15">
      <c r="A1007" s="475"/>
      <c r="B1007" s="2019"/>
      <c r="C1007" s="2021"/>
      <c r="D1007" s="2018"/>
      <c r="E1007" s="477"/>
      <c r="F1007" s="2019"/>
      <c r="G1007" s="2021"/>
      <c r="H1007" s="2018"/>
      <c r="I1007" s="477"/>
      <c r="J1007" s="2019"/>
      <c r="K1007" s="2021"/>
      <c r="L1007" s="2018"/>
      <c r="M1007" s="477"/>
      <c r="N1007" s="2019"/>
      <c r="O1007" s="2021"/>
      <c r="P1007" s="2018"/>
      <c r="Q1007" s="477"/>
      <c r="R1007" s="2019"/>
      <c r="S1007" s="2021"/>
      <c r="T1007" s="2018"/>
      <c r="U1007" s="477"/>
      <c r="V1007" s="2019"/>
      <c r="W1007" s="2021"/>
      <c r="X1007" s="2018"/>
      <c r="Y1007" s="477"/>
      <c r="Z1007" s="2019"/>
      <c r="AA1007" s="2021"/>
      <c r="AB1007" s="2018"/>
      <c r="AC1007" s="477"/>
      <c r="AD1007" s="2019"/>
      <c r="AE1007" s="2021"/>
      <c r="AF1007" s="2018"/>
      <c r="AG1007" s="477"/>
      <c r="AH1007" s="2019"/>
      <c r="AI1007" s="2021"/>
      <c r="AJ1007" s="2018"/>
      <c r="AK1007" s="477"/>
      <c r="AL1007" s="2019"/>
      <c r="AM1007" s="2021"/>
      <c r="AN1007" s="2018"/>
      <c r="AO1007" s="477"/>
    </row>
    <row r="1008" spans="1:41" ht="15">
      <c r="A1008" s="475"/>
      <c r="B1008" s="2019"/>
      <c r="C1008" s="2021"/>
      <c r="D1008" s="2018"/>
      <c r="E1008" s="477"/>
      <c r="F1008" s="2019"/>
      <c r="G1008" s="2021"/>
      <c r="H1008" s="2018"/>
      <c r="I1008" s="477"/>
      <c r="J1008" s="2019"/>
      <c r="K1008" s="2021"/>
      <c r="L1008" s="2018"/>
      <c r="M1008" s="477"/>
      <c r="N1008" s="2019"/>
      <c r="O1008" s="2021"/>
      <c r="P1008" s="2018"/>
      <c r="Q1008" s="477"/>
      <c r="R1008" s="2019"/>
      <c r="S1008" s="2021"/>
      <c r="T1008" s="2018"/>
      <c r="U1008" s="477"/>
      <c r="V1008" s="2019"/>
      <c r="W1008" s="2021"/>
      <c r="X1008" s="2018"/>
      <c r="Y1008" s="477"/>
      <c r="Z1008" s="2019"/>
      <c r="AA1008" s="2021"/>
      <c r="AB1008" s="2018"/>
      <c r="AC1008" s="477"/>
      <c r="AD1008" s="2019"/>
      <c r="AE1008" s="2021"/>
      <c r="AF1008" s="2018"/>
      <c r="AG1008" s="477"/>
      <c r="AH1008" s="2019"/>
      <c r="AI1008" s="2021"/>
      <c r="AJ1008" s="2018"/>
      <c r="AK1008" s="477"/>
      <c r="AL1008" s="2019"/>
      <c r="AM1008" s="2021"/>
      <c r="AN1008" s="2018"/>
      <c r="AO1008" s="477"/>
    </row>
    <row r="1009" spans="1:41" ht="15">
      <c r="A1009" s="475"/>
      <c r="B1009" s="2019"/>
      <c r="C1009" s="2021"/>
      <c r="D1009" s="2018"/>
      <c r="E1009" s="477"/>
      <c r="F1009" s="2019"/>
      <c r="G1009" s="2021"/>
      <c r="H1009" s="2018"/>
      <c r="I1009" s="477"/>
      <c r="J1009" s="2019"/>
      <c r="K1009" s="2021"/>
      <c r="L1009" s="2018"/>
      <c r="M1009" s="477"/>
      <c r="N1009" s="2019"/>
      <c r="O1009" s="2021"/>
      <c r="P1009" s="2018"/>
      <c r="Q1009" s="477"/>
      <c r="R1009" s="2019"/>
      <c r="S1009" s="2021"/>
      <c r="T1009" s="2018"/>
      <c r="U1009" s="477"/>
      <c r="V1009" s="2019"/>
      <c r="W1009" s="2021"/>
      <c r="X1009" s="2018"/>
      <c r="Y1009" s="477"/>
      <c r="Z1009" s="2019"/>
      <c r="AA1009" s="2021"/>
      <c r="AB1009" s="2018"/>
      <c r="AC1009" s="477"/>
      <c r="AD1009" s="2019"/>
      <c r="AE1009" s="2021"/>
      <c r="AF1009" s="2018"/>
      <c r="AG1009" s="477"/>
      <c r="AH1009" s="2019"/>
      <c r="AI1009" s="2021"/>
      <c r="AJ1009" s="2018"/>
      <c r="AK1009" s="477"/>
      <c r="AL1009" s="2019"/>
      <c r="AM1009" s="2021"/>
      <c r="AN1009" s="2018"/>
      <c r="AO1009" s="477"/>
    </row>
    <row r="1010" spans="1:41" ht="15">
      <c r="A1010" s="475"/>
      <c r="B1010" s="2019"/>
      <c r="C1010" s="2021"/>
      <c r="D1010" s="2018"/>
      <c r="E1010" s="477"/>
      <c r="F1010" s="2019"/>
      <c r="G1010" s="2021"/>
      <c r="H1010" s="2018"/>
      <c r="I1010" s="477"/>
      <c r="J1010" s="2019"/>
      <c r="K1010" s="2021"/>
      <c r="L1010" s="2018"/>
      <c r="M1010" s="477"/>
      <c r="N1010" s="2019"/>
      <c r="O1010" s="2021"/>
      <c r="P1010" s="2018"/>
      <c r="Q1010" s="477"/>
      <c r="R1010" s="2019"/>
      <c r="S1010" s="2021"/>
      <c r="T1010" s="2018"/>
      <c r="U1010" s="477"/>
      <c r="V1010" s="2019"/>
      <c r="W1010" s="2021"/>
      <c r="X1010" s="2018"/>
      <c r="Y1010" s="477"/>
      <c r="Z1010" s="2019"/>
      <c r="AA1010" s="2021"/>
      <c r="AB1010" s="2018"/>
      <c r="AC1010" s="477"/>
      <c r="AD1010" s="2019"/>
      <c r="AE1010" s="2021"/>
      <c r="AF1010" s="2018"/>
      <c r="AG1010" s="477"/>
      <c r="AH1010" s="2019"/>
      <c r="AI1010" s="2021"/>
      <c r="AJ1010" s="2018"/>
      <c r="AK1010" s="477"/>
      <c r="AL1010" s="2019"/>
      <c r="AM1010" s="2021"/>
      <c r="AN1010" s="2018"/>
      <c r="AO1010" s="477"/>
    </row>
    <row r="1011" spans="1:41" ht="15">
      <c r="A1011" s="475"/>
      <c r="B1011" s="2019"/>
      <c r="C1011" s="2021"/>
      <c r="D1011" s="2018"/>
      <c r="E1011" s="477"/>
      <c r="F1011" s="2019"/>
      <c r="G1011" s="2021"/>
      <c r="H1011" s="2018"/>
      <c r="I1011" s="477"/>
      <c r="J1011" s="2019"/>
      <c r="K1011" s="2021"/>
      <c r="L1011" s="2018"/>
      <c r="M1011" s="477"/>
      <c r="N1011" s="2019"/>
      <c r="O1011" s="2021"/>
      <c r="P1011" s="2018"/>
      <c r="Q1011" s="477"/>
      <c r="R1011" s="2019"/>
      <c r="S1011" s="2021"/>
      <c r="T1011" s="2018"/>
      <c r="U1011" s="477"/>
      <c r="V1011" s="2019"/>
      <c r="W1011" s="2021"/>
      <c r="X1011" s="2018"/>
      <c r="Y1011" s="477"/>
      <c r="Z1011" s="2019"/>
      <c r="AA1011" s="2021"/>
      <c r="AB1011" s="2018"/>
      <c r="AC1011" s="477"/>
      <c r="AD1011" s="2019"/>
      <c r="AE1011" s="2021"/>
      <c r="AF1011" s="2018"/>
      <c r="AG1011" s="477"/>
      <c r="AH1011" s="2019"/>
      <c r="AI1011" s="2021"/>
      <c r="AJ1011" s="2018"/>
      <c r="AK1011" s="477"/>
      <c r="AL1011" s="2019"/>
      <c r="AM1011" s="2021"/>
      <c r="AN1011" s="2018"/>
      <c r="AO1011" s="477"/>
    </row>
    <row r="1012" spans="1:41" ht="15">
      <c r="A1012" s="475"/>
      <c r="B1012" s="2019"/>
      <c r="C1012" s="2021"/>
      <c r="D1012" s="2018"/>
      <c r="E1012" s="477"/>
      <c r="F1012" s="2019"/>
      <c r="G1012" s="2021"/>
      <c r="H1012" s="2018"/>
      <c r="I1012" s="477"/>
      <c r="J1012" s="2019"/>
      <c r="K1012" s="2021"/>
      <c r="L1012" s="2018"/>
      <c r="M1012" s="477"/>
      <c r="N1012" s="2019"/>
      <c r="O1012" s="2021"/>
      <c r="P1012" s="2018"/>
      <c r="Q1012" s="477"/>
      <c r="R1012" s="2019"/>
      <c r="S1012" s="2021"/>
      <c r="T1012" s="2018"/>
      <c r="U1012" s="477"/>
      <c r="V1012" s="2019"/>
      <c r="W1012" s="2021"/>
      <c r="X1012" s="2018"/>
      <c r="Y1012" s="477"/>
      <c r="Z1012" s="2019"/>
      <c r="AA1012" s="2021"/>
      <c r="AB1012" s="2018"/>
      <c r="AC1012" s="477"/>
      <c r="AD1012" s="2019"/>
      <c r="AE1012" s="2021"/>
      <c r="AF1012" s="2018"/>
      <c r="AG1012" s="477"/>
      <c r="AH1012" s="2019"/>
      <c r="AI1012" s="2021"/>
      <c r="AJ1012" s="2018"/>
      <c r="AK1012" s="477"/>
      <c r="AL1012" s="2019"/>
      <c r="AM1012" s="2021"/>
      <c r="AN1012" s="2018"/>
      <c r="AO1012" s="477"/>
    </row>
    <row r="1013" spans="1:41" ht="15">
      <c r="A1013" s="475"/>
      <c r="B1013" s="2019"/>
      <c r="C1013" s="2021"/>
      <c r="D1013" s="2018"/>
      <c r="E1013" s="477"/>
      <c r="F1013" s="2019"/>
      <c r="G1013" s="2021"/>
      <c r="H1013" s="2018"/>
      <c r="I1013" s="477"/>
      <c r="J1013" s="2019"/>
      <c r="K1013" s="2021"/>
      <c r="L1013" s="2018"/>
      <c r="M1013" s="477"/>
      <c r="N1013" s="2019"/>
      <c r="O1013" s="2021"/>
      <c r="P1013" s="2018"/>
      <c r="Q1013" s="477"/>
      <c r="R1013" s="2019"/>
      <c r="S1013" s="2021"/>
      <c r="T1013" s="2018"/>
      <c r="U1013" s="477"/>
      <c r="V1013" s="2019"/>
      <c r="W1013" s="2021"/>
      <c r="X1013" s="2018"/>
      <c r="Y1013" s="477"/>
      <c r="Z1013" s="2019"/>
      <c r="AA1013" s="2021"/>
      <c r="AB1013" s="2018"/>
      <c r="AC1013" s="477"/>
      <c r="AD1013" s="2019"/>
      <c r="AE1013" s="2021"/>
      <c r="AF1013" s="2018"/>
      <c r="AG1013" s="477"/>
      <c r="AH1013" s="2019"/>
      <c r="AI1013" s="2021"/>
      <c r="AJ1013" s="2018"/>
      <c r="AK1013" s="477"/>
      <c r="AL1013" s="2019"/>
      <c r="AM1013" s="2021"/>
      <c r="AN1013" s="2018"/>
      <c r="AO1013" s="477"/>
    </row>
    <row r="1014" spans="1:41" ht="15">
      <c r="A1014" s="475"/>
      <c r="B1014" s="2019"/>
      <c r="C1014" s="2021"/>
      <c r="D1014" s="2018"/>
      <c r="E1014" s="477"/>
      <c r="F1014" s="2019"/>
      <c r="G1014" s="2021"/>
      <c r="H1014" s="2018"/>
      <c r="I1014" s="477"/>
      <c r="J1014" s="2019"/>
      <c r="K1014" s="2021"/>
      <c r="L1014" s="2018"/>
      <c r="M1014" s="477"/>
      <c r="N1014" s="2019"/>
      <c r="O1014" s="2021"/>
      <c r="P1014" s="2018"/>
      <c r="Q1014" s="477"/>
      <c r="R1014" s="2019"/>
      <c r="S1014" s="2021"/>
      <c r="T1014" s="2018"/>
      <c r="U1014" s="477"/>
      <c r="V1014" s="2019"/>
      <c r="W1014" s="2021"/>
      <c r="X1014" s="2018"/>
      <c r="Y1014" s="477"/>
      <c r="Z1014" s="2019"/>
      <c r="AA1014" s="2021"/>
      <c r="AB1014" s="2018"/>
      <c r="AC1014" s="477"/>
      <c r="AD1014" s="2019"/>
      <c r="AE1014" s="2021"/>
      <c r="AF1014" s="2018"/>
      <c r="AG1014" s="477"/>
      <c r="AH1014" s="2019"/>
      <c r="AI1014" s="2021"/>
      <c r="AJ1014" s="2018"/>
      <c r="AK1014" s="477"/>
      <c r="AL1014" s="2019"/>
      <c r="AM1014" s="2021"/>
      <c r="AN1014" s="2018"/>
      <c r="AO1014" s="477"/>
    </row>
    <row r="1015" spans="1:41" ht="15">
      <c r="A1015" s="475"/>
      <c r="B1015" s="2019"/>
      <c r="C1015" s="2021"/>
      <c r="D1015" s="2018"/>
      <c r="E1015" s="477"/>
      <c r="F1015" s="2019"/>
      <c r="G1015" s="2021"/>
      <c r="H1015" s="2018"/>
      <c r="I1015" s="477"/>
      <c r="J1015" s="2019"/>
      <c r="K1015" s="2021"/>
      <c r="L1015" s="2018"/>
      <c r="M1015" s="477"/>
      <c r="N1015" s="2019"/>
      <c r="O1015" s="2021"/>
      <c r="P1015" s="2018"/>
      <c r="Q1015" s="477"/>
      <c r="R1015" s="2019"/>
      <c r="S1015" s="2021"/>
      <c r="T1015" s="2018"/>
      <c r="U1015" s="477"/>
      <c r="V1015" s="2019"/>
      <c r="W1015" s="2021"/>
      <c r="X1015" s="2018"/>
      <c r="Y1015" s="477"/>
      <c r="Z1015" s="2019"/>
      <c r="AA1015" s="2021"/>
      <c r="AB1015" s="2018"/>
      <c r="AC1015" s="477"/>
      <c r="AD1015" s="2019"/>
      <c r="AE1015" s="2021"/>
      <c r="AF1015" s="2018"/>
      <c r="AG1015" s="477"/>
      <c r="AH1015" s="2019"/>
      <c r="AI1015" s="2021"/>
      <c r="AJ1015" s="2018"/>
      <c r="AK1015" s="477"/>
      <c r="AL1015" s="2019"/>
      <c r="AM1015" s="2021"/>
      <c r="AN1015" s="2018"/>
      <c r="AO1015" s="477"/>
    </row>
    <row r="1016" spans="1:41" ht="15">
      <c r="A1016" s="475"/>
      <c r="B1016" s="2019"/>
      <c r="C1016" s="2021"/>
      <c r="D1016" s="2018"/>
      <c r="E1016" s="477"/>
      <c r="F1016" s="2019"/>
      <c r="G1016" s="2021"/>
      <c r="H1016" s="2018"/>
      <c r="I1016" s="477"/>
      <c r="J1016" s="2019"/>
      <c r="K1016" s="2021"/>
      <c r="L1016" s="2018"/>
      <c r="M1016" s="477"/>
      <c r="N1016" s="2019"/>
      <c r="O1016" s="2021"/>
      <c r="P1016" s="2018"/>
      <c r="Q1016" s="477"/>
      <c r="R1016" s="2019"/>
      <c r="S1016" s="2021"/>
      <c r="T1016" s="2018"/>
      <c r="U1016" s="477"/>
      <c r="V1016" s="2019"/>
      <c r="W1016" s="2021"/>
      <c r="X1016" s="2018"/>
      <c r="Y1016" s="477"/>
      <c r="Z1016" s="2019"/>
      <c r="AA1016" s="2021"/>
      <c r="AB1016" s="2018"/>
      <c r="AC1016" s="477"/>
      <c r="AD1016" s="2019"/>
      <c r="AE1016" s="2021"/>
      <c r="AF1016" s="2018"/>
      <c r="AG1016" s="477"/>
      <c r="AH1016" s="2019"/>
      <c r="AI1016" s="2021"/>
      <c r="AJ1016" s="2018"/>
      <c r="AK1016" s="477"/>
      <c r="AL1016" s="2019"/>
      <c r="AM1016" s="2021"/>
      <c r="AN1016" s="2018"/>
      <c r="AO1016" s="477"/>
    </row>
    <row r="1017" spans="1:41" ht="15">
      <c r="A1017" s="475"/>
      <c r="B1017" s="2019"/>
      <c r="C1017" s="2021"/>
      <c r="D1017" s="2018"/>
      <c r="E1017" s="477"/>
      <c r="F1017" s="2019"/>
      <c r="G1017" s="2021"/>
      <c r="H1017" s="2018"/>
      <c r="I1017" s="477"/>
      <c r="J1017" s="2019"/>
      <c r="K1017" s="2021"/>
      <c r="L1017" s="2018"/>
      <c r="M1017" s="477"/>
      <c r="N1017" s="2019"/>
      <c r="O1017" s="2021"/>
      <c r="P1017" s="2018"/>
      <c r="Q1017" s="477"/>
      <c r="R1017" s="2019"/>
      <c r="S1017" s="2021"/>
      <c r="T1017" s="2018"/>
      <c r="U1017" s="477"/>
      <c r="V1017" s="2019"/>
      <c r="W1017" s="2021"/>
      <c r="X1017" s="2018"/>
      <c r="Y1017" s="477"/>
      <c r="Z1017" s="2019"/>
      <c r="AA1017" s="2021"/>
      <c r="AB1017" s="2018"/>
      <c r="AC1017" s="477"/>
      <c r="AD1017" s="2019"/>
      <c r="AE1017" s="2021"/>
      <c r="AF1017" s="2018"/>
      <c r="AG1017" s="477"/>
      <c r="AH1017" s="2019"/>
      <c r="AI1017" s="2021"/>
      <c r="AJ1017" s="2018"/>
      <c r="AK1017" s="477"/>
      <c r="AL1017" s="2019"/>
      <c r="AM1017" s="2021"/>
      <c r="AN1017" s="2018"/>
      <c r="AO1017" s="477"/>
    </row>
    <row r="1018" spans="1:41" ht="15">
      <c r="A1018" s="475"/>
      <c r="B1018" s="2019"/>
      <c r="C1018" s="2021"/>
      <c r="D1018" s="2018"/>
      <c r="E1018" s="477"/>
      <c r="F1018" s="2019"/>
      <c r="G1018" s="2021"/>
      <c r="H1018" s="2018"/>
      <c r="I1018" s="477"/>
      <c r="J1018" s="2019"/>
      <c r="K1018" s="2021"/>
      <c r="L1018" s="2018"/>
      <c r="M1018" s="477"/>
      <c r="N1018" s="2019"/>
      <c r="O1018" s="2021"/>
      <c r="P1018" s="2018"/>
      <c r="Q1018" s="477"/>
      <c r="R1018" s="2019"/>
      <c r="S1018" s="2021"/>
      <c r="T1018" s="2018"/>
      <c r="U1018" s="477"/>
      <c r="V1018" s="2019"/>
      <c r="W1018" s="2021"/>
      <c r="X1018" s="2018"/>
      <c r="Y1018" s="477"/>
      <c r="Z1018" s="2019"/>
      <c r="AA1018" s="2021"/>
      <c r="AB1018" s="2018"/>
      <c r="AC1018" s="477"/>
      <c r="AD1018" s="2019"/>
      <c r="AE1018" s="2021"/>
      <c r="AF1018" s="2018"/>
      <c r="AG1018" s="477"/>
      <c r="AH1018" s="2019"/>
      <c r="AI1018" s="2021"/>
      <c r="AJ1018" s="2018"/>
      <c r="AK1018" s="477"/>
      <c r="AL1018" s="2019"/>
      <c r="AM1018" s="2021"/>
      <c r="AN1018" s="2018"/>
      <c r="AO1018" s="477"/>
    </row>
    <row r="1019" spans="1:41" ht="15">
      <c r="A1019" s="475"/>
      <c r="B1019" s="2019"/>
      <c r="C1019" s="2021"/>
      <c r="D1019" s="2018"/>
      <c r="E1019" s="477"/>
      <c r="F1019" s="2019"/>
      <c r="G1019" s="2021"/>
      <c r="H1019" s="2018"/>
      <c r="I1019" s="477"/>
      <c r="J1019" s="2019"/>
      <c r="K1019" s="2021"/>
      <c r="L1019" s="2018"/>
      <c r="M1019" s="477"/>
      <c r="N1019" s="2019"/>
      <c r="O1019" s="2021"/>
      <c r="P1019" s="2018"/>
      <c r="Q1019" s="477"/>
      <c r="R1019" s="2019"/>
      <c r="S1019" s="2021"/>
      <c r="T1019" s="2018"/>
      <c r="U1019" s="477"/>
      <c r="V1019" s="2019"/>
      <c r="W1019" s="2021"/>
      <c r="X1019" s="2018"/>
      <c r="Y1019" s="477"/>
      <c r="Z1019" s="2019"/>
      <c r="AA1019" s="2021"/>
      <c r="AB1019" s="2018"/>
      <c r="AC1019" s="477"/>
      <c r="AD1019" s="2019"/>
      <c r="AE1019" s="2021"/>
      <c r="AF1019" s="2018"/>
      <c r="AG1019" s="477"/>
      <c r="AH1019" s="2019"/>
      <c r="AI1019" s="2021"/>
      <c r="AJ1019" s="2018"/>
      <c r="AK1019" s="477"/>
      <c r="AL1019" s="2019"/>
      <c r="AM1019" s="2021"/>
      <c r="AN1019" s="2018"/>
      <c r="AO1019" s="477"/>
    </row>
    <row r="1020" spans="1:41" ht="15">
      <c r="A1020" s="475"/>
      <c r="B1020" s="2019"/>
      <c r="C1020" s="2021"/>
      <c r="D1020" s="2018"/>
      <c r="E1020" s="477"/>
      <c r="F1020" s="2019"/>
      <c r="G1020" s="2021"/>
      <c r="H1020" s="2018"/>
      <c r="I1020" s="477"/>
      <c r="J1020" s="2019"/>
      <c r="K1020" s="2021"/>
      <c r="L1020" s="2018"/>
      <c r="M1020" s="477"/>
      <c r="N1020" s="2019"/>
      <c r="O1020" s="2021"/>
      <c r="P1020" s="2018"/>
      <c r="Q1020" s="477"/>
      <c r="R1020" s="2019"/>
      <c r="S1020" s="2021"/>
      <c r="T1020" s="2018"/>
      <c r="U1020" s="477"/>
      <c r="V1020" s="2019"/>
      <c r="W1020" s="2021"/>
      <c r="X1020" s="2018"/>
      <c r="Y1020" s="477"/>
      <c r="Z1020" s="2019"/>
      <c r="AA1020" s="2021"/>
      <c r="AB1020" s="2018"/>
      <c r="AC1020" s="477"/>
      <c r="AD1020" s="2019"/>
      <c r="AE1020" s="2021"/>
      <c r="AF1020" s="2018"/>
      <c r="AG1020" s="477"/>
      <c r="AH1020" s="2019"/>
      <c r="AI1020" s="2021"/>
      <c r="AJ1020" s="2018"/>
      <c r="AK1020" s="477"/>
      <c r="AL1020" s="2019"/>
      <c r="AM1020" s="2021"/>
      <c r="AN1020" s="2018"/>
      <c r="AO1020" s="477"/>
    </row>
    <row r="1021" spans="1:41" ht="15">
      <c r="A1021" s="475"/>
      <c r="B1021" s="2019"/>
      <c r="C1021" s="2021"/>
      <c r="D1021" s="2018"/>
      <c r="E1021" s="477"/>
      <c r="F1021" s="2019"/>
      <c r="G1021" s="2021"/>
      <c r="H1021" s="2018"/>
      <c r="I1021" s="477"/>
      <c r="J1021" s="2019"/>
      <c r="K1021" s="2021"/>
      <c r="L1021" s="2018"/>
      <c r="M1021" s="477"/>
      <c r="N1021" s="2019"/>
      <c r="O1021" s="2021"/>
      <c r="P1021" s="2018"/>
      <c r="Q1021" s="477"/>
      <c r="R1021" s="2019"/>
      <c r="S1021" s="2021"/>
      <c r="T1021" s="2018"/>
      <c r="U1021" s="477"/>
      <c r="V1021" s="2019"/>
      <c r="W1021" s="2021"/>
      <c r="X1021" s="2018"/>
      <c r="Y1021" s="477"/>
      <c r="Z1021" s="2019"/>
      <c r="AA1021" s="2021"/>
      <c r="AB1021" s="2018"/>
      <c r="AC1021" s="477"/>
      <c r="AD1021" s="2019"/>
      <c r="AE1021" s="2021"/>
      <c r="AF1021" s="2018"/>
      <c r="AG1021" s="477"/>
      <c r="AH1021" s="2019"/>
      <c r="AI1021" s="2021"/>
      <c r="AJ1021" s="2018"/>
      <c r="AK1021" s="477"/>
      <c r="AL1021" s="2019"/>
      <c r="AM1021" s="2021"/>
      <c r="AN1021" s="2018"/>
      <c r="AO1021" s="477"/>
    </row>
    <row r="1022" spans="1:41" ht="15">
      <c r="A1022" s="475"/>
      <c r="B1022" s="2019"/>
      <c r="C1022" s="2021"/>
      <c r="D1022" s="2018"/>
      <c r="E1022" s="477"/>
      <c r="F1022" s="2019"/>
      <c r="G1022" s="2021"/>
      <c r="H1022" s="2018"/>
      <c r="I1022" s="477"/>
      <c r="J1022" s="2019"/>
      <c r="K1022" s="2021"/>
      <c r="L1022" s="2018"/>
      <c r="M1022" s="477"/>
      <c r="N1022" s="2019"/>
      <c r="O1022" s="2021"/>
      <c r="P1022" s="2018"/>
      <c r="Q1022" s="477"/>
      <c r="R1022" s="2019"/>
      <c r="S1022" s="2021"/>
      <c r="T1022" s="2018"/>
      <c r="U1022" s="477"/>
      <c r="V1022" s="2019"/>
      <c r="W1022" s="2021"/>
      <c r="X1022" s="2018"/>
      <c r="Y1022" s="477"/>
      <c r="Z1022" s="2019"/>
      <c r="AA1022" s="2021"/>
      <c r="AB1022" s="2018"/>
      <c r="AC1022" s="477"/>
      <c r="AD1022" s="2019"/>
      <c r="AE1022" s="2021"/>
      <c r="AF1022" s="2018"/>
      <c r="AG1022" s="477"/>
      <c r="AH1022" s="2019"/>
      <c r="AI1022" s="2021"/>
      <c r="AJ1022" s="2018"/>
      <c r="AK1022" s="477"/>
      <c r="AL1022" s="2019"/>
      <c r="AM1022" s="2021"/>
      <c r="AN1022" s="2018"/>
      <c r="AO1022" s="477"/>
    </row>
    <row r="1023" spans="1:41" ht="15">
      <c r="A1023" s="475"/>
      <c r="B1023" s="2019"/>
      <c r="C1023" s="2021"/>
      <c r="D1023" s="2018"/>
      <c r="E1023" s="477"/>
      <c r="F1023" s="2019"/>
      <c r="G1023" s="2021"/>
      <c r="H1023" s="2018"/>
      <c r="I1023" s="477"/>
      <c r="J1023" s="2019"/>
      <c r="K1023" s="2021"/>
      <c r="L1023" s="2018"/>
      <c r="M1023" s="477"/>
      <c r="N1023" s="2019"/>
      <c r="O1023" s="2021"/>
      <c r="P1023" s="2018"/>
      <c r="Q1023" s="477"/>
      <c r="R1023" s="2019"/>
      <c r="S1023" s="2021"/>
      <c r="T1023" s="2018"/>
      <c r="U1023" s="477"/>
      <c r="V1023" s="2019"/>
      <c r="W1023" s="2021"/>
      <c r="X1023" s="2018"/>
      <c r="Y1023" s="477"/>
      <c r="Z1023" s="2019"/>
      <c r="AA1023" s="2021"/>
      <c r="AB1023" s="2018"/>
      <c r="AC1023" s="477"/>
      <c r="AD1023" s="2019"/>
      <c r="AE1023" s="2021"/>
      <c r="AF1023" s="2018"/>
      <c r="AG1023" s="477"/>
      <c r="AH1023" s="2019"/>
      <c r="AI1023" s="2021"/>
      <c r="AJ1023" s="2018"/>
      <c r="AK1023" s="477"/>
      <c r="AL1023" s="2019"/>
      <c r="AM1023" s="2021"/>
      <c r="AN1023" s="2018"/>
      <c r="AO1023" s="477"/>
    </row>
    <row r="1024" spans="1:41" ht="15">
      <c r="A1024" s="475"/>
      <c r="B1024" s="2019"/>
      <c r="C1024" s="2021"/>
      <c r="D1024" s="2018"/>
      <c r="E1024" s="477"/>
      <c r="F1024" s="2019"/>
      <c r="G1024" s="2021"/>
      <c r="H1024" s="2018"/>
      <c r="I1024" s="477"/>
      <c r="J1024" s="2019"/>
      <c r="K1024" s="2021"/>
      <c r="L1024" s="2018"/>
      <c r="M1024" s="477"/>
      <c r="N1024" s="2019"/>
      <c r="O1024" s="2021"/>
      <c r="P1024" s="2018"/>
      <c r="Q1024" s="477"/>
      <c r="R1024" s="2019"/>
      <c r="S1024" s="2021"/>
      <c r="T1024" s="2018"/>
      <c r="U1024" s="477"/>
      <c r="V1024" s="2019"/>
      <c r="W1024" s="2021"/>
      <c r="X1024" s="2018"/>
      <c r="Y1024" s="477"/>
      <c r="Z1024" s="2019"/>
      <c r="AA1024" s="2021"/>
      <c r="AB1024" s="2018"/>
      <c r="AC1024" s="477"/>
      <c r="AD1024" s="2019"/>
      <c r="AE1024" s="2021"/>
      <c r="AF1024" s="2018"/>
      <c r="AG1024" s="477"/>
      <c r="AH1024" s="2019"/>
      <c r="AI1024" s="2021"/>
      <c r="AJ1024" s="2018"/>
      <c r="AK1024" s="477"/>
      <c r="AL1024" s="2019"/>
      <c r="AM1024" s="2021"/>
      <c r="AN1024" s="2018"/>
      <c r="AO1024" s="477"/>
    </row>
    <row r="1025" spans="1:41" ht="15">
      <c r="A1025" s="475"/>
      <c r="B1025" s="2019"/>
      <c r="C1025" s="2021"/>
      <c r="D1025" s="2018"/>
      <c r="E1025" s="477"/>
      <c r="F1025" s="2019"/>
      <c r="G1025" s="2021"/>
      <c r="H1025" s="2018"/>
      <c r="I1025" s="477"/>
      <c r="J1025" s="2019"/>
      <c r="K1025" s="2021"/>
      <c r="L1025" s="2018"/>
      <c r="M1025" s="477"/>
      <c r="N1025" s="2019"/>
      <c r="O1025" s="2021"/>
      <c r="P1025" s="2018"/>
      <c r="Q1025" s="477"/>
      <c r="R1025" s="2019"/>
      <c r="S1025" s="2021"/>
      <c r="T1025" s="2018"/>
      <c r="U1025" s="477"/>
      <c r="V1025" s="2019"/>
      <c r="W1025" s="2021"/>
      <c r="X1025" s="2018"/>
      <c r="Y1025" s="477"/>
      <c r="Z1025" s="2019"/>
      <c r="AA1025" s="2021"/>
      <c r="AB1025" s="2018"/>
      <c r="AC1025" s="477"/>
      <c r="AD1025" s="2019"/>
      <c r="AE1025" s="2021"/>
      <c r="AF1025" s="2018"/>
      <c r="AG1025" s="477"/>
      <c r="AH1025" s="2019"/>
      <c r="AI1025" s="2021"/>
      <c r="AJ1025" s="2018"/>
      <c r="AK1025" s="477"/>
      <c r="AL1025" s="2019"/>
      <c r="AM1025" s="2021"/>
      <c r="AN1025" s="2018"/>
      <c r="AO1025" s="477"/>
    </row>
    <row r="1026" spans="1:41" ht="15">
      <c r="A1026" s="475"/>
      <c r="B1026" s="2019"/>
      <c r="C1026" s="2021"/>
      <c r="D1026" s="2018"/>
      <c r="E1026" s="477"/>
      <c r="F1026" s="2019"/>
      <c r="G1026" s="2021"/>
      <c r="H1026" s="2018"/>
      <c r="I1026" s="477"/>
      <c r="J1026" s="2019"/>
      <c r="K1026" s="2021"/>
      <c r="L1026" s="2018"/>
      <c r="M1026" s="477"/>
      <c r="N1026" s="2019"/>
      <c r="O1026" s="2021"/>
      <c r="P1026" s="2018"/>
      <c r="Q1026" s="477"/>
      <c r="R1026" s="2019"/>
      <c r="S1026" s="2021"/>
      <c r="T1026" s="2018"/>
      <c r="U1026" s="477"/>
      <c r="V1026" s="2019"/>
      <c r="W1026" s="2021"/>
      <c r="X1026" s="2018"/>
      <c r="Y1026" s="477"/>
      <c r="Z1026" s="2019"/>
      <c r="AA1026" s="2021"/>
      <c r="AB1026" s="2018"/>
      <c r="AC1026" s="477"/>
      <c r="AD1026" s="2019"/>
      <c r="AE1026" s="2021"/>
      <c r="AF1026" s="2018"/>
      <c r="AG1026" s="477"/>
      <c r="AH1026" s="2019"/>
      <c r="AI1026" s="2021"/>
      <c r="AJ1026" s="2018"/>
      <c r="AK1026" s="477"/>
      <c r="AL1026" s="2019"/>
      <c r="AM1026" s="2021"/>
      <c r="AN1026" s="2018"/>
      <c r="AO1026" s="477"/>
    </row>
    <row r="1027" spans="1:41" ht="15">
      <c r="A1027" s="475"/>
      <c r="B1027" s="2019"/>
      <c r="C1027" s="2021"/>
      <c r="D1027" s="2018"/>
      <c r="E1027" s="477"/>
      <c r="F1027" s="2019"/>
      <c r="G1027" s="2021"/>
      <c r="H1027" s="2018"/>
      <c r="I1027" s="477"/>
      <c r="J1027" s="2019"/>
      <c r="K1027" s="2021"/>
      <c r="L1027" s="2018"/>
      <c r="M1027" s="477"/>
      <c r="N1027" s="2019"/>
      <c r="O1027" s="2021"/>
      <c r="P1027" s="2018"/>
      <c r="Q1027" s="477"/>
      <c r="R1027" s="2019"/>
      <c r="S1027" s="2021"/>
      <c r="T1027" s="2018"/>
      <c r="U1027" s="477"/>
      <c r="V1027" s="2019"/>
      <c r="W1027" s="2021"/>
      <c r="X1027" s="2018"/>
      <c r="Y1027" s="477"/>
      <c r="Z1027" s="2019"/>
      <c r="AA1027" s="2021"/>
      <c r="AB1027" s="2018"/>
      <c r="AC1027" s="477"/>
      <c r="AD1027" s="2019"/>
      <c r="AE1027" s="2021"/>
      <c r="AF1027" s="2018"/>
      <c r="AG1027" s="477"/>
      <c r="AH1027" s="2019"/>
      <c r="AI1027" s="2021"/>
      <c r="AJ1027" s="2018"/>
      <c r="AK1027" s="477"/>
      <c r="AL1027" s="2019"/>
      <c r="AM1027" s="2021"/>
      <c r="AN1027" s="2018"/>
      <c r="AO1027" s="477"/>
    </row>
    <row r="1028" spans="1:41" ht="15">
      <c r="A1028" s="475"/>
      <c r="B1028" s="2019"/>
      <c r="C1028" s="2021"/>
      <c r="D1028" s="2018"/>
      <c r="E1028" s="477"/>
      <c r="F1028" s="2019"/>
      <c r="G1028" s="2021"/>
      <c r="H1028" s="2018"/>
      <c r="I1028" s="477"/>
      <c r="J1028" s="2019"/>
      <c r="K1028" s="2021"/>
      <c r="L1028" s="2018"/>
      <c r="M1028" s="477"/>
      <c r="N1028" s="2019"/>
      <c r="O1028" s="2021"/>
      <c r="P1028" s="2018"/>
      <c r="Q1028" s="477"/>
      <c r="R1028" s="2019"/>
      <c r="S1028" s="2021"/>
      <c r="T1028" s="2018"/>
      <c r="U1028" s="477"/>
      <c r="V1028" s="2019"/>
      <c r="W1028" s="2021"/>
      <c r="X1028" s="2018"/>
      <c r="Y1028" s="477"/>
      <c r="Z1028" s="2019"/>
      <c r="AA1028" s="2021"/>
      <c r="AB1028" s="2018"/>
      <c r="AC1028" s="477"/>
      <c r="AD1028" s="2019"/>
      <c r="AE1028" s="2021"/>
      <c r="AF1028" s="2018"/>
      <c r="AG1028" s="477"/>
      <c r="AH1028" s="2019"/>
      <c r="AI1028" s="2021"/>
      <c r="AJ1028" s="2018"/>
      <c r="AK1028" s="477"/>
      <c r="AL1028" s="2019"/>
      <c r="AM1028" s="2021"/>
      <c r="AN1028" s="2018"/>
      <c r="AO1028" s="477"/>
    </row>
    <row r="1029" spans="1:41" ht="15">
      <c r="A1029" s="475"/>
      <c r="B1029" s="2019"/>
      <c r="C1029" s="2021"/>
      <c r="D1029" s="2018"/>
      <c r="E1029" s="477"/>
      <c r="F1029" s="2019"/>
      <c r="G1029" s="2021"/>
      <c r="H1029" s="2018"/>
      <c r="I1029" s="477"/>
      <c r="J1029" s="2019"/>
      <c r="K1029" s="2021"/>
      <c r="L1029" s="2018"/>
      <c r="M1029" s="477"/>
      <c r="N1029" s="2019"/>
      <c r="O1029" s="2021"/>
      <c r="P1029" s="2018"/>
      <c r="Q1029" s="477"/>
      <c r="R1029" s="2019"/>
      <c r="S1029" s="2021"/>
      <c r="T1029" s="2018"/>
      <c r="U1029" s="477"/>
      <c r="V1029" s="2019"/>
      <c r="W1029" s="2021"/>
      <c r="X1029" s="2018"/>
      <c r="Y1029" s="477"/>
      <c r="Z1029" s="2019"/>
      <c r="AA1029" s="2021"/>
      <c r="AB1029" s="2018"/>
      <c r="AC1029" s="477"/>
      <c r="AD1029" s="2019"/>
      <c r="AE1029" s="2021"/>
      <c r="AF1029" s="2018"/>
      <c r="AG1029" s="477"/>
      <c r="AH1029" s="2019"/>
      <c r="AI1029" s="2021"/>
      <c r="AJ1029" s="2018"/>
      <c r="AK1029" s="477"/>
      <c r="AL1029" s="2019"/>
      <c r="AM1029" s="2021"/>
      <c r="AN1029" s="2018"/>
      <c r="AO1029" s="477"/>
    </row>
    <row r="1030" spans="1:41" ht="15">
      <c r="A1030" s="475"/>
      <c r="B1030" s="2019"/>
      <c r="C1030" s="2021"/>
      <c r="D1030" s="2018"/>
      <c r="E1030" s="477"/>
      <c r="F1030" s="2019"/>
      <c r="G1030" s="2021"/>
      <c r="H1030" s="2018"/>
      <c r="I1030" s="477"/>
      <c r="J1030" s="2019"/>
      <c r="K1030" s="2021"/>
      <c r="L1030" s="2018"/>
      <c r="M1030" s="477"/>
      <c r="N1030" s="2019"/>
      <c r="O1030" s="2021"/>
      <c r="P1030" s="2018"/>
      <c r="Q1030" s="477"/>
      <c r="R1030" s="2019"/>
      <c r="S1030" s="2021"/>
      <c r="T1030" s="2018"/>
      <c r="U1030" s="477"/>
      <c r="V1030" s="2019"/>
      <c r="W1030" s="2021"/>
      <c r="X1030" s="2018"/>
      <c r="Y1030" s="477"/>
      <c r="Z1030" s="2019"/>
      <c r="AA1030" s="2021"/>
      <c r="AB1030" s="2018"/>
      <c r="AC1030" s="477"/>
      <c r="AD1030" s="2019"/>
      <c r="AE1030" s="2021"/>
      <c r="AF1030" s="2018"/>
      <c r="AG1030" s="477"/>
      <c r="AH1030" s="2019"/>
      <c r="AI1030" s="2021"/>
      <c r="AJ1030" s="2018"/>
      <c r="AK1030" s="477"/>
      <c r="AL1030" s="2019"/>
      <c r="AM1030" s="2021"/>
      <c r="AN1030" s="2018"/>
      <c r="AO1030" s="477"/>
    </row>
    <row r="1031" spans="1:41" ht="15">
      <c r="A1031" s="475"/>
      <c r="B1031" s="2019"/>
      <c r="C1031" s="2021"/>
      <c r="D1031" s="2018"/>
      <c r="E1031" s="477"/>
      <c r="F1031" s="2019"/>
      <c r="G1031" s="2021"/>
      <c r="H1031" s="2018"/>
      <c r="I1031" s="477"/>
      <c r="J1031" s="2019"/>
      <c r="K1031" s="2021"/>
      <c r="L1031" s="2018"/>
      <c r="M1031" s="477"/>
      <c r="N1031" s="2019"/>
      <c r="O1031" s="2021"/>
      <c r="P1031" s="2018"/>
      <c r="Q1031" s="477"/>
      <c r="R1031" s="2019"/>
      <c r="S1031" s="2021"/>
      <c r="T1031" s="2018"/>
      <c r="U1031" s="477"/>
      <c r="V1031" s="2019"/>
      <c r="W1031" s="2021"/>
      <c r="X1031" s="2018"/>
      <c r="Y1031" s="477"/>
      <c r="Z1031" s="2019"/>
      <c r="AA1031" s="2021"/>
      <c r="AB1031" s="2018"/>
      <c r="AC1031" s="477"/>
      <c r="AD1031" s="2019"/>
      <c r="AE1031" s="2021"/>
      <c r="AF1031" s="2018"/>
      <c r="AG1031" s="477"/>
      <c r="AH1031" s="2019"/>
      <c r="AI1031" s="2021"/>
      <c r="AJ1031" s="2018"/>
      <c r="AK1031" s="477"/>
      <c r="AL1031" s="2019"/>
      <c r="AM1031" s="2021"/>
      <c r="AN1031" s="2018"/>
      <c r="AO1031" s="477"/>
    </row>
    <row r="1032" spans="1:41" ht="15">
      <c r="A1032" s="475"/>
      <c r="B1032" s="2019"/>
      <c r="C1032" s="2021"/>
      <c r="D1032" s="2018"/>
      <c r="E1032" s="477"/>
      <c r="F1032" s="2019"/>
      <c r="G1032" s="2021"/>
      <c r="H1032" s="2018"/>
      <c r="I1032" s="477"/>
      <c r="J1032" s="2019"/>
      <c r="K1032" s="2021"/>
      <c r="L1032" s="2018"/>
      <c r="M1032" s="477"/>
      <c r="N1032" s="2019"/>
      <c r="O1032" s="2021"/>
      <c r="P1032" s="2018"/>
      <c r="Q1032" s="477"/>
      <c r="R1032" s="2019"/>
      <c r="S1032" s="2021"/>
      <c r="T1032" s="2018"/>
      <c r="U1032" s="477"/>
      <c r="V1032" s="2019"/>
      <c r="W1032" s="2021"/>
      <c r="X1032" s="2018"/>
      <c r="Y1032" s="477"/>
      <c r="Z1032" s="2019"/>
      <c r="AA1032" s="2021"/>
      <c r="AB1032" s="2018"/>
      <c r="AC1032" s="477"/>
      <c r="AD1032" s="2019"/>
      <c r="AE1032" s="2021"/>
      <c r="AF1032" s="2018"/>
      <c r="AG1032" s="477"/>
      <c r="AH1032" s="2019"/>
      <c r="AI1032" s="2021"/>
      <c r="AJ1032" s="2018"/>
      <c r="AK1032" s="477"/>
      <c r="AL1032" s="2019"/>
      <c r="AM1032" s="2021"/>
      <c r="AN1032" s="2018"/>
      <c r="AO1032" s="477"/>
    </row>
    <row r="1033" spans="1:41" ht="15">
      <c r="A1033" s="475"/>
      <c r="B1033" s="2019"/>
      <c r="C1033" s="2021"/>
      <c r="D1033" s="2018"/>
      <c r="E1033" s="477"/>
      <c r="F1033" s="2019"/>
      <c r="G1033" s="2021"/>
      <c r="H1033" s="2018"/>
      <c r="I1033" s="477"/>
      <c r="J1033" s="2019"/>
      <c r="K1033" s="2021"/>
      <c r="L1033" s="2018"/>
      <c r="M1033" s="477"/>
      <c r="N1033" s="2019"/>
      <c r="O1033" s="2021"/>
      <c r="P1033" s="2018"/>
      <c r="Q1033" s="477"/>
      <c r="R1033" s="2019"/>
      <c r="S1033" s="2021"/>
      <c r="T1033" s="2018"/>
      <c r="U1033" s="477"/>
      <c r="V1033" s="2019"/>
      <c r="W1033" s="2021"/>
      <c r="X1033" s="2018"/>
      <c r="Y1033" s="477"/>
      <c r="Z1033" s="2019"/>
      <c r="AA1033" s="2021"/>
      <c r="AB1033" s="2018"/>
      <c r="AC1033" s="477"/>
      <c r="AD1033" s="2019"/>
      <c r="AE1033" s="2021"/>
      <c r="AF1033" s="2018"/>
      <c r="AG1033" s="477"/>
      <c r="AH1033" s="2019"/>
      <c r="AI1033" s="2021"/>
      <c r="AJ1033" s="2018"/>
      <c r="AK1033" s="477"/>
      <c r="AL1033" s="2019"/>
      <c r="AM1033" s="2021"/>
      <c r="AN1033" s="2018"/>
      <c r="AO1033" s="477"/>
    </row>
    <row r="1034" spans="1:41" ht="15">
      <c r="A1034" s="475"/>
      <c r="B1034" s="2019"/>
      <c r="C1034" s="2021"/>
      <c r="D1034" s="2018"/>
      <c r="E1034" s="477"/>
      <c r="F1034" s="2019"/>
      <c r="G1034" s="2021"/>
      <c r="H1034" s="2018"/>
      <c r="I1034" s="477"/>
      <c r="J1034" s="2019"/>
      <c r="K1034" s="2021"/>
      <c r="L1034" s="2018"/>
      <c r="M1034" s="477"/>
      <c r="N1034" s="2019"/>
      <c r="O1034" s="2021"/>
      <c r="P1034" s="2018"/>
      <c r="Q1034" s="477"/>
      <c r="R1034" s="2019"/>
      <c r="S1034" s="2021"/>
      <c r="T1034" s="2018"/>
      <c r="U1034" s="477"/>
      <c r="V1034" s="2019"/>
      <c r="W1034" s="2021"/>
      <c r="X1034" s="2018"/>
      <c r="Y1034" s="477"/>
      <c r="Z1034" s="2019"/>
      <c r="AA1034" s="2021"/>
      <c r="AB1034" s="2018"/>
      <c r="AC1034" s="477"/>
      <c r="AD1034" s="2019"/>
      <c r="AE1034" s="2021"/>
      <c r="AF1034" s="2018"/>
      <c r="AG1034" s="477"/>
      <c r="AH1034" s="2019"/>
      <c r="AI1034" s="2021"/>
      <c r="AJ1034" s="2018"/>
      <c r="AK1034" s="477"/>
      <c r="AL1034" s="2019"/>
      <c r="AM1034" s="2021"/>
      <c r="AN1034" s="2018"/>
      <c r="AO1034" s="477"/>
    </row>
    <row r="1035" spans="1:41" ht="15">
      <c r="A1035" s="475"/>
      <c r="B1035" s="2019"/>
      <c r="C1035" s="2021"/>
      <c r="D1035" s="2018"/>
      <c r="E1035" s="477"/>
      <c r="F1035" s="2019"/>
      <c r="G1035" s="2021"/>
      <c r="H1035" s="2018"/>
      <c r="I1035" s="477"/>
      <c r="J1035" s="2019"/>
      <c r="K1035" s="2021"/>
      <c r="L1035" s="2018"/>
      <c r="M1035" s="477"/>
      <c r="N1035" s="2019"/>
      <c r="O1035" s="2021"/>
      <c r="P1035" s="2018"/>
      <c r="Q1035" s="477"/>
      <c r="R1035" s="2019"/>
      <c r="S1035" s="2021"/>
      <c r="T1035" s="2018"/>
      <c r="U1035" s="477"/>
      <c r="V1035" s="2019"/>
      <c r="W1035" s="2021"/>
      <c r="X1035" s="2018"/>
      <c r="Y1035" s="477"/>
      <c r="Z1035" s="2019"/>
      <c r="AA1035" s="2021"/>
      <c r="AB1035" s="2018"/>
      <c r="AC1035" s="477"/>
      <c r="AD1035" s="2019"/>
      <c r="AE1035" s="2021"/>
      <c r="AF1035" s="2018"/>
      <c r="AG1035" s="477"/>
      <c r="AH1035" s="2019"/>
      <c r="AI1035" s="2021"/>
      <c r="AJ1035" s="2018"/>
      <c r="AK1035" s="477"/>
      <c r="AL1035" s="2019"/>
      <c r="AM1035" s="2021"/>
      <c r="AN1035" s="2018"/>
      <c r="AO1035" s="477"/>
    </row>
    <row r="1036" spans="1:41" ht="15">
      <c r="A1036" s="475"/>
      <c r="B1036" s="2019"/>
      <c r="C1036" s="2021"/>
      <c r="D1036" s="2018"/>
      <c r="E1036" s="477"/>
      <c r="F1036" s="2019"/>
      <c r="G1036" s="2021"/>
      <c r="H1036" s="2018"/>
      <c r="I1036" s="477"/>
      <c r="J1036" s="2019"/>
      <c r="K1036" s="2021"/>
      <c r="L1036" s="2018"/>
      <c r="M1036" s="477"/>
      <c r="N1036" s="2019"/>
      <c r="O1036" s="2021"/>
      <c r="P1036" s="2018"/>
      <c r="Q1036" s="477"/>
      <c r="R1036" s="2019"/>
      <c r="S1036" s="2021"/>
      <c r="T1036" s="2018"/>
      <c r="U1036" s="477"/>
      <c r="V1036" s="2019"/>
      <c r="W1036" s="2021"/>
      <c r="X1036" s="2018"/>
      <c r="Y1036" s="477"/>
      <c r="Z1036" s="2019"/>
      <c r="AA1036" s="2021"/>
      <c r="AB1036" s="2018"/>
      <c r="AC1036" s="477"/>
      <c r="AD1036" s="2019"/>
      <c r="AE1036" s="2021"/>
      <c r="AF1036" s="2018"/>
      <c r="AG1036" s="477"/>
      <c r="AH1036" s="2019"/>
      <c r="AI1036" s="2021"/>
      <c r="AJ1036" s="2018"/>
      <c r="AK1036" s="477"/>
      <c r="AL1036" s="2019"/>
      <c r="AM1036" s="2021"/>
      <c r="AN1036" s="2018"/>
      <c r="AO1036" s="477"/>
    </row>
    <row r="1037" spans="1:41" ht="15">
      <c r="A1037" s="475"/>
      <c r="B1037" s="2019"/>
      <c r="C1037" s="2021"/>
      <c r="D1037" s="2018"/>
      <c r="E1037" s="477"/>
      <c r="F1037" s="2019"/>
      <c r="G1037" s="2021"/>
      <c r="H1037" s="2018"/>
      <c r="I1037" s="477"/>
      <c r="J1037" s="2019"/>
      <c r="K1037" s="2021"/>
      <c r="L1037" s="2018"/>
      <c r="M1037" s="477"/>
      <c r="N1037" s="2019"/>
      <c r="O1037" s="2021"/>
      <c r="P1037" s="2018"/>
      <c r="Q1037" s="477"/>
      <c r="R1037" s="2019"/>
      <c r="S1037" s="2021"/>
      <c r="T1037" s="2018"/>
      <c r="U1037" s="477"/>
      <c r="V1037" s="2019"/>
      <c r="W1037" s="2021"/>
      <c r="X1037" s="2018"/>
      <c r="Y1037" s="477"/>
      <c r="Z1037" s="2019"/>
      <c r="AA1037" s="2021"/>
      <c r="AB1037" s="2018"/>
      <c r="AC1037" s="477"/>
      <c r="AD1037" s="2019"/>
      <c r="AE1037" s="2021"/>
      <c r="AF1037" s="2018"/>
      <c r="AG1037" s="477"/>
      <c r="AH1037" s="2019"/>
      <c r="AI1037" s="2021"/>
      <c r="AJ1037" s="2018"/>
      <c r="AK1037" s="477"/>
      <c r="AL1037" s="2019"/>
      <c r="AM1037" s="2021"/>
      <c r="AN1037" s="2018"/>
      <c r="AO1037" s="477"/>
    </row>
    <row r="1038" spans="1:41" ht="15">
      <c r="A1038" s="475"/>
      <c r="B1038" s="2019"/>
      <c r="C1038" s="2021"/>
      <c r="D1038" s="2018"/>
      <c r="E1038" s="477"/>
      <c r="F1038" s="2019"/>
      <c r="G1038" s="2021"/>
      <c r="H1038" s="2018"/>
      <c r="I1038" s="477"/>
      <c r="J1038" s="2019"/>
      <c r="K1038" s="2021"/>
      <c r="L1038" s="2018"/>
      <c r="M1038" s="477"/>
      <c r="N1038" s="2019"/>
      <c r="O1038" s="2021"/>
      <c r="P1038" s="2018"/>
      <c r="Q1038" s="477"/>
      <c r="R1038" s="2019"/>
      <c r="S1038" s="2021"/>
      <c r="T1038" s="2018"/>
      <c r="U1038" s="477"/>
      <c r="V1038" s="2019"/>
      <c r="W1038" s="2021"/>
      <c r="X1038" s="2018"/>
      <c r="Y1038" s="477"/>
      <c r="Z1038" s="2019"/>
      <c r="AA1038" s="2021"/>
      <c r="AB1038" s="2018"/>
      <c r="AC1038" s="477"/>
      <c r="AD1038" s="2019"/>
      <c r="AE1038" s="2021"/>
      <c r="AF1038" s="2018"/>
      <c r="AG1038" s="477"/>
      <c r="AH1038" s="2019"/>
      <c r="AI1038" s="2021"/>
      <c r="AJ1038" s="2018"/>
      <c r="AK1038" s="477"/>
      <c r="AL1038" s="2019"/>
      <c r="AM1038" s="2021"/>
      <c r="AN1038" s="2018"/>
      <c r="AO1038" s="477"/>
    </row>
    <row r="1039" spans="1:41" ht="15">
      <c r="A1039" s="475"/>
      <c r="B1039" s="2019"/>
      <c r="C1039" s="2021"/>
      <c r="D1039" s="2018"/>
      <c r="E1039" s="477"/>
      <c r="F1039" s="2019"/>
      <c r="G1039" s="2021"/>
      <c r="H1039" s="2018"/>
      <c r="I1039" s="477"/>
      <c r="J1039" s="2019"/>
      <c r="K1039" s="2021"/>
      <c r="L1039" s="2018"/>
      <c r="M1039" s="477"/>
      <c r="N1039" s="2019"/>
      <c r="O1039" s="2021"/>
      <c r="P1039" s="2018"/>
      <c r="Q1039" s="477"/>
      <c r="R1039" s="2019"/>
      <c r="S1039" s="2021"/>
      <c r="T1039" s="2018"/>
      <c r="U1039" s="477"/>
      <c r="V1039" s="2019"/>
      <c r="W1039" s="2021"/>
      <c r="X1039" s="2018"/>
      <c r="Y1039" s="477"/>
      <c r="Z1039" s="2019"/>
      <c r="AA1039" s="2021"/>
      <c r="AB1039" s="2018"/>
      <c r="AC1039" s="477"/>
      <c r="AD1039" s="2019"/>
      <c r="AE1039" s="2021"/>
      <c r="AF1039" s="2018"/>
      <c r="AG1039" s="477"/>
      <c r="AH1039" s="2019"/>
      <c r="AI1039" s="2021"/>
      <c r="AJ1039" s="2018"/>
      <c r="AK1039" s="477"/>
      <c r="AL1039" s="2019"/>
      <c r="AM1039" s="2021"/>
      <c r="AN1039" s="2018"/>
      <c r="AO1039" s="477"/>
    </row>
    <row r="1040" spans="1:41" ht="15">
      <c r="A1040" s="475"/>
      <c r="B1040" s="2019"/>
      <c r="C1040" s="2021"/>
      <c r="D1040" s="2018"/>
      <c r="E1040" s="477"/>
      <c r="F1040" s="2019"/>
      <c r="G1040" s="2021"/>
      <c r="H1040" s="2018"/>
      <c r="I1040" s="477"/>
      <c r="J1040" s="2019"/>
      <c r="K1040" s="2021"/>
      <c r="L1040" s="2018"/>
      <c r="M1040" s="477"/>
      <c r="N1040" s="2019"/>
      <c r="O1040" s="2021"/>
      <c r="P1040" s="2018"/>
      <c r="Q1040" s="477"/>
      <c r="R1040" s="2019"/>
      <c r="S1040" s="2021"/>
      <c r="T1040" s="2018"/>
      <c r="U1040" s="477"/>
      <c r="V1040" s="2019"/>
      <c r="W1040" s="2021"/>
      <c r="X1040" s="2018"/>
      <c r="Y1040" s="477"/>
      <c r="Z1040" s="2019"/>
      <c r="AA1040" s="2021"/>
      <c r="AB1040" s="2018"/>
      <c r="AC1040" s="477"/>
      <c r="AD1040" s="2019"/>
      <c r="AE1040" s="2021"/>
      <c r="AF1040" s="2018"/>
      <c r="AG1040" s="477"/>
      <c r="AH1040" s="2019"/>
      <c r="AI1040" s="2021"/>
      <c r="AJ1040" s="2018"/>
      <c r="AK1040" s="477"/>
      <c r="AL1040" s="2019"/>
      <c r="AM1040" s="2021"/>
      <c r="AN1040" s="2018"/>
      <c r="AO1040" s="477"/>
    </row>
    <row r="1041" spans="1:41" ht="15">
      <c r="A1041" s="475"/>
      <c r="B1041" s="2019"/>
      <c r="C1041" s="2021"/>
      <c r="D1041" s="2018"/>
      <c r="E1041" s="477"/>
      <c r="F1041" s="2019"/>
      <c r="G1041" s="2021"/>
      <c r="H1041" s="2018"/>
      <c r="I1041" s="477"/>
      <c r="J1041" s="2019"/>
      <c r="K1041" s="2021"/>
      <c r="L1041" s="2018"/>
      <c r="M1041" s="477"/>
      <c r="N1041" s="2019"/>
      <c r="O1041" s="2021"/>
      <c r="P1041" s="2018"/>
      <c r="Q1041" s="477"/>
      <c r="R1041" s="2019"/>
      <c r="S1041" s="2021"/>
      <c r="T1041" s="2018"/>
      <c r="U1041" s="477"/>
      <c r="V1041" s="2019"/>
      <c r="W1041" s="2021"/>
      <c r="X1041" s="2018"/>
      <c r="Y1041" s="477"/>
      <c r="Z1041" s="2019"/>
      <c r="AA1041" s="2021"/>
      <c r="AB1041" s="2018"/>
      <c r="AC1041" s="477"/>
      <c r="AD1041" s="2019"/>
      <c r="AE1041" s="2021"/>
      <c r="AF1041" s="2018"/>
      <c r="AG1041" s="477"/>
      <c r="AH1041" s="2019"/>
      <c r="AI1041" s="2021"/>
      <c r="AJ1041" s="2018"/>
      <c r="AK1041" s="477"/>
      <c r="AL1041" s="2019"/>
      <c r="AM1041" s="2021"/>
      <c r="AN1041" s="2018"/>
      <c r="AO1041" s="477"/>
    </row>
    <row r="1042" spans="1:41" ht="15">
      <c r="A1042" s="475"/>
      <c r="B1042" s="2019"/>
      <c r="C1042" s="2021"/>
      <c r="D1042" s="2018"/>
      <c r="E1042" s="477"/>
      <c r="F1042" s="2019"/>
      <c r="G1042" s="2021"/>
      <c r="H1042" s="2018"/>
      <c r="I1042" s="477"/>
      <c r="J1042" s="2019"/>
      <c r="K1042" s="2021"/>
      <c r="L1042" s="2018"/>
      <c r="M1042" s="477"/>
      <c r="N1042" s="2019"/>
      <c r="O1042" s="2021"/>
      <c r="P1042" s="2018"/>
      <c r="Q1042" s="477"/>
      <c r="R1042" s="2019"/>
      <c r="S1042" s="2021"/>
      <c r="T1042" s="2018"/>
      <c r="U1042" s="477"/>
      <c r="V1042" s="2019"/>
      <c r="W1042" s="2021"/>
      <c r="X1042" s="2018"/>
      <c r="Y1042" s="477"/>
      <c r="Z1042" s="2019"/>
      <c r="AA1042" s="2021"/>
      <c r="AB1042" s="2018"/>
      <c r="AC1042" s="477"/>
      <c r="AD1042" s="2019"/>
      <c r="AE1042" s="2021"/>
      <c r="AF1042" s="2018"/>
      <c r="AG1042" s="477"/>
      <c r="AH1042" s="2019"/>
      <c r="AI1042" s="2021"/>
      <c r="AJ1042" s="2018"/>
      <c r="AK1042" s="477"/>
      <c r="AL1042" s="2019"/>
      <c r="AM1042" s="2021"/>
      <c r="AN1042" s="2018"/>
      <c r="AO1042" s="477"/>
    </row>
    <row r="1043" spans="1:41" ht="15">
      <c r="A1043" s="475"/>
      <c r="B1043" s="2019"/>
      <c r="C1043" s="2021"/>
      <c r="D1043" s="2018"/>
      <c r="E1043" s="477"/>
      <c r="F1043" s="2019"/>
      <c r="G1043" s="2021"/>
      <c r="H1043" s="2018"/>
      <c r="I1043" s="477"/>
      <c r="J1043" s="2019"/>
      <c r="K1043" s="2021"/>
      <c r="L1043" s="2018"/>
      <c r="M1043" s="477"/>
      <c r="N1043" s="2019"/>
      <c r="O1043" s="2021"/>
      <c r="P1043" s="2018"/>
      <c r="Q1043" s="477"/>
      <c r="R1043" s="2019"/>
      <c r="S1043" s="2021"/>
      <c r="T1043" s="2018"/>
      <c r="U1043" s="477"/>
      <c r="V1043" s="2019"/>
      <c r="W1043" s="2021"/>
      <c r="X1043" s="2018"/>
      <c r="Y1043" s="477"/>
      <c r="Z1043" s="2019"/>
      <c r="AA1043" s="2021"/>
      <c r="AB1043" s="2018"/>
      <c r="AC1043" s="477"/>
      <c r="AD1043" s="2019"/>
      <c r="AE1043" s="2021"/>
      <c r="AF1043" s="2018"/>
      <c r="AG1043" s="477"/>
      <c r="AH1043" s="2019"/>
      <c r="AI1043" s="2021"/>
      <c r="AJ1043" s="2018"/>
      <c r="AK1043" s="477"/>
      <c r="AL1043" s="2019"/>
      <c r="AM1043" s="2021"/>
      <c r="AN1043" s="2018"/>
      <c r="AO1043" s="477"/>
    </row>
    <row r="1044" spans="1:41" ht="15">
      <c r="A1044" s="475"/>
      <c r="B1044" s="2019"/>
      <c r="C1044" s="2021"/>
      <c r="D1044" s="2018"/>
      <c r="E1044" s="477"/>
      <c r="F1044" s="2019"/>
      <c r="G1044" s="2021"/>
      <c r="H1044" s="2018"/>
      <c r="I1044" s="477"/>
      <c r="J1044" s="2019"/>
      <c r="K1044" s="2021"/>
      <c r="L1044" s="2018"/>
      <c r="M1044" s="477"/>
      <c r="N1044" s="2019"/>
      <c r="O1044" s="2021"/>
      <c r="P1044" s="2018"/>
      <c r="Q1044" s="477"/>
      <c r="R1044" s="2019"/>
      <c r="S1044" s="2021"/>
      <c r="T1044" s="2018"/>
      <c r="U1044" s="477"/>
      <c r="V1044" s="2019"/>
      <c r="W1044" s="2021"/>
      <c r="X1044" s="2018"/>
      <c r="Y1044" s="477"/>
      <c r="Z1044" s="2019"/>
      <c r="AA1044" s="2021"/>
      <c r="AB1044" s="2018"/>
      <c r="AC1044" s="477"/>
      <c r="AD1044" s="2019"/>
      <c r="AE1044" s="2021"/>
      <c r="AF1044" s="2018"/>
      <c r="AG1044" s="477"/>
      <c r="AH1044" s="2019"/>
      <c r="AI1044" s="2021"/>
      <c r="AJ1044" s="2018"/>
      <c r="AK1044" s="477"/>
      <c r="AL1044" s="2019"/>
      <c r="AM1044" s="2021"/>
      <c r="AN1044" s="2018"/>
      <c r="AO1044" s="477"/>
    </row>
    <row r="1045" spans="1:41" ht="15">
      <c r="A1045" s="475"/>
      <c r="B1045" s="2019"/>
      <c r="C1045" s="2021"/>
      <c r="D1045" s="2018"/>
      <c r="E1045" s="477"/>
      <c r="F1045" s="2019"/>
      <c r="G1045" s="2021"/>
      <c r="H1045" s="2018"/>
      <c r="I1045" s="477"/>
      <c r="J1045" s="2019"/>
      <c r="K1045" s="2021"/>
      <c r="L1045" s="2018"/>
      <c r="M1045" s="477"/>
      <c r="N1045" s="2019"/>
      <c r="O1045" s="2021"/>
      <c r="P1045" s="2018"/>
      <c r="Q1045" s="477"/>
      <c r="R1045" s="2019"/>
      <c r="S1045" s="2021"/>
      <c r="T1045" s="2018"/>
      <c r="U1045" s="477"/>
      <c r="V1045" s="2019"/>
      <c r="W1045" s="2021"/>
      <c r="X1045" s="2018"/>
      <c r="Y1045" s="477"/>
      <c r="Z1045" s="2019"/>
      <c r="AA1045" s="2021"/>
      <c r="AB1045" s="2018"/>
      <c r="AC1045" s="477"/>
      <c r="AD1045" s="2019"/>
      <c r="AE1045" s="2021"/>
      <c r="AF1045" s="2018"/>
      <c r="AG1045" s="477"/>
      <c r="AH1045" s="2019"/>
      <c r="AI1045" s="2021"/>
      <c r="AJ1045" s="2018"/>
      <c r="AK1045" s="477"/>
      <c r="AL1045" s="2019"/>
      <c r="AM1045" s="2021"/>
      <c r="AN1045" s="2018"/>
      <c r="AO1045" s="477"/>
    </row>
    <row r="1046" spans="1:41" ht="15">
      <c r="A1046" s="475"/>
      <c r="B1046" s="2019"/>
      <c r="C1046" s="2021"/>
      <c r="D1046" s="2018"/>
      <c r="E1046" s="477"/>
      <c r="F1046" s="2019"/>
      <c r="G1046" s="2021"/>
      <c r="H1046" s="2018"/>
      <c r="I1046" s="477"/>
      <c r="J1046" s="2019"/>
      <c r="K1046" s="2021"/>
      <c r="L1046" s="2018"/>
      <c r="M1046" s="477"/>
      <c r="N1046" s="2019"/>
      <c r="O1046" s="2021"/>
      <c r="P1046" s="2018"/>
      <c r="Q1046" s="477"/>
      <c r="R1046" s="2019"/>
      <c r="S1046" s="2021"/>
      <c r="T1046" s="2018"/>
      <c r="U1046" s="477"/>
      <c r="V1046" s="2019"/>
      <c r="W1046" s="2021"/>
      <c r="X1046" s="2018"/>
      <c r="Y1046" s="477"/>
      <c r="Z1046" s="2019"/>
      <c r="AA1046" s="2021"/>
      <c r="AB1046" s="2018"/>
      <c r="AC1046" s="477"/>
      <c r="AD1046" s="2019"/>
      <c r="AE1046" s="2021"/>
      <c r="AF1046" s="2018"/>
      <c r="AG1046" s="477"/>
      <c r="AH1046" s="2019"/>
      <c r="AI1046" s="2021"/>
      <c r="AJ1046" s="2018"/>
      <c r="AK1046" s="477"/>
      <c r="AL1046" s="2019"/>
      <c r="AM1046" s="2021"/>
      <c r="AN1046" s="2018"/>
      <c r="AO1046" s="477"/>
    </row>
    <row r="1047" spans="1:41" ht="15">
      <c r="A1047" s="475"/>
      <c r="B1047" s="2019"/>
      <c r="C1047" s="2021"/>
      <c r="D1047" s="2018"/>
      <c r="E1047" s="477"/>
      <c r="F1047" s="2019"/>
      <c r="G1047" s="2021"/>
      <c r="H1047" s="2018"/>
      <c r="I1047" s="477"/>
      <c r="J1047" s="2019"/>
      <c r="K1047" s="2021"/>
      <c r="L1047" s="2018"/>
      <c r="M1047" s="477"/>
      <c r="N1047" s="2019"/>
      <c r="O1047" s="2021"/>
      <c r="P1047" s="2018"/>
      <c r="Q1047" s="477"/>
      <c r="R1047" s="2019"/>
      <c r="S1047" s="2021"/>
      <c r="T1047" s="2018"/>
      <c r="U1047" s="477"/>
      <c r="V1047" s="2019"/>
      <c r="W1047" s="2021"/>
      <c r="X1047" s="2018"/>
      <c r="Y1047" s="477"/>
      <c r="Z1047" s="2019"/>
      <c r="AA1047" s="2021"/>
      <c r="AB1047" s="2018"/>
      <c r="AC1047" s="477"/>
      <c r="AD1047" s="2019"/>
      <c r="AE1047" s="2021"/>
      <c r="AF1047" s="2018"/>
      <c r="AG1047" s="477"/>
      <c r="AH1047" s="2019"/>
      <c r="AI1047" s="2021"/>
      <c r="AJ1047" s="2018"/>
      <c r="AK1047" s="477"/>
      <c r="AL1047" s="2019"/>
      <c r="AM1047" s="2021"/>
      <c r="AN1047" s="2018"/>
      <c r="AO1047" s="477"/>
    </row>
    <row r="1048" spans="1:41" ht="15">
      <c r="A1048" s="475"/>
      <c r="B1048" s="2019"/>
      <c r="C1048" s="2021"/>
      <c r="D1048" s="2018"/>
      <c r="E1048" s="477"/>
      <c r="F1048" s="2019"/>
      <c r="G1048" s="2021"/>
      <c r="H1048" s="2018"/>
      <c r="I1048" s="477"/>
      <c r="J1048" s="2019"/>
      <c r="K1048" s="2021"/>
      <c r="L1048" s="2018"/>
      <c r="M1048" s="477"/>
      <c r="N1048" s="2019"/>
      <c r="O1048" s="2021"/>
      <c r="P1048" s="2018"/>
      <c r="Q1048" s="477"/>
      <c r="R1048" s="2019"/>
      <c r="S1048" s="2021"/>
      <c r="T1048" s="2018"/>
      <c r="U1048" s="477"/>
      <c r="V1048" s="2019"/>
      <c r="W1048" s="2021"/>
      <c r="X1048" s="2018"/>
      <c r="Y1048" s="477"/>
      <c r="Z1048" s="2019"/>
      <c r="AA1048" s="2021"/>
      <c r="AB1048" s="2018"/>
      <c r="AC1048" s="477"/>
      <c r="AD1048" s="2019"/>
      <c r="AE1048" s="2021"/>
      <c r="AF1048" s="2018"/>
      <c r="AG1048" s="477"/>
      <c r="AH1048" s="2019"/>
      <c r="AI1048" s="2021"/>
      <c r="AJ1048" s="2018"/>
      <c r="AK1048" s="477"/>
      <c r="AL1048" s="2019"/>
      <c r="AM1048" s="2021"/>
      <c r="AN1048" s="2018"/>
      <c r="AO1048" s="477"/>
    </row>
    <row r="1049" spans="1:41" ht="15">
      <c r="A1049" s="475"/>
      <c r="B1049" s="2019"/>
      <c r="C1049" s="2021"/>
      <c r="D1049" s="2018"/>
      <c r="E1049" s="477"/>
      <c r="F1049" s="2019"/>
      <c r="G1049" s="2021"/>
      <c r="H1049" s="2018"/>
      <c r="I1049" s="477"/>
      <c r="J1049" s="2019"/>
      <c r="K1049" s="2021"/>
      <c r="L1049" s="2018"/>
      <c r="M1049" s="477"/>
      <c r="N1049" s="2019"/>
      <c r="O1049" s="2021"/>
      <c r="P1049" s="2018"/>
      <c r="Q1049" s="477"/>
      <c r="R1049" s="2019"/>
      <c r="S1049" s="2021"/>
      <c r="T1049" s="2018"/>
      <c r="U1049" s="477"/>
      <c r="V1049" s="2019"/>
      <c r="W1049" s="2021"/>
      <c r="X1049" s="2018"/>
      <c r="Y1049" s="477"/>
      <c r="Z1049" s="2019"/>
      <c r="AA1049" s="2021"/>
      <c r="AB1049" s="2018"/>
      <c r="AC1049" s="477"/>
      <c r="AD1049" s="2019"/>
      <c r="AE1049" s="2021"/>
      <c r="AF1049" s="2018"/>
      <c r="AG1049" s="477"/>
      <c r="AH1049" s="2019"/>
      <c r="AI1049" s="2021"/>
      <c r="AJ1049" s="2018"/>
      <c r="AK1049" s="477"/>
      <c r="AL1049" s="2019"/>
      <c r="AM1049" s="2021"/>
      <c r="AN1049" s="2018"/>
      <c r="AO1049" s="477"/>
    </row>
    <row r="1050" spans="1:41" ht="15">
      <c r="A1050" s="475"/>
      <c r="B1050" s="2019"/>
      <c r="C1050" s="2021"/>
      <c r="D1050" s="2018"/>
      <c r="E1050" s="477"/>
      <c r="F1050" s="2019"/>
      <c r="G1050" s="2021"/>
      <c r="H1050" s="2018"/>
      <c r="I1050" s="477"/>
      <c r="J1050" s="2019"/>
      <c r="K1050" s="2021"/>
      <c r="L1050" s="2018"/>
      <c r="M1050" s="477"/>
      <c r="N1050" s="2019"/>
      <c r="O1050" s="2021"/>
      <c r="P1050" s="2018"/>
      <c r="Q1050" s="477"/>
      <c r="R1050" s="2019"/>
      <c r="S1050" s="2021"/>
      <c r="T1050" s="2018"/>
      <c r="U1050" s="477"/>
      <c r="V1050" s="2019"/>
      <c r="W1050" s="2021"/>
      <c r="X1050" s="2018"/>
      <c r="Y1050" s="477"/>
      <c r="Z1050" s="2019"/>
      <c r="AA1050" s="2021"/>
      <c r="AB1050" s="2018"/>
      <c r="AC1050" s="477"/>
      <c r="AD1050" s="2019"/>
      <c r="AE1050" s="2021"/>
      <c r="AF1050" s="2018"/>
      <c r="AG1050" s="477"/>
      <c r="AH1050" s="2019"/>
      <c r="AI1050" s="2021"/>
      <c r="AJ1050" s="2018"/>
      <c r="AK1050" s="477"/>
      <c r="AL1050" s="2019"/>
      <c r="AM1050" s="2021"/>
      <c r="AN1050" s="2018"/>
      <c r="AO1050" s="477"/>
    </row>
    <row r="1051" spans="1:41" ht="15">
      <c r="A1051" s="475"/>
      <c r="B1051" s="2019"/>
      <c r="C1051" s="2021"/>
      <c r="D1051" s="2018"/>
      <c r="E1051" s="477"/>
      <c r="F1051" s="2019"/>
      <c r="G1051" s="2021"/>
      <c r="H1051" s="2018"/>
      <c r="I1051" s="477"/>
      <c r="J1051" s="2019"/>
      <c r="K1051" s="2021"/>
      <c r="L1051" s="2018"/>
      <c r="M1051" s="477"/>
      <c r="N1051" s="2019"/>
      <c r="O1051" s="2021"/>
      <c r="P1051" s="2018"/>
      <c r="Q1051" s="477"/>
      <c r="R1051" s="2019"/>
      <c r="S1051" s="2021"/>
      <c r="T1051" s="2018"/>
      <c r="U1051" s="477"/>
      <c r="V1051" s="2019"/>
      <c r="W1051" s="2021"/>
      <c r="X1051" s="2018"/>
      <c r="Y1051" s="477"/>
      <c r="Z1051" s="2019"/>
      <c r="AA1051" s="2021"/>
      <c r="AB1051" s="2018"/>
      <c r="AC1051" s="477"/>
      <c r="AD1051" s="2019"/>
      <c r="AE1051" s="2021"/>
      <c r="AF1051" s="2018"/>
      <c r="AG1051" s="477"/>
      <c r="AH1051" s="2019"/>
      <c r="AI1051" s="2021"/>
      <c r="AJ1051" s="2018"/>
      <c r="AK1051" s="477"/>
      <c r="AL1051" s="2019"/>
      <c r="AM1051" s="2021"/>
      <c r="AN1051" s="2018"/>
      <c r="AO1051" s="477"/>
    </row>
    <row r="1052" spans="1:41" ht="15">
      <c r="A1052" s="475"/>
      <c r="B1052" s="2019"/>
      <c r="C1052" s="2021"/>
      <c r="D1052" s="2018"/>
      <c r="E1052" s="477"/>
      <c r="F1052" s="2019"/>
      <c r="G1052" s="2021"/>
      <c r="H1052" s="2018"/>
      <c r="I1052" s="477"/>
      <c r="J1052" s="2019"/>
      <c r="K1052" s="2021"/>
      <c r="L1052" s="2018"/>
      <c r="M1052" s="477"/>
      <c r="N1052" s="2019"/>
      <c r="O1052" s="2021"/>
      <c r="P1052" s="2018"/>
      <c r="Q1052" s="477"/>
      <c r="R1052" s="2019"/>
      <c r="S1052" s="2021"/>
      <c r="T1052" s="2018"/>
      <c r="U1052" s="477"/>
      <c r="V1052" s="2019"/>
      <c r="W1052" s="2021"/>
      <c r="X1052" s="2018"/>
      <c r="Y1052" s="477"/>
      <c r="Z1052" s="2019"/>
      <c r="AA1052" s="2021"/>
      <c r="AB1052" s="2018"/>
      <c r="AC1052" s="477"/>
      <c r="AD1052" s="2019"/>
      <c r="AE1052" s="2021"/>
      <c r="AF1052" s="2018"/>
      <c r="AG1052" s="477"/>
      <c r="AH1052" s="2019"/>
      <c r="AI1052" s="2021"/>
      <c r="AJ1052" s="2018"/>
      <c r="AK1052" s="477"/>
      <c r="AL1052" s="2019"/>
      <c r="AM1052" s="2021"/>
      <c r="AN1052" s="2018"/>
      <c r="AO1052" s="477"/>
    </row>
    <row r="1053" spans="1:41" ht="15">
      <c r="A1053" s="475"/>
      <c r="B1053" s="2019"/>
      <c r="C1053" s="2021"/>
      <c r="D1053" s="2018"/>
      <c r="E1053" s="477"/>
      <c r="F1053" s="2019"/>
      <c r="G1053" s="2021"/>
      <c r="H1053" s="2018"/>
      <c r="I1053" s="477"/>
      <c r="J1053" s="2019"/>
      <c r="K1053" s="2021"/>
      <c r="L1053" s="2018"/>
      <c r="M1053" s="477"/>
      <c r="N1053" s="2019"/>
      <c r="O1053" s="2021"/>
      <c r="P1053" s="2018"/>
      <c r="Q1053" s="477"/>
      <c r="R1053" s="2019"/>
      <c r="S1053" s="2021"/>
      <c r="T1053" s="2018"/>
      <c r="U1053" s="477"/>
      <c r="V1053" s="2019"/>
      <c r="W1053" s="2021"/>
      <c r="X1053" s="2018"/>
      <c r="Y1053" s="477"/>
      <c r="Z1053" s="2019"/>
      <c r="AA1053" s="2021"/>
      <c r="AB1053" s="2018"/>
      <c r="AC1053" s="477"/>
      <c r="AD1053" s="2019"/>
      <c r="AE1053" s="2021"/>
      <c r="AF1053" s="2018"/>
      <c r="AG1053" s="477"/>
      <c r="AH1053" s="2019"/>
      <c r="AI1053" s="2021"/>
      <c r="AJ1053" s="2018"/>
      <c r="AK1053" s="477"/>
      <c r="AL1053" s="2019"/>
      <c r="AM1053" s="2021"/>
      <c r="AN1053" s="2018"/>
      <c r="AO1053" s="477"/>
    </row>
    <row r="1054" spans="1:41" ht="15">
      <c r="A1054" s="475"/>
      <c r="B1054" s="2019"/>
      <c r="C1054" s="2021"/>
      <c r="D1054" s="2018"/>
      <c r="E1054" s="477"/>
      <c r="F1054" s="2019"/>
      <c r="G1054" s="2021"/>
      <c r="H1054" s="2018"/>
      <c r="I1054" s="477"/>
      <c r="J1054" s="2019"/>
      <c r="K1054" s="2021"/>
      <c r="L1054" s="2018"/>
      <c r="M1054" s="477"/>
      <c r="N1054" s="2019"/>
      <c r="O1054" s="2021"/>
      <c r="P1054" s="2018"/>
      <c r="Q1054" s="477"/>
      <c r="R1054" s="2019"/>
      <c r="S1054" s="2021"/>
      <c r="T1054" s="2018"/>
      <c r="U1054" s="477"/>
      <c r="V1054" s="2019"/>
      <c r="W1054" s="2021"/>
      <c r="X1054" s="2018"/>
      <c r="Y1054" s="477"/>
      <c r="Z1054" s="2019"/>
      <c r="AA1054" s="2021"/>
      <c r="AB1054" s="2018"/>
      <c r="AC1054" s="477"/>
      <c r="AD1054" s="2019"/>
      <c r="AE1054" s="2021"/>
      <c r="AF1054" s="2018"/>
      <c r="AG1054" s="477"/>
      <c r="AH1054" s="2019"/>
      <c r="AI1054" s="2021"/>
      <c r="AJ1054" s="2018"/>
      <c r="AK1054" s="477"/>
      <c r="AL1054" s="2019"/>
      <c r="AM1054" s="2021"/>
      <c r="AN1054" s="2018"/>
      <c r="AO1054" s="477"/>
    </row>
    <row r="1055" spans="1:41" ht="15">
      <c r="A1055" s="475"/>
      <c r="B1055" s="2019"/>
      <c r="C1055" s="2021"/>
      <c r="D1055" s="2018"/>
      <c r="E1055" s="477"/>
      <c r="F1055" s="2019"/>
      <c r="G1055" s="2021"/>
      <c r="H1055" s="2018"/>
      <c r="I1055" s="477"/>
      <c r="J1055" s="2019"/>
      <c r="K1055" s="2021"/>
      <c r="L1055" s="2018"/>
      <c r="M1055" s="477"/>
      <c r="N1055" s="2019"/>
      <c r="O1055" s="2021"/>
      <c r="P1055" s="2018"/>
      <c r="Q1055" s="477"/>
      <c r="R1055" s="2019"/>
      <c r="S1055" s="2021"/>
      <c r="T1055" s="2018"/>
      <c r="U1055" s="477"/>
      <c r="V1055" s="2019"/>
      <c r="W1055" s="2021"/>
      <c r="X1055" s="2018"/>
      <c r="Y1055" s="477"/>
      <c r="Z1055" s="2019"/>
      <c r="AA1055" s="2021"/>
      <c r="AB1055" s="2018"/>
      <c r="AC1055" s="477"/>
      <c r="AD1055" s="2019"/>
      <c r="AE1055" s="2021"/>
      <c r="AF1055" s="2018"/>
      <c r="AG1055" s="477"/>
      <c r="AH1055" s="2019"/>
      <c r="AI1055" s="2021"/>
      <c r="AJ1055" s="2018"/>
      <c r="AK1055" s="477"/>
      <c r="AL1055" s="2019"/>
      <c r="AM1055" s="2021"/>
      <c r="AN1055" s="2018"/>
      <c r="AO1055" s="477"/>
    </row>
    <row r="1056" spans="1:41" ht="15">
      <c r="A1056" s="475"/>
      <c r="B1056" s="2019"/>
      <c r="C1056" s="2021"/>
      <c r="D1056" s="2018"/>
      <c r="E1056" s="477"/>
      <c r="F1056" s="2019"/>
      <c r="G1056" s="2021"/>
      <c r="H1056" s="2018"/>
      <c r="I1056" s="477"/>
      <c r="J1056" s="2019"/>
      <c r="K1056" s="2021"/>
      <c r="L1056" s="2018"/>
      <c r="M1056" s="477"/>
      <c r="N1056" s="2019"/>
      <c r="O1056" s="2021"/>
      <c r="P1056" s="2018"/>
      <c r="Q1056" s="477"/>
      <c r="R1056" s="2019"/>
      <c r="S1056" s="2021"/>
      <c r="T1056" s="2018"/>
      <c r="U1056" s="477"/>
      <c r="V1056" s="2019"/>
      <c r="W1056" s="2021"/>
      <c r="X1056" s="2018"/>
      <c r="Y1056" s="477"/>
      <c r="Z1056" s="2019"/>
      <c r="AA1056" s="2021"/>
      <c r="AB1056" s="2018"/>
      <c r="AC1056" s="477"/>
      <c r="AD1056" s="2019"/>
      <c r="AE1056" s="2021"/>
      <c r="AF1056" s="2018"/>
      <c r="AG1056" s="477"/>
      <c r="AH1056" s="2019"/>
      <c r="AI1056" s="2021"/>
      <c r="AJ1056" s="2018"/>
      <c r="AK1056" s="477"/>
      <c r="AL1056" s="2019"/>
      <c r="AM1056" s="2021"/>
      <c r="AN1056" s="2018"/>
      <c r="AO1056" s="477"/>
    </row>
    <row r="1057" spans="1:41" ht="15">
      <c r="A1057" s="475"/>
      <c r="B1057" s="2019"/>
      <c r="C1057" s="2021"/>
      <c r="D1057" s="2018"/>
      <c r="E1057" s="477"/>
      <c r="F1057" s="2019"/>
      <c r="G1057" s="2021"/>
      <c r="H1057" s="2018"/>
      <c r="I1057" s="477"/>
      <c r="J1057" s="2019"/>
      <c r="K1057" s="2021"/>
      <c r="L1057" s="2018"/>
      <c r="M1057" s="477"/>
      <c r="N1057" s="2019"/>
      <c r="O1057" s="2021"/>
      <c r="P1057" s="2018"/>
      <c r="Q1057" s="477"/>
      <c r="R1057" s="2019"/>
      <c r="S1057" s="2021"/>
      <c r="T1057" s="2018"/>
      <c r="U1057" s="477"/>
      <c r="V1057" s="2019"/>
      <c r="W1057" s="2021"/>
      <c r="X1057" s="2018"/>
      <c r="Y1057" s="477"/>
      <c r="Z1057" s="2019"/>
      <c r="AA1057" s="2021"/>
      <c r="AB1057" s="2018"/>
      <c r="AC1057" s="477"/>
      <c r="AD1057" s="2019"/>
      <c r="AE1057" s="2021"/>
      <c r="AF1057" s="2018"/>
      <c r="AG1057" s="477"/>
      <c r="AH1057" s="2019"/>
      <c r="AI1057" s="2021"/>
      <c r="AJ1057" s="2018"/>
      <c r="AK1057" s="477"/>
      <c r="AL1057" s="2019"/>
      <c r="AM1057" s="2021"/>
      <c r="AN1057" s="2018"/>
      <c r="AO1057" s="477"/>
    </row>
    <row r="1058" spans="1:41" ht="15">
      <c r="A1058" s="475"/>
      <c r="B1058" s="2019"/>
      <c r="C1058" s="2021"/>
      <c r="D1058" s="2018"/>
      <c r="E1058" s="477"/>
      <c r="F1058" s="2019"/>
      <c r="G1058" s="2021"/>
      <c r="H1058" s="2018"/>
      <c r="I1058" s="477"/>
      <c r="J1058" s="2019"/>
      <c r="K1058" s="2021"/>
      <c r="L1058" s="2018"/>
      <c r="M1058" s="477"/>
      <c r="N1058" s="2019"/>
      <c r="O1058" s="2021"/>
      <c r="P1058" s="2018"/>
      <c r="Q1058" s="477"/>
      <c r="R1058" s="2019"/>
      <c r="S1058" s="2021"/>
      <c r="T1058" s="2018"/>
      <c r="U1058" s="477"/>
      <c r="V1058" s="2019"/>
      <c r="W1058" s="2021"/>
      <c r="X1058" s="2018"/>
      <c r="Y1058" s="477"/>
      <c r="Z1058" s="2019"/>
      <c r="AA1058" s="2021"/>
      <c r="AB1058" s="2018"/>
      <c r="AC1058" s="477"/>
      <c r="AD1058" s="2019"/>
      <c r="AE1058" s="2021"/>
      <c r="AF1058" s="2018"/>
      <c r="AG1058" s="477"/>
      <c r="AH1058" s="2019"/>
      <c r="AI1058" s="2021"/>
      <c r="AJ1058" s="2018"/>
      <c r="AK1058" s="477"/>
      <c r="AL1058" s="2019"/>
      <c r="AM1058" s="2021"/>
      <c r="AN1058" s="2018"/>
      <c r="AO1058" s="477"/>
    </row>
    <row r="1059" spans="1:41" ht="15">
      <c r="A1059" s="475"/>
      <c r="B1059" s="2019"/>
      <c r="C1059" s="2021"/>
      <c r="D1059" s="2018"/>
      <c r="E1059" s="477"/>
      <c r="F1059" s="2019"/>
      <c r="G1059" s="2021"/>
      <c r="H1059" s="2018"/>
      <c r="I1059" s="477"/>
      <c r="J1059" s="2019"/>
      <c r="K1059" s="2021"/>
      <c r="L1059" s="2018"/>
      <c r="M1059" s="477"/>
      <c r="N1059" s="2019"/>
      <c r="O1059" s="2021"/>
      <c r="P1059" s="2018"/>
      <c r="Q1059" s="477"/>
      <c r="R1059" s="2019"/>
      <c r="S1059" s="2021"/>
      <c r="T1059" s="2018"/>
      <c r="U1059" s="477"/>
      <c r="V1059" s="2019"/>
      <c r="W1059" s="2021"/>
      <c r="X1059" s="2018"/>
      <c r="Y1059" s="477"/>
      <c r="Z1059" s="2019"/>
      <c r="AA1059" s="2021"/>
      <c r="AB1059" s="2018"/>
      <c r="AC1059" s="477"/>
      <c r="AD1059" s="2019"/>
      <c r="AE1059" s="2021"/>
      <c r="AF1059" s="2018"/>
      <c r="AG1059" s="477"/>
      <c r="AH1059" s="2019"/>
      <c r="AI1059" s="2021"/>
      <c r="AJ1059" s="2018"/>
      <c r="AK1059" s="477"/>
      <c r="AL1059" s="2019"/>
      <c r="AM1059" s="2021"/>
      <c r="AN1059" s="2018"/>
      <c r="AO1059" s="477"/>
    </row>
    <row r="1060" spans="1:41" ht="15">
      <c r="A1060" s="475"/>
      <c r="B1060" s="2019"/>
      <c r="C1060" s="2021"/>
      <c r="D1060" s="2018"/>
      <c r="E1060" s="477"/>
      <c r="F1060" s="2019"/>
      <c r="G1060" s="2021"/>
      <c r="H1060" s="2018"/>
      <c r="I1060" s="477"/>
      <c r="J1060" s="2019"/>
      <c r="K1060" s="2021"/>
      <c r="L1060" s="2018"/>
      <c r="M1060" s="477"/>
      <c r="N1060" s="2019"/>
      <c r="O1060" s="2021"/>
      <c r="P1060" s="2018"/>
      <c r="Q1060" s="477"/>
      <c r="R1060" s="2019"/>
      <c r="S1060" s="2021"/>
      <c r="T1060" s="2018"/>
      <c r="U1060" s="477"/>
      <c r="V1060" s="2019"/>
      <c r="W1060" s="2021"/>
      <c r="X1060" s="2018"/>
      <c r="Y1060" s="477"/>
      <c r="Z1060" s="2019"/>
      <c r="AA1060" s="2021"/>
      <c r="AB1060" s="2018"/>
      <c r="AC1060" s="477"/>
      <c r="AD1060" s="2019"/>
      <c r="AE1060" s="2021"/>
      <c r="AF1060" s="2018"/>
      <c r="AG1060" s="477"/>
      <c r="AH1060" s="2019"/>
      <c r="AI1060" s="2021"/>
      <c r="AJ1060" s="2018"/>
      <c r="AK1060" s="477"/>
      <c r="AL1060" s="2019"/>
      <c r="AM1060" s="2021"/>
      <c r="AN1060" s="2018"/>
      <c r="AO1060" s="477"/>
    </row>
    <row r="1061" spans="1:41" ht="15">
      <c r="A1061" s="475"/>
      <c r="B1061" s="2022"/>
      <c r="C1061" s="2026"/>
      <c r="D1061" s="2024"/>
      <c r="E1061" s="477"/>
      <c r="F1061" s="2022"/>
      <c r="G1061" s="2026"/>
      <c r="H1061" s="2024"/>
      <c r="I1061" s="477"/>
      <c r="J1061" s="2022"/>
      <c r="K1061" s="2026"/>
      <c r="L1061" s="2024"/>
      <c r="M1061" s="477"/>
      <c r="N1061" s="2022"/>
      <c r="O1061" s="2026"/>
      <c r="P1061" s="2024"/>
      <c r="Q1061" s="477"/>
      <c r="R1061" s="2022"/>
      <c r="S1061" s="2026"/>
      <c r="T1061" s="2024"/>
      <c r="U1061" s="477"/>
      <c r="V1061" s="2022"/>
      <c r="W1061" s="2026"/>
      <c r="X1061" s="2024"/>
      <c r="Y1061" s="477"/>
      <c r="Z1061" s="2022"/>
      <c r="AA1061" s="2026"/>
      <c r="AB1061" s="2024"/>
      <c r="AC1061" s="477"/>
      <c r="AD1061" s="2022"/>
      <c r="AE1061" s="2026"/>
      <c r="AF1061" s="2024"/>
      <c r="AG1061" s="477"/>
      <c r="AH1061" s="2022"/>
      <c r="AI1061" s="2026"/>
      <c r="AJ1061" s="2024"/>
      <c r="AK1061" s="477"/>
      <c r="AL1061" s="2022"/>
      <c r="AM1061" s="2026"/>
      <c r="AN1061" s="2024"/>
      <c r="AO1061" s="477"/>
    </row>
    <row r="1062" spans="1:41" ht="15">
      <c r="A1062" s="475"/>
      <c r="B1062" s="2022"/>
      <c r="C1062" s="2026"/>
      <c r="D1062" s="2024"/>
      <c r="E1062" s="477"/>
      <c r="F1062" s="2022"/>
      <c r="G1062" s="2026"/>
      <c r="H1062" s="2024"/>
      <c r="I1062" s="477"/>
      <c r="J1062" s="2022"/>
      <c r="K1062" s="2026"/>
      <c r="L1062" s="2024"/>
      <c r="M1062" s="477"/>
      <c r="N1062" s="2022"/>
      <c r="O1062" s="2026"/>
      <c r="P1062" s="2024"/>
      <c r="Q1062" s="477"/>
      <c r="R1062" s="2022"/>
      <c r="S1062" s="2026"/>
      <c r="T1062" s="2024"/>
      <c r="U1062" s="477"/>
      <c r="V1062" s="2022"/>
      <c r="W1062" s="2026"/>
      <c r="X1062" s="2024"/>
      <c r="Y1062" s="477"/>
      <c r="Z1062" s="2022"/>
      <c r="AA1062" s="2026"/>
      <c r="AB1062" s="2024"/>
      <c r="AC1062" s="477"/>
      <c r="AD1062" s="2022"/>
      <c r="AE1062" s="2026"/>
      <c r="AF1062" s="2024"/>
      <c r="AG1062" s="477"/>
      <c r="AH1062" s="2022"/>
      <c r="AI1062" s="2026"/>
      <c r="AJ1062" s="2024"/>
      <c r="AK1062" s="477"/>
      <c r="AL1062" s="2022"/>
      <c r="AM1062" s="2026"/>
      <c r="AN1062" s="2024"/>
      <c r="AO1062" s="477"/>
    </row>
    <row r="1063" spans="1:41" ht="15">
      <c r="A1063" s="475"/>
      <c r="B1063" s="2022"/>
      <c r="C1063" s="2026"/>
      <c r="D1063" s="2024"/>
      <c r="E1063" s="477"/>
      <c r="F1063" s="2022"/>
      <c r="G1063" s="2026"/>
      <c r="H1063" s="2024"/>
      <c r="I1063" s="477"/>
      <c r="J1063" s="2022"/>
      <c r="K1063" s="2026"/>
      <c r="L1063" s="2024"/>
      <c r="M1063" s="477"/>
      <c r="N1063" s="2022"/>
      <c r="O1063" s="2026"/>
      <c r="P1063" s="2024"/>
      <c r="Q1063" s="477"/>
      <c r="R1063" s="2022"/>
      <c r="S1063" s="2026"/>
      <c r="T1063" s="2024"/>
      <c r="U1063" s="477"/>
      <c r="V1063" s="2022"/>
      <c r="W1063" s="2026"/>
      <c r="X1063" s="2024"/>
      <c r="Y1063" s="477"/>
      <c r="Z1063" s="2022"/>
      <c r="AA1063" s="2026"/>
      <c r="AB1063" s="2024"/>
      <c r="AC1063" s="477"/>
      <c r="AD1063" s="2022"/>
      <c r="AE1063" s="2026"/>
      <c r="AF1063" s="2024"/>
      <c r="AG1063" s="477"/>
      <c r="AH1063" s="2022"/>
      <c r="AI1063" s="2026"/>
      <c r="AJ1063" s="2024"/>
      <c r="AK1063" s="477"/>
      <c r="AL1063" s="2022"/>
      <c r="AM1063" s="2026"/>
      <c r="AN1063" s="2024"/>
      <c r="AO1063" s="477"/>
    </row>
    <row r="1064" spans="1:41" ht="15">
      <c r="A1064" s="475"/>
      <c r="B1064" s="2022"/>
      <c r="C1064" s="2026"/>
      <c r="D1064" s="2024"/>
      <c r="E1064" s="477"/>
      <c r="F1064" s="2022"/>
      <c r="G1064" s="2026"/>
      <c r="H1064" s="2024"/>
      <c r="I1064" s="477"/>
      <c r="J1064" s="2022"/>
      <c r="K1064" s="2026"/>
      <c r="L1064" s="2024"/>
      <c r="M1064" s="477"/>
      <c r="N1064" s="2022"/>
      <c r="O1064" s="2026"/>
      <c r="P1064" s="2024"/>
      <c r="Q1064" s="477"/>
      <c r="R1064" s="2022"/>
      <c r="S1064" s="2026"/>
      <c r="T1064" s="2024"/>
      <c r="U1064" s="477"/>
      <c r="V1064" s="2022"/>
      <c r="W1064" s="2026"/>
      <c r="X1064" s="2024"/>
      <c r="Y1064" s="477"/>
      <c r="Z1064" s="2022"/>
      <c r="AA1064" s="2026"/>
      <c r="AB1064" s="2024"/>
      <c r="AC1064" s="477"/>
      <c r="AD1064" s="2022"/>
      <c r="AE1064" s="2026"/>
      <c r="AF1064" s="2024"/>
      <c r="AG1064" s="477"/>
      <c r="AH1064" s="2022"/>
      <c r="AI1064" s="2026"/>
      <c r="AJ1064" s="2024"/>
      <c r="AK1064" s="477"/>
      <c r="AL1064" s="2022"/>
      <c r="AM1064" s="2026"/>
      <c r="AN1064" s="2024"/>
      <c r="AO1064" s="477"/>
    </row>
    <row r="1065" spans="1:41" ht="15">
      <c r="A1065" s="475"/>
      <c r="B1065" s="2022"/>
      <c r="C1065" s="2026"/>
      <c r="D1065" s="2024"/>
      <c r="E1065" s="477"/>
      <c r="F1065" s="2022"/>
      <c r="G1065" s="2026"/>
      <c r="H1065" s="2024"/>
      <c r="I1065" s="477"/>
      <c r="J1065" s="2022"/>
      <c r="K1065" s="2026"/>
      <c r="L1065" s="2024"/>
      <c r="M1065" s="477"/>
      <c r="N1065" s="2022"/>
      <c r="O1065" s="2026"/>
      <c r="P1065" s="2024"/>
      <c r="Q1065" s="477"/>
      <c r="R1065" s="2022"/>
      <c r="S1065" s="2026"/>
      <c r="T1065" s="2024"/>
      <c r="U1065" s="477"/>
      <c r="V1065" s="2022"/>
      <c r="W1065" s="2026"/>
      <c r="X1065" s="2024"/>
      <c r="Y1065" s="477"/>
      <c r="Z1065" s="2022"/>
      <c r="AA1065" s="2026"/>
      <c r="AB1065" s="2024"/>
      <c r="AC1065" s="477"/>
      <c r="AD1065" s="2022"/>
      <c r="AE1065" s="2026"/>
      <c r="AF1065" s="2024"/>
      <c r="AG1065" s="477"/>
      <c r="AH1065" s="2022"/>
      <c r="AI1065" s="2026"/>
      <c r="AJ1065" s="2024"/>
      <c r="AK1065" s="477"/>
      <c r="AL1065" s="2022"/>
      <c r="AM1065" s="2026"/>
      <c r="AN1065" s="2024"/>
      <c r="AO1065" s="477"/>
    </row>
    <row r="1066" spans="1:41" ht="15">
      <c r="A1066" s="475"/>
      <c r="B1066" s="2022"/>
      <c r="C1066" s="2026"/>
      <c r="D1066" s="2024"/>
      <c r="E1066" s="477"/>
      <c r="F1066" s="2022"/>
      <c r="G1066" s="2026"/>
      <c r="H1066" s="2024"/>
      <c r="I1066" s="477"/>
      <c r="J1066" s="2022"/>
      <c r="K1066" s="2026"/>
      <c r="L1066" s="2024"/>
      <c r="M1066" s="477"/>
      <c r="N1066" s="2022"/>
      <c r="O1066" s="2026"/>
      <c r="P1066" s="2024"/>
      <c r="Q1066" s="477"/>
      <c r="R1066" s="2022"/>
      <c r="S1066" s="2026"/>
      <c r="T1066" s="2024"/>
      <c r="U1066" s="477"/>
      <c r="V1066" s="2022"/>
      <c r="W1066" s="2026"/>
      <c r="X1066" s="2024"/>
      <c r="Y1066" s="477"/>
      <c r="Z1066" s="2022"/>
      <c r="AA1066" s="2026"/>
      <c r="AB1066" s="2024"/>
      <c r="AC1066" s="477"/>
      <c r="AD1066" s="2022"/>
      <c r="AE1066" s="2026"/>
      <c r="AF1066" s="2024"/>
      <c r="AG1066" s="477"/>
      <c r="AH1066" s="2022"/>
      <c r="AI1066" s="2026"/>
      <c r="AJ1066" s="2024"/>
      <c r="AK1066" s="477"/>
      <c r="AL1066" s="2022"/>
      <c r="AM1066" s="2026"/>
      <c r="AN1066" s="2024"/>
      <c r="AO1066" s="477"/>
    </row>
    <row r="1067" spans="1:41" ht="15">
      <c r="A1067" s="475"/>
      <c r="B1067" s="2022"/>
      <c r="C1067" s="2026"/>
      <c r="D1067" s="2024"/>
      <c r="E1067" s="477"/>
      <c r="F1067" s="2022"/>
      <c r="G1067" s="2026"/>
      <c r="H1067" s="2024"/>
      <c r="I1067" s="477"/>
      <c r="J1067" s="2022"/>
      <c r="K1067" s="2026"/>
      <c r="L1067" s="2024"/>
      <c r="M1067" s="477"/>
      <c r="N1067" s="2022"/>
      <c r="O1067" s="2026"/>
      <c r="P1067" s="2024"/>
      <c r="Q1067" s="477"/>
      <c r="R1067" s="2022"/>
      <c r="S1067" s="2026"/>
      <c r="T1067" s="2024"/>
      <c r="U1067" s="477"/>
      <c r="V1067" s="2022"/>
      <c r="W1067" s="2026"/>
      <c r="X1067" s="2024"/>
      <c r="Y1067" s="477"/>
      <c r="Z1067" s="2022"/>
      <c r="AA1067" s="2026"/>
      <c r="AB1067" s="2024"/>
      <c r="AC1067" s="477"/>
      <c r="AD1067" s="2022"/>
      <c r="AE1067" s="2026"/>
      <c r="AF1067" s="2024"/>
      <c r="AG1067" s="477"/>
      <c r="AH1067" s="2022"/>
      <c r="AI1067" s="2026"/>
      <c r="AJ1067" s="2024"/>
      <c r="AK1067" s="477"/>
      <c r="AL1067" s="2022"/>
      <c r="AM1067" s="2026"/>
      <c r="AN1067" s="2024"/>
      <c r="AO1067" s="477"/>
    </row>
    <row r="1068" spans="1:41" ht="15">
      <c r="A1068" s="475"/>
      <c r="B1068" s="2022"/>
      <c r="C1068" s="2026"/>
      <c r="D1068" s="2024"/>
      <c r="E1068" s="477"/>
      <c r="F1068" s="2022"/>
      <c r="G1068" s="2026"/>
      <c r="H1068" s="2024"/>
      <c r="I1068" s="477"/>
      <c r="J1068" s="2022"/>
      <c r="K1068" s="2026"/>
      <c r="L1068" s="2024"/>
      <c r="M1068" s="477"/>
      <c r="N1068" s="2022"/>
      <c r="O1068" s="2026"/>
      <c r="P1068" s="2024"/>
      <c r="Q1068" s="477"/>
      <c r="R1068" s="2022"/>
      <c r="S1068" s="2026"/>
      <c r="T1068" s="2024"/>
      <c r="U1068" s="477"/>
      <c r="V1068" s="2022"/>
      <c r="W1068" s="2026"/>
      <c r="X1068" s="2024"/>
      <c r="Y1068" s="477"/>
      <c r="Z1068" s="2022"/>
      <c r="AA1068" s="2026"/>
      <c r="AB1068" s="2024"/>
      <c r="AC1068" s="477"/>
      <c r="AD1068" s="2022"/>
      <c r="AE1068" s="2026"/>
      <c r="AF1068" s="2024"/>
      <c r="AG1068" s="477"/>
      <c r="AH1068" s="2022"/>
      <c r="AI1068" s="2026"/>
      <c r="AJ1068" s="2024"/>
      <c r="AK1068" s="477"/>
      <c r="AL1068" s="2022"/>
      <c r="AM1068" s="2026"/>
      <c r="AN1068" s="2024"/>
      <c r="AO1068" s="477"/>
    </row>
    <row r="1069" spans="1:41" ht="15">
      <c r="A1069" s="475"/>
      <c r="B1069" s="2022"/>
      <c r="C1069" s="2026"/>
      <c r="D1069" s="2024"/>
      <c r="E1069" s="477"/>
      <c r="F1069" s="2022"/>
      <c r="G1069" s="2026"/>
      <c r="H1069" s="2024"/>
      <c r="I1069" s="477"/>
      <c r="J1069" s="2022"/>
      <c r="K1069" s="2026"/>
      <c r="L1069" s="2024"/>
      <c r="M1069" s="477"/>
      <c r="N1069" s="2022"/>
      <c r="O1069" s="2026"/>
      <c r="P1069" s="2024"/>
      <c r="Q1069" s="477"/>
      <c r="R1069" s="2022"/>
      <c r="S1069" s="2026"/>
      <c r="T1069" s="2024"/>
      <c r="U1069" s="477"/>
      <c r="V1069" s="2022"/>
      <c r="W1069" s="2026"/>
      <c r="X1069" s="2024"/>
      <c r="Y1069" s="477"/>
      <c r="Z1069" s="2022"/>
      <c r="AA1069" s="2026"/>
      <c r="AB1069" s="2024"/>
      <c r="AC1069" s="477"/>
      <c r="AD1069" s="2022"/>
      <c r="AE1069" s="2026"/>
      <c r="AF1069" s="2024"/>
      <c r="AG1069" s="477"/>
      <c r="AH1069" s="2022"/>
      <c r="AI1069" s="2026"/>
      <c r="AJ1069" s="2024"/>
      <c r="AK1069" s="477"/>
      <c r="AL1069" s="2022"/>
      <c r="AM1069" s="2026"/>
      <c r="AN1069" s="2024"/>
      <c r="AO1069" s="477"/>
    </row>
    <row r="1070" spans="1:41" ht="15">
      <c r="A1070" s="475"/>
      <c r="B1070" s="2022"/>
      <c r="C1070" s="2026"/>
      <c r="D1070" s="2024"/>
      <c r="E1070" s="477"/>
      <c r="F1070" s="2022"/>
      <c r="G1070" s="2026"/>
      <c r="H1070" s="2024"/>
      <c r="I1070" s="477"/>
      <c r="J1070" s="2022"/>
      <c r="K1070" s="2026"/>
      <c r="L1070" s="2024"/>
      <c r="M1070" s="477"/>
      <c r="N1070" s="2022"/>
      <c r="O1070" s="2026"/>
      <c r="P1070" s="2024"/>
      <c r="Q1070" s="477"/>
      <c r="R1070" s="2022"/>
      <c r="S1070" s="2026"/>
      <c r="T1070" s="2024"/>
      <c r="U1070" s="477"/>
      <c r="V1070" s="2022"/>
      <c r="W1070" s="2026"/>
      <c r="X1070" s="2024"/>
      <c r="Y1070" s="477"/>
      <c r="Z1070" s="2022"/>
      <c r="AA1070" s="2026"/>
      <c r="AB1070" s="2024"/>
      <c r="AC1070" s="477"/>
      <c r="AD1070" s="2022"/>
      <c r="AE1070" s="2026"/>
      <c r="AF1070" s="2024"/>
      <c r="AG1070" s="477"/>
      <c r="AH1070" s="2022"/>
      <c r="AI1070" s="2026"/>
      <c r="AJ1070" s="2024"/>
      <c r="AK1070" s="477"/>
      <c r="AL1070" s="2022"/>
      <c r="AM1070" s="2026"/>
      <c r="AN1070" s="2024"/>
      <c r="AO1070" s="477"/>
    </row>
    <row r="1071" spans="1:41" ht="15">
      <c r="A1071" s="475"/>
      <c r="B1071" s="2022"/>
      <c r="C1071" s="2026"/>
      <c r="D1071" s="2024"/>
      <c r="E1071" s="477"/>
      <c r="F1071" s="2022"/>
      <c r="G1071" s="2026"/>
      <c r="H1071" s="2024"/>
      <c r="I1071" s="477"/>
      <c r="J1071" s="2022"/>
      <c r="K1071" s="2026"/>
      <c r="L1071" s="2024"/>
      <c r="M1071" s="477"/>
      <c r="N1071" s="2022"/>
      <c r="O1071" s="2026"/>
      <c r="P1071" s="2024"/>
      <c r="Q1071" s="477"/>
      <c r="R1071" s="2022"/>
      <c r="S1071" s="2026"/>
      <c r="T1071" s="2024"/>
      <c r="U1071" s="477"/>
      <c r="V1071" s="2022"/>
      <c r="W1071" s="2026"/>
      <c r="X1071" s="2024"/>
      <c r="Y1071" s="477"/>
      <c r="Z1071" s="2022"/>
      <c r="AA1071" s="2026"/>
      <c r="AB1071" s="2024"/>
      <c r="AC1071" s="477"/>
      <c r="AD1071" s="2022"/>
      <c r="AE1071" s="2026"/>
      <c r="AF1071" s="2024"/>
      <c r="AG1071" s="477"/>
      <c r="AH1071" s="2022"/>
      <c r="AI1071" s="2026"/>
      <c r="AJ1071" s="2024"/>
      <c r="AK1071" s="477"/>
      <c r="AL1071" s="2022"/>
      <c r="AM1071" s="2026"/>
      <c r="AN1071" s="2024"/>
      <c r="AO1071" s="477"/>
    </row>
    <row r="1072" spans="1:41" ht="15">
      <c r="A1072" s="475"/>
      <c r="B1072" s="2022"/>
      <c r="C1072" s="2026"/>
      <c r="D1072" s="2024"/>
      <c r="E1072" s="477"/>
      <c r="F1072" s="2022"/>
      <c r="G1072" s="2026"/>
      <c r="H1072" s="2024"/>
      <c r="I1072" s="477"/>
      <c r="J1072" s="2022"/>
      <c r="K1072" s="2026"/>
      <c r="L1072" s="2024"/>
      <c r="M1072" s="477"/>
      <c r="N1072" s="2022"/>
      <c r="O1072" s="2026"/>
      <c r="P1072" s="2024"/>
      <c r="Q1072" s="477"/>
      <c r="R1072" s="2022"/>
      <c r="S1072" s="2026"/>
      <c r="T1072" s="2024"/>
      <c r="U1072" s="477"/>
      <c r="V1072" s="2022"/>
      <c r="W1072" s="2026"/>
      <c r="X1072" s="2024"/>
      <c r="Y1072" s="477"/>
      <c r="Z1072" s="2022"/>
      <c r="AA1072" s="2026"/>
      <c r="AB1072" s="2024"/>
      <c r="AC1072" s="477"/>
      <c r="AD1072" s="2022"/>
      <c r="AE1072" s="2026"/>
      <c r="AF1072" s="2024"/>
      <c r="AG1072" s="477"/>
      <c r="AH1072" s="2022"/>
      <c r="AI1072" s="2026"/>
      <c r="AJ1072" s="2024"/>
      <c r="AK1072" s="477"/>
      <c r="AL1072" s="2022"/>
      <c r="AM1072" s="2026"/>
      <c r="AN1072" s="2024"/>
      <c r="AO1072" s="477"/>
    </row>
    <row r="1073" spans="1:41" ht="15">
      <c r="A1073" s="475"/>
      <c r="B1073" s="2022"/>
      <c r="C1073" s="2026"/>
      <c r="D1073" s="2024"/>
      <c r="E1073" s="477"/>
      <c r="F1073" s="2022"/>
      <c r="G1073" s="2026"/>
      <c r="H1073" s="2024"/>
      <c r="I1073" s="477"/>
      <c r="J1073" s="2022"/>
      <c r="K1073" s="2026"/>
      <c r="L1073" s="2024"/>
      <c r="M1073" s="477"/>
      <c r="N1073" s="2022"/>
      <c r="O1073" s="2026"/>
      <c r="P1073" s="2024"/>
      <c r="Q1073" s="477"/>
      <c r="R1073" s="2022"/>
      <c r="S1073" s="2026"/>
      <c r="T1073" s="2024"/>
      <c r="U1073" s="477"/>
      <c r="V1073" s="2022"/>
      <c r="W1073" s="2026"/>
      <c r="X1073" s="2024"/>
      <c r="Y1073" s="477"/>
      <c r="Z1073" s="2022"/>
      <c r="AA1073" s="2026"/>
      <c r="AB1073" s="2024"/>
      <c r="AC1073" s="477"/>
      <c r="AD1073" s="2022"/>
      <c r="AE1073" s="2026"/>
      <c r="AF1073" s="2024"/>
      <c r="AG1073" s="477"/>
      <c r="AH1073" s="2022"/>
      <c r="AI1073" s="2026"/>
      <c r="AJ1073" s="2024"/>
      <c r="AK1073" s="477"/>
      <c r="AL1073" s="2022"/>
      <c r="AM1073" s="2026"/>
      <c r="AN1073" s="2024"/>
      <c r="AO1073" s="477"/>
    </row>
    <row r="1074" spans="1:41" ht="15">
      <c r="A1074" s="475"/>
      <c r="B1074" s="2022"/>
      <c r="C1074" s="2026"/>
      <c r="D1074" s="2024"/>
      <c r="E1074" s="477"/>
      <c r="F1074" s="2022"/>
      <c r="G1074" s="2026"/>
      <c r="H1074" s="2024"/>
      <c r="I1074" s="477"/>
      <c r="J1074" s="2022"/>
      <c r="K1074" s="2026"/>
      <c r="L1074" s="2024"/>
      <c r="M1074" s="477"/>
      <c r="N1074" s="2022"/>
      <c r="O1074" s="2026"/>
      <c r="P1074" s="2024"/>
      <c r="Q1074" s="477"/>
      <c r="R1074" s="2022"/>
      <c r="S1074" s="2026"/>
      <c r="T1074" s="2024"/>
      <c r="U1074" s="477"/>
      <c r="V1074" s="2022"/>
      <c r="W1074" s="2026"/>
      <c r="X1074" s="2024"/>
      <c r="Y1074" s="477"/>
      <c r="Z1074" s="2022"/>
      <c r="AA1074" s="2026"/>
      <c r="AB1074" s="2024"/>
      <c r="AC1074" s="477"/>
      <c r="AD1074" s="2022"/>
      <c r="AE1074" s="2026"/>
      <c r="AF1074" s="2024"/>
      <c r="AG1074" s="477"/>
      <c r="AH1074" s="2022"/>
      <c r="AI1074" s="2026"/>
      <c r="AJ1074" s="2024"/>
      <c r="AK1074" s="477"/>
      <c r="AL1074" s="2022"/>
      <c r="AM1074" s="2026"/>
      <c r="AN1074" s="2024"/>
      <c r="AO1074" s="477"/>
    </row>
    <row r="1075" spans="1:41" ht="15">
      <c r="A1075" s="475"/>
      <c r="B1075" s="2022"/>
      <c r="C1075" s="2026"/>
      <c r="D1075" s="2024"/>
      <c r="E1075" s="477"/>
      <c r="F1075" s="2022"/>
      <c r="G1075" s="2026"/>
      <c r="H1075" s="2024"/>
      <c r="I1075" s="477"/>
      <c r="J1075" s="2022"/>
      <c r="K1075" s="2026"/>
      <c r="L1075" s="2024"/>
      <c r="M1075" s="477"/>
      <c r="N1075" s="2022"/>
      <c r="O1075" s="2026"/>
      <c r="P1075" s="2024"/>
      <c r="Q1075" s="477"/>
      <c r="R1075" s="2022"/>
      <c r="S1075" s="2026"/>
      <c r="T1075" s="2024"/>
      <c r="U1075" s="477"/>
      <c r="V1075" s="2022"/>
      <c r="W1075" s="2026"/>
      <c r="X1075" s="2024"/>
      <c r="Y1075" s="477"/>
      <c r="Z1075" s="2022"/>
      <c r="AA1075" s="2026"/>
      <c r="AB1075" s="2024"/>
      <c r="AC1075" s="477"/>
      <c r="AD1075" s="2022"/>
      <c r="AE1075" s="2026"/>
      <c r="AF1075" s="2024"/>
      <c r="AG1075" s="477"/>
      <c r="AH1075" s="2022"/>
      <c r="AI1075" s="2026"/>
      <c r="AJ1075" s="2024"/>
      <c r="AK1075" s="477"/>
      <c r="AL1075" s="2022"/>
      <c r="AM1075" s="2026"/>
      <c r="AN1075" s="2024"/>
      <c r="AO1075" s="477"/>
    </row>
    <row r="1076" spans="1:41" ht="15">
      <c r="A1076" s="475"/>
      <c r="B1076" s="2022"/>
      <c r="C1076" s="2026"/>
      <c r="D1076" s="2024"/>
      <c r="E1076" s="477"/>
      <c r="F1076" s="2022"/>
      <c r="G1076" s="2026"/>
      <c r="H1076" s="2024"/>
      <c r="I1076" s="477"/>
      <c r="J1076" s="2022"/>
      <c r="K1076" s="2026"/>
      <c r="L1076" s="2024"/>
      <c r="M1076" s="477"/>
      <c r="N1076" s="2022"/>
      <c r="O1076" s="2026"/>
      <c r="P1076" s="2024"/>
      <c r="Q1076" s="477"/>
      <c r="R1076" s="2022"/>
      <c r="S1076" s="2026"/>
      <c r="T1076" s="2024"/>
      <c r="U1076" s="477"/>
      <c r="V1076" s="2022"/>
      <c r="W1076" s="2026"/>
      <c r="X1076" s="2024"/>
      <c r="Y1076" s="477"/>
      <c r="Z1076" s="2022"/>
      <c r="AA1076" s="2026"/>
      <c r="AB1076" s="2024"/>
      <c r="AC1076" s="477"/>
      <c r="AD1076" s="2022"/>
      <c r="AE1076" s="2026"/>
      <c r="AF1076" s="2024"/>
      <c r="AG1076" s="477"/>
      <c r="AH1076" s="2022"/>
      <c r="AI1076" s="2026"/>
      <c r="AJ1076" s="2024"/>
      <c r="AK1076" s="477"/>
      <c r="AL1076" s="2022"/>
      <c r="AM1076" s="2026"/>
      <c r="AN1076" s="2024"/>
      <c r="AO1076" s="477"/>
    </row>
    <row r="1077" spans="1:41" ht="15">
      <c r="A1077" s="475"/>
      <c r="B1077" s="2022"/>
      <c r="C1077" s="2026"/>
      <c r="D1077" s="2024"/>
      <c r="E1077" s="477"/>
      <c r="F1077" s="2022"/>
      <c r="G1077" s="2026"/>
      <c r="H1077" s="2024"/>
      <c r="I1077" s="477"/>
      <c r="J1077" s="2022"/>
      <c r="K1077" s="2026"/>
      <c r="L1077" s="2024"/>
      <c r="M1077" s="477"/>
      <c r="N1077" s="2022"/>
      <c r="O1077" s="2026"/>
      <c r="P1077" s="2024"/>
      <c r="Q1077" s="477"/>
      <c r="R1077" s="2022"/>
      <c r="S1077" s="2026"/>
      <c r="T1077" s="2024"/>
      <c r="U1077" s="477"/>
      <c r="V1077" s="2022"/>
      <c r="W1077" s="2026"/>
      <c r="X1077" s="2024"/>
      <c r="Y1077" s="477"/>
      <c r="Z1077" s="2022"/>
      <c r="AA1077" s="2026"/>
      <c r="AB1077" s="2024"/>
      <c r="AC1077" s="477"/>
      <c r="AD1077" s="2022"/>
      <c r="AE1077" s="2026"/>
      <c r="AF1077" s="2024"/>
      <c r="AG1077" s="477"/>
      <c r="AH1077" s="2022"/>
      <c r="AI1077" s="2026"/>
      <c r="AJ1077" s="2024"/>
      <c r="AK1077" s="477"/>
      <c r="AL1077" s="2022"/>
      <c r="AM1077" s="2026"/>
      <c r="AN1077" s="2024"/>
      <c r="AO1077" s="477"/>
    </row>
    <row r="1078" spans="1:41" ht="15">
      <c r="A1078" s="475"/>
      <c r="B1078" s="2022"/>
      <c r="C1078" s="2026"/>
      <c r="D1078" s="2024"/>
      <c r="E1078" s="477"/>
      <c r="F1078" s="2022"/>
      <c r="G1078" s="2026"/>
      <c r="H1078" s="2024"/>
      <c r="I1078" s="477"/>
      <c r="J1078" s="2022"/>
      <c r="K1078" s="2026"/>
      <c r="L1078" s="2024"/>
      <c r="M1078" s="477"/>
      <c r="N1078" s="2022"/>
      <c r="O1078" s="2026"/>
      <c r="P1078" s="2024"/>
      <c r="Q1078" s="477"/>
      <c r="R1078" s="2022"/>
      <c r="S1078" s="2026"/>
      <c r="T1078" s="2024"/>
      <c r="U1078" s="477"/>
      <c r="V1078" s="2022"/>
      <c r="W1078" s="2026"/>
      <c r="X1078" s="2024"/>
      <c r="Y1078" s="477"/>
      <c r="Z1078" s="2022"/>
      <c r="AA1078" s="2026"/>
      <c r="AB1078" s="2024"/>
      <c r="AC1078" s="477"/>
      <c r="AD1078" s="2022"/>
      <c r="AE1078" s="2026"/>
      <c r="AF1078" s="2024"/>
      <c r="AG1078" s="477"/>
      <c r="AH1078" s="2022"/>
      <c r="AI1078" s="2026"/>
      <c r="AJ1078" s="2024"/>
      <c r="AK1078" s="477"/>
      <c r="AL1078" s="2022"/>
      <c r="AM1078" s="2026"/>
      <c r="AN1078" s="2024"/>
      <c r="AO1078" s="477"/>
    </row>
    <row r="1079" spans="1:41" ht="15">
      <c r="A1079" s="475"/>
      <c r="B1079" s="2022"/>
      <c r="C1079" s="2026"/>
      <c r="D1079" s="2024"/>
      <c r="E1079" s="477"/>
      <c r="F1079" s="2022"/>
      <c r="G1079" s="2026"/>
      <c r="H1079" s="2024"/>
      <c r="I1079" s="477"/>
      <c r="J1079" s="2022"/>
      <c r="K1079" s="2026"/>
      <c r="L1079" s="2024"/>
      <c r="M1079" s="477"/>
      <c r="N1079" s="2022"/>
      <c r="O1079" s="2026"/>
      <c r="P1079" s="2024"/>
      <c r="Q1079" s="477"/>
      <c r="R1079" s="2022"/>
      <c r="S1079" s="2026"/>
      <c r="T1079" s="2024"/>
      <c r="U1079" s="477"/>
      <c r="V1079" s="2022"/>
      <c r="W1079" s="2026"/>
      <c r="X1079" s="2024"/>
      <c r="Y1079" s="477"/>
      <c r="Z1079" s="2022"/>
      <c r="AA1079" s="2026"/>
      <c r="AB1079" s="2024"/>
      <c r="AC1079" s="477"/>
      <c r="AD1079" s="2022"/>
      <c r="AE1079" s="2026"/>
      <c r="AF1079" s="2024"/>
      <c r="AG1079" s="477"/>
      <c r="AH1079" s="2022"/>
      <c r="AI1079" s="2026"/>
      <c r="AJ1079" s="2024"/>
      <c r="AK1079" s="477"/>
      <c r="AL1079" s="2022"/>
      <c r="AM1079" s="2026"/>
      <c r="AN1079" s="2024"/>
      <c r="AO1079" s="477"/>
    </row>
    <row r="1080" spans="1:41" ht="15">
      <c r="A1080" s="475"/>
      <c r="B1080" s="2022"/>
      <c r="C1080" s="2026"/>
      <c r="D1080" s="2024"/>
      <c r="E1080" s="477"/>
      <c r="F1080" s="2022"/>
      <c r="G1080" s="2026"/>
      <c r="H1080" s="2024"/>
      <c r="I1080" s="477"/>
      <c r="J1080" s="2022"/>
      <c r="K1080" s="2026"/>
      <c r="L1080" s="2024"/>
      <c r="M1080" s="477"/>
      <c r="N1080" s="2022"/>
      <c r="O1080" s="2026"/>
      <c r="P1080" s="2024"/>
      <c r="Q1080" s="477"/>
      <c r="R1080" s="2022"/>
      <c r="S1080" s="2026"/>
      <c r="T1080" s="2024"/>
      <c r="U1080" s="477"/>
      <c r="V1080" s="2022"/>
      <c r="W1080" s="2026"/>
      <c r="X1080" s="2024"/>
      <c r="Y1080" s="477"/>
      <c r="Z1080" s="2022"/>
      <c r="AA1080" s="2026"/>
      <c r="AB1080" s="2024"/>
      <c r="AC1080" s="477"/>
      <c r="AD1080" s="2022"/>
      <c r="AE1080" s="2026"/>
      <c r="AF1080" s="2024"/>
      <c r="AG1080" s="477"/>
      <c r="AH1080" s="2022"/>
      <c r="AI1080" s="2026"/>
      <c r="AJ1080" s="2024"/>
      <c r="AK1080" s="477"/>
      <c r="AL1080" s="2022"/>
      <c r="AM1080" s="2026"/>
      <c r="AN1080" s="2024"/>
      <c r="AO1080" s="477"/>
    </row>
    <row r="1081" spans="1:41" ht="15">
      <c r="A1081" s="475"/>
      <c r="B1081" s="2022"/>
      <c r="C1081" s="2026"/>
      <c r="D1081" s="2024"/>
      <c r="E1081" s="477"/>
      <c r="F1081" s="2022"/>
      <c r="G1081" s="2026"/>
      <c r="H1081" s="2024"/>
      <c r="I1081" s="477"/>
      <c r="J1081" s="2022"/>
      <c r="K1081" s="2026"/>
      <c r="L1081" s="2024"/>
      <c r="M1081" s="477"/>
      <c r="N1081" s="2022"/>
      <c r="O1081" s="2026"/>
      <c r="P1081" s="2024"/>
      <c r="Q1081" s="477"/>
      <c r="R1081" s="2022"/>
      <c r="S1081" s="2026"/>
      <c r="T1081" s="2024"/>
      <c r="U1081" s="477"/>
      <c r="V1081" s="2022"/>
      <c r="W1081" s="2026"/>
      <c r="X1081" s="2024"/>
      <c r="Y1081" s="477"/>
      <c r="Z1081" s="2022"/>
      <c r="AA1081" s="2026"/>
      <c r="AB1081" s="2024"/>
      <c r="AC1081" s="477"/>
      <c r="AD1081" s="2022"/>
      <c r="AE1081" s="2026"/>
      <c r="AF1081" s="2024"/>
      <c r="AG1081" s="477"/>
      <c r="AH1081" s="2022"/>
      <c r="AI1081" s="2026"/>
      <c r="AJ1081" s="2024"/>
      <c r="AK1081" s="477"/>
      <c r="AL1081" s="2022"/>
      <c r="AM1081" s="2026"/>
      <c r="AN1081" s="2024"/>
      <c r="AO1081" s="477"/>
    </row>
    <row r="1082" spans="1:41" ht="15">
      <c r="A1082" s="475"/>
      <c r="B1082" s="2022"/>
      <c r="C1082" s="2026"/>
      <c r="D1082" s="2024"/>
      <c r="E1082" s="477"/>
      <c r="F1082" s="2022"/>
      <c r="G1082" s="2026"/>
      <c r="H1082" s="2024"/>
      <c r="I1082" s="477"/>
      <c r="J1082" s="2022"/>
      <c r="K1082" s="2026"/>
      <c r="L1082" s="2024"/>
      <c r="M1082" s="477"/>
      <c r="N1082" s="2022"/>
      <c r="O1082" s="2026"/>
      <c r="P1082" s="2024"/>
      <c r="Q1082" s="477"/>
      <c r="R1082" s="2022"/>
      <c r="S1082" s="2026"/>
      <c r="T1082" s="2024"/>
      <c r="U1082" s="477"/>
      <c r="V1082" s="2022"/>
      <c r="W1082" s="2026"/>
      <c r="X1082" s="2024"/>
      <c r="Y1082" s="477"/>
      <c r="Z1082" s="2022"/>
      <c r="AA1082" s="2026"/>
      <c r="AB1082" s="2024"/>
      <c r="AC1082" s="477"/>
      <c r="AD1082" s="2022"/>
      <c r="AE1082" s="2026"/>
      <c r="AF1082" s="2024"/>
      <c r="AG1082" s="477"/>
      <c r="AH1082" s="2022"/>
      <c r="AI1082" s="2026"/>
      <c r="AJ1082" s="2024"/>
      <c r="AK1082" s="477"/>
      <c r="AL1082" s="2022"/>
      <c r="AM1082" s="2026"/>
      <c r="AN1082" s="2024"/>
      <c r="AO1082" s="477"/>
    </row>
    <row r="1083" spans="1:41" ht="15">
      <c r="A1083" s="475"/>
      <c r="B1083" s="2022"/>
      <c r="C1083" s="2026"/>
      <c r="D1083" s="2024"/>
      <c r="E1083" s="477"/>
      <c r="F1083" s="2022"/>
      <c r="G1083" s="2026"/>
      <c r="H1083" s="2024"/>
      <c r="I1083" s="477"/>
      <c r="J1083" s="2022"/>
      <c r="K1083" s="2026"/>
      <c r="L1083" s="2024"/>
      <c r="M1083" s="477"/>
      <c r="N1083" s="2022"/>
      <c r="O1083" s="2026"/>
      <c r="P1083" s="2024"/>
      <c r="Q1083" s="477"/>
      <c r="R1083" s="2022"/>
      <c r="S1083" s="2026"/>
      <c r="T1083" s="2024"/>
      <c r="U1083" s="477"/>
      <c r="V1083" s="2022"/>
      <c r="W1083" s="2026"/>
      <c r="X1083" s="2024"/>
      <c r="Y1083" s="477"/>
      <c r="Z1083" s="2022"/>
      <c r="AA1083" s="2026"/>
      <c r="AB1083" s="2024"/>
      <c r="AC1083" s="477"/>
      <c r="AD1083" s="2022"/>
      <c r="AE1083" s="2026"/>
      <c r="AF1083" s="2024"/>
      <c r="AG1083" s="477"/>
      <c r="AH1083" s="2022"/>
      <c r="AI1083" s="2026"/>
      <c r="AJ1083" s="2024"/>
      <c r="AK1083" s="477"/>
      <c r="AL1083" s="2022"/>
      <c r="AM1083" s="2026"/>
      <c r="AN1083" s="2024"/>
      <c r="AO1083" s="477"/>
    </row>
    <row r="1084" spans="1:41" ht="15">
      <c r="A1084" s="475"/>
      <c r="B1084" s="2022"/>
      <c r="C1084" s="2026"/>
      <c r="D1084" s="2024"/>
      <c r="E1084" s="477"/>
      <c r="F1084" s="2022"/>
      <c r="G1084" s="2026"/>
      <c r="H1084" s="2024"/>
      <c r="I1084" s="477"/>
      <c r="J1084" s="2022"/>
      <c r="K1084" s="2026"/>
      <c r="L1084" s="2024"/>
      <c r="M1084" s="477"/>
      <c r="N1084" s="2022"/>
      <c r="O1084" s="2026"/>
      <c r="P1084" s="2024"/>
      <c r="Q1084" s="477"/>
      <c r="R1084" s="2022"/>
      <c r="S1084" s="2026"/>
      <c r="T1084" s="2024"/>
      <c r="U1084" s="477"/>
      <c r="V1084" s="2022"/>
      <c r="W1084" s="2026"/>
      <c r="X1084" s="2024"/>
      <c r="Y1084" s="477"/>
      <c r="Z1084" s="2022"/>
      <c r="AA1084" s="2026"/>
      <c r="AB1084" s="2024"/>
      <c r="AC1084" s="477"/>
      <c r="AD1084" s="2022"/>
      <c r="AE1084" s="2026"/>
      <c r="AF1084" s="2024"/>
      <c r="AG1084" s="477"/>
      <c r="AH1084" s="2022"/>
      <c r="AI1084" s="2026"/>
      <c r="AJ1084" s="2024"/>
      <c r="AK1084" s="477"/>
      <c r="AL1084" s="2022"/>
      <c r="AM1084" s="2026"/>
      <c r="AN1084" s="2024"/>
      <c r="AO1084" s="477"/>
    </row>
    <row r="1085" spans="1:41" ht="15.75" thickBot="1">
      <c r="A1085" s="475"/>
      <c r="B1085" s="2027"/>
      <c r="C1085" s="2028"/>
      <c r="D1085" s="2029"/>
      <c r="E1085" s="477"/>
      <c r="F1085" s="2027"/>
      <c r="G1085" s="2028"/>
      <c r="H1085" s="2029"/>
      <c r="I1085" s="477"/>
      <c r="J1085" s="2027"/>
      <c r="K1085" s="2028"/>
      <c r="L1085" s="2029"/>
      <c r="M1085" s="477"/>
      <c r="N1085" s="2027"/>
      <c r="O1085" s="2028"/>
      <c r="P1085" s="2029"/>
      <c r="Q1085" s="477"/>
      <c r="R1085" s="2027"/>
      <c r="S1085" s="2028"/>
      <c r="T1085" s="2029"/>
      <c r="U1085" s="477"/>
      <c r="V1085" s="2027"/>
      <c r="W1085" s="2028"/>
      <c r="X1085" s="2029"/>
      <c r="Y1085" s="477"/>
      <c r="Z1085" s="2027"/>
      <c r="AA1085" s="2028"/>
      <c r="AB1085" s="2029"/>
      <c r="AC1085" s="477"/>
      <c r="AD1085" s="2027"/>
      <c r="AE1085" s="2028"/>
      <c r="AF1085" s="2029"/>
      <c r="AG1085" s="477"/>
      <c r="AH1085" s="2027"/>
      <c r="AI1085" s="2028"/>
      <c r="AJ1085" s="2029"/>
      <c r="AK1085" s="477"/>
      <c r="AL1085" s="2027"/>
      <c r="AM1085" s="2028"/>
      <c r="AN1085" s="2029"/>
      <c r="AO1085" s="477"/>
    </row>
    <row r="1087" spans="1:41" ht="13.5" thickBot="1">
      <c r="B1087" s="321" t="s">
        <v>130</v>
      </c>
    </row>
    <row r="1088" spans="1:41" ht="200.1" customHeight="1" thickBot="1">
      <c r="B1088" s="2045"/>
      <c r="C1088" s="2046"/>
      <c r="D1088" s="2047"/>
      <c r="E1088" s="245"/>
      <c r="F1088" s="2045"/>
      <c r="G1088" s="2046"/>
      <c r="H1088" s="2047"/>
      <c r="I1088" s="245"/>
      <c r="J1088" s="2045"/>
      <c r="K1088" s="2046"/>
      <c r="L1088" s="2047"/>
      <c r="M1088" s="245"/>
      <c r="N1088" s="2045"/>
      <c r="O1088" s="2046"/>
      <c r="P1088" s="2047"/>
      <c r="Q1088" s="245"/>
      <c r="R1088" s="2045"/>
      <c r="S1088" s="2046"/>
      <c r="T1088" s="2047"/>
      <c r="U1088" s="245"/>
      <c r="V1088" s="2045"/>
      <c r="W1088" s="2046"/>
      <c r="X1088" s="2047"/>
      <c r="Y1088" s="245"/>
      <c r="Z1088" s="2045"/>
      <c r="AA1088" s="2046"/>
      <c r="AB1088" s="2047"/>
      <c r="AC1088" s="245"/>
      <c r="AD1088" s="2045"/>
      <c r="AE1088" s="2046"/>
      <c r="AF1088" s="2047"/>
      <c r="AG1088" s="245"/>
      <c r="AH1088" s="2045"/>
      <c r="AI1088" s="2046"/>
      <c r="AJ1088" s="2047"/>
      <c r="AK1088" s="245"/>
      <c r="AL1088" s="2045"/>
      <c r="AM1088" s="2046"/>
      <c r="AN1088" s="2047"/>
      <c r="AO1088" s="245"/>
    </row>
    <row r="1089" spans="27:41" ht="15">
      <c r="AA1089" s="2030"/>
      <c r="AB1089" s="2030"/>
      <c r="AC1089" s="2030"/>
      <c r="AD1089" s="477"/>
      <c r="AE1089" s="477"/>
      <c r="AF1089" s="477"/>
      <c r="AG1089" s="477"/>
      <c r="AH1089" s="477"/>
      <c r="AI1089" s="477"/>
      <c r="AJ1089" s="477"/>
      <c r="AK1089" s="477"/>
      <c r="AL1089" s="477"/>
      <c r="AM1089" s="477"/>
      <c r="AN1089" s="477"/>
      <c r="AO1089" s="477"/>
    </row>
  </sheetData>
  <sheetProtection formatCells="0" formatColumns="0" formatRows="0"/>
  <customSheetViews>
    <customSheetView guid="{B6007CFB-3D06-43CC-8EB0-042D40129E35}" scale="80" showPageBreaks="1" showGridLines="0" view="pageBreakPreview">
      <selection activeCell="O203" sqref="O203"/>
      <rowBreaks count="4" manualBreakCount="4">
        <brk id="44" max="16383" man="1"/>
        <brk id="84" max="16383" man="1"/>
        <brk id="124" max="16383" man="1"/>
        <brk id="188" max="16383" man="1"/>
      </rowBreaks>
      <colBreaks count="1" manualBreakCount="1">
        <brk id="19" max="254" man="1"/>
      </colBreaks>
      <pageMargins left="0.70866141732283472" right="0.70866141732283472" top="0.74803149606299213" bottom="0.74803149606299213" header="0.31496062992125984" footer="0.31496062992125984"/>
      <pageSetup paperSize="9" scale="38" fitToWidth="2" fitToHeight="6" orientation="landscape" r:id="rId1"/>
    </customSheetView>
  </customSheetViews>
  <mergeCells count="255">
    <mergeCell ref="G234:H234"/>
    <mergeCell ref="G235:H235"/>
    <mergeCell ref="K232:L232"/>
    <mergeCell ref="C448:D448"/>
    <mergeCell ref="G448:H448"/>
    <mergeCell ref="K448:L448"/>
    <mergeCell ref="K234:L234"/>
    <mergeCell ref="K235:L235"/>
    <mergeCell ref="B876:E876"/>
    <mergeCell ref="K450:L450"/>
    <mergeCell ref="G449:H449"/>
    <mergeCell ref="K449:L449"/>
    <mergeCell ref="C665:D665"/>
    <mergeCell ref="G665:H665"/>
    <mergeCell ref="K665:L665"/>
    <mergeCell ref="B12:E12"/>
    <mergeCell ref="B228:E228"/>
    <mergeCell ref="B444:E444"/>
    <mergeCell ref="C16:D16"/>
    <mergeCell ref="C18:D18"/>
    <mergeCell ref="B660:E660"/>
    <mergeCell ref="C232:D232"/>
    <mergeCell ref="C234:D234"/>
    <mergeCell ref="C235:D235"/>
    <mergeCell ref="C449:D449"/>
    <mergeCell ref="AE16:AF16"/>
    <mergeCell ref="AE18:AF18"/>
    <mergeCell ref="AE19:AF19"/>
    <mergeCell ref="W16:X16"/>
    <mergeCell ref="W18:X18"/>
    <mergeCell ref="W19:X19"/>
    <mergeCell ref="AA16:AB16"/>
    <mergeCell ref="AA18:AB18"/>
    <mergeCell ref="AA19:AB19"/>
    <mergeCell ref="W17:X17"/>
    <mergeCell ref="AA17:AB17"/>
    <mergeCell ref="AE17:AF17"/>
    <mergeCell ref="S16:T16"/>
    <mergeCell ref="S18:T18"/>
    <mergeCell ref="S19:T19"/>
    <mergeCell ref="C19:D19"/>
    <mergeCell ref="G16:H16"/>
    <mergeCell ref="O232:P232"/>
    <mergeCell ref="B224:D224"/>
    <mergeCell ref="F224:H224"/>
    <mergeCell ref="J224:L224"/>
    <mergeCell ref="G18:H18"/>
    <mergeCell ref="G19:H19"/>
    <mergeCell ref="K16:L16"/>
    <mergeCell ref="K18:L18"/>
    <mergeCell ref="K19:L19"/>
    <mergeCell ref="G232:H232"/>
    <mergeCell ref="C17:D17"/>
    <mergeCell ref="G17:H17"/>
    <mergeCell ref="K17:L17"/>
    <mergeCell ref="O17:P17"/>
    <mergeCell ref="S17:T17"/>
    <mergeCell ref="O234:P234"/>
    <mergeCell ref="O235:P235"/>
    <mergeCell ref="S232:T232"/>
    <mergeCell ref="S234:T234"/>
    <mergeCell ref="S235:T235"/>
    <mergeCell ref="AM16:AN16"/>
    <mergeCell ref="AM18:AN18"/>
    <mergeCell ref="AM19:AN19"/>
    <mergeCell ref="AI16:AJ16"/>
    <mergeCell ref="AI18:AJ18"/>
    <mergeCell ref="AI19:AJ19"/>
    <mergeCell ref="AM232:AN232"/>
    <mergeCell ref="AM234:AN234"/>
    <mergeCell ref="AM235:AN235"/>
    <mergeCell ref="N224:P224"/>
    <mergeCell ref="R224:T224"/>
    <mergeCell ref="V224:X224"/>
    <mergeCell ref="Z224:AB224"/>
    <mergeCell ref="AD224:AF224"/>
    <mergeCell ref="AH224:AJ224"/>
    <mergeCell ref="AL224:AN224"/>
    <mergeCell ref="O16:P16"/>
    <mergeCell ref="O18:P18"/>
    <mergeCell ref="O19:P19"/>
    <mergeCell ref="AE234:AF234"/>
    <mergeCell ref="AE235:AF235"/>
    <mergeCell ref="AI232:AJ232"/>
    <mergeCell ref="AI234:AJ234"/>
    <mergeCell ref="AI235:AJ235"/>
    <mergeCell ref="W232:X232"/>
    <mergeCell ref="W234:X234"/>
    <mergeCell ref="W235:X235"/>
    <mergeCell ref="AA232:AB232"/>
    <mergeCell ref="AA234:AB234"/>
    <mergeCell ref="AA235:AB235"/>
    <mergeCell ref="O450:P450"/>
    <mergeCell ref="S450:T450"/>
    <mergeCell ref="W450:X450"/>
    <mergeCell ref="AA450:AB450"/>
    <mergeCell ref="AE450:AF450"/>
    <mergeCell ref="AI450:AJ450"/>
    <mergeCell ref="AM450:AN450"/>
    <mergeCell ref="O448:P448"/>
    <mergeCell ref="S448:T448"/>
    <mergeCell ref="W448:X448"/>
    <mergeCell ref="AA448:AB448"/>
    <mergeCell ref="AE448:AF448"/>
    <mergeCell ref="AI448:AJ448"/>
    <mergeCell ref="O449:P449"/>
    <mergeCell ref="S449:T449"/>
    <mergeCell ref="W449:X449"/>
    <mergeCell ref="AA449:AB449"/>
    <mergeCell ref="AE449:AF449"/>
    <mergeCell ref="AI449:AJ449"/>
    <mergeCell ref="AM449:AN449"/>
    <mergeCell ref="AM664:AN664"/>
    <mergeCell ref="C451:D451"/>
    <mergeCell ref="G451:H451"/>
    <mergeCell ref="K451:L451"/>
    <mergeCell ref="O451:P451"/>
    <mergeCell ref="S451:T451"/>
    <mergeCell ref="W451:X451"/>
    <mergeCell ref="AA451:AB451"/>
    <mergeCell ref="AE451:AF451"/>
    <mergeCell ref="AI451:AJ451"/>
    <mergeCell ref="C664:D664"/>
    <mergeCell ref="G664:H664"/>
    <mergeCell ref="K664:L664"/>
    <mergeCell ref="O664:P664"/>
    <mergeCell ref="S664:T664"/>
    <mergeCell ref="W664:X664"/>
    <mergeCell ref="AA664:AB664"/>
    <mergeCell ref="AE664:AF664"/>
    <mergeCell ref="AI664:AJ664"/>
    <mergeCell ref="AM666:AN666"/>
    <mergeCell ref="C667:D667"/>
    <mergeCell ref="G667:H667"/>
    <mergeCell ref="K667:L667"/>
    <mergeCell ref="O667:P667"/>
    <mergeCell ref="S667:T667"/>
    <mergeCell ref="W667:X667"/>
    <mergeCell ref="AA667:AB667"/>
    <mergeCell ref="C666:D666"/>
    <mergeCell ref="G666:H666"/>
    <mergeCell ref="K666:L666"/>
    <mergeCell ref="O666:P666"/>
    <mergeCell ref="S666:T666"/>
    <mergeCell ref="W666:X666"/>
    <mergeCell ref="AA666:AB666"/>
    <mergeCell ref="AE667:AF667"/>
    <mergeCell ref="AI667:AJ667"/>
    <mergeCell ref="C882:D882"/>
    <mergeCell ref="G882:H882"/>
    <mergeCell ref="K882:L882"/>
    <mergeCell ref="O882:P882"/>
    <mergeCell ref="S882:T882"/>
    <mergeCell ref="W882:X882"/>
    <mergeCell ref="S880:T880"/>
    <mergeCell ref="W880:X880"/>
    <mergeCell ref="AA880:AB880"/>
    <mergeCell ref="C880:D880"/>
    <mergeCell ref="G880:H880"/>
    <mergeCell ref="K880:L880"/>
    <mergeCell ref="O880:P880"/>
    <mergeCell ref="AL440:AN440"/>
    <mergeCell ref="B656:D656"/>
    <mergeCell ref="F656:H656"/>
    <mergeCell ref="J656:L656"/>
    <mergeCell ref="N656:P656"/>
    <mergeCell ref="R656:T656"/>
    <mergeCell ref="V656:X656"/>
    <mergeCell ref="Z656:AB656"/>
    <mergeCell ref="AD656:AF656"/>
    <mergeCell ref="AH656:AJ656"/>
    <mergeCell ref="AL656:AN656"/>
    <mergeCell ref="B440:D440"/>
    <mergeCell ref="F440:H440"/>
    <mergeCell ref="J440:L440"/>
    <mergeCell ref="N440:P440"/>
    <mergeCell ref="R440:T440"/>
    <mergeCell ref="V440:X440"/>
    <mergeCell ref="Z440:AB440"/>
    <mergeCell ref="AD440:AF440"/>
    <mergeCell ref="AH440:AJ440"/>
    <mergeCell ref="AM451:AN451"/>
    <mergeCell ref="AM448:AN448"/>
    <mergeCell ref="C450:D450"/>
    <mergeCell ref="G450:H450"/>
    <mergeCell ref="AL1088:AN1088"/>
    <mergeCell ref="B872:D872"/>
    <mergeCell ref="F872:H872"/>
    <mergeCell ref="J872:L872"/>
    <mergeCell ref="N872:P872"/>
    <mergeCell ref="R872:T872"/>
    <mergeCell ref="V872:X872"/>
    <mergeCell ref="Z872:AB872"/>
    <mergeCell ref="AD872:AF872"/>
    <mergeCell ref="AH872:AJ872"/>
    <mergeCell ref="AA883:AB883"/>
    <mergeCell ref="AE883:AF883"/>
    <mergeCell ref="AI883:AJ883"/>
    <mergeCell ref="AM883:AN883"/>
    <mergeCell ref="AA882:AB882"/>
    <mergeCell ref="AE882:AF882"/>
    <mergeCell ref="AI882:AJ882"/>
    <mergeCell ref="AM882:AN882"/>
    <mergeCell ref="C883:D883"/>
    <mergeCell ref="G883:H883"/>
    <mergeCell ref="K883:L883"/>
    <mergeCell ref="O883:P883"/>
    <mergeCell ref="S883:T883"/>
    <mergeCell ref="W883:X883"/>
    <mergeCell ref="B1088:D1088"/>
    <mergeCell ref="F1088:H1088"/>
    <mergeCell ref="J1088:L1088"/>
    <mergeCell ref="N1088:P1088"/>
    <mergeCell ref="R1088:T1088"/>
    <mergeCell ref="V1088:X1088"/>
    <mergeCell ref="Z1088:AB1088"/>
    <mergeCell ref="AD1088:AF1088"/>
    <mergeCell ref="AH1088:AJ1088"/>
    <mergeCell ref="AI17:AJ17"/>
    <mergeCell ref="AM17:AN17"/>
    <mergeCell ref="C233:D233"/>
    <mergeCell ref="G233:H233"/>
    <mergeCell ref="K233:L233"/>
    <mergeCell ref="O233:P233"/>
    <mergeCell ref="S233:T233"/>
    <mergeCell ref="W233:X233"/>
    <mergeCell ref="AA233:AB233"/>
    <mergeCell ref="AE233:AF233"/>
    <mergeCell ref="AI233:AJ233"/>
    <mergeCell ref="AM233:AN233"/>
    <mergeCell ref="AE232:AF232"/>
    <mergeCell ref="O665:P665"/>
    <mergeCell ref="S665:T665"/>
    <mergeCell ref="W665:X665"/>
    <mergeCell ref="AA665:AB665"/>
    <mergeCell ref="AE665:AF665"/>
    <mergeCell ref="AI665:AJ665"/>
    <mergeCell ref="AM665:AN665"/>
    <mergeCell ref="C881:D881"/>
    <mergeCell ref="G881:H881"/>
    <mergeCell ref="K881:L881"/>
    <mergeCell ref="O881:P881"/>
    <mergeCell ref="S881:T881"/>
    <mergeCell ref="W881:X881"/>
    <mergeCell ref="AA881:AB881"/>
    <mergeCell ref="AE881:AF881"/>
    <mergeCell ref="AI881:AJ881"/>
    <mergeCell ref="AM881:AN881"/>
    <mergeCell ref="AL872:AN872"/>
    <mergeCell ref="AE880:AF880"/>
    <mergeCell ref="AI880:AJ880"/>
    <mergeCell ref="AM880:AN880"/>
    <mergeCell ref="AM667:AN667"/>
    <mergeCell ref="AE666:AF666"/>
    <mergeCell ref="AI666:AJ666"/>
  </mergeCells>
  <dataValidations count="1">
    <dataValidation type="list" allowBlank="1" showInputMessage="1" showErrorMessage="1" sqref="AE883:AE884 AA883:AA884 W883:W884 S883:S884 O883:O884 K883:K884 G883:G884 AI883:AI884 C883:C884 AM883:AM884 AM451:AM452 C451:C452 AI451:AI452 G451:G452 K451:K452 O451:O452 S451:S452 W451:W452 AA451:AA452 C19:C20 AM667:AM668 G19:G20 K19:K20 S19:S20 O19:O20 W19:W20 AE19:AE20 AI19:AI20 AA19:AA20 AM19:AM20 AI235:AI236 AE235:AE236 AA235:AA236 W235:W236 S235:S236 O235:O236 K235:K236 G235:G236 C235:C236 AE451:AE452 C667:C668 AI667:AI668 G667:G668 K667:K668 O667:O668 S667:S668 W667:W668 AA667:AA668 AM235:AM236 AE667:AE668">
      <formula1>"Up, Down, Nearest"</formula1>
    </dataValidation>
  </dataValidations>
  <hyperlinks>
    <hyperlink ref="B4" location="ERF" display="EFR"/>
    <hyperlink ref="B5" location="LRF" display="LRF"/>
    <hyperlink ref="B6" location="Commutation" display="Commutation"/>
    <hyperlink ref="B7" location="Spouses_Reduction_Factor" display="Spouses Reduction Factor "/>
    <hyperlink ref="B8" location="Triv_Comm_Factors" display="Trivial Commutation"/>
  </hyperlinks>
  <pageMargins left="0.70866141732283472" right="0.70866141732283472" top="0.74803149606299213" bottom="0.74803149606299213" header="0.31496062992125984" footer="0.31496062992125984"/>
  <pageSetup paperSize="9" scale="38" fitToWidth="2" fitToHeight="6" orientation="landscape" r:id="rId2"/>
  <rowBreaks count="4" manualBreakCount="4">
    <brk id="225" max="16383" man="1"/>
    <brk id="441" max="16383" man="1"/>
    <brk id="657" max="16383" man="1"/>
    <brk id="873" max="16383" man="1"/>
  </rowBreaks>
  <colBreaks count="1" manualBreakCount="1">
    <brk id="19" max="254" man="1"/>
  </colBreaks>
  <legacyDrawing r:id="rId3"/>
</worksheet>
</file>

<file path=xl/worksheets/sheet4.xml><?xml version="1.0" encoding="utf-8"?>
<worksheet xmlns="http://schemas.openxmlformats.org/spreadsheetml/2006/main" xmlns:r="http://schemas.openxmlformats.org/officeDocument/2006/relationships">
  <sheetPr codeName="Sheet5"/>
  <dimension ref="A1:AO394"/>
  <sheetViews>
    <sheetView showGridLines="0" zoomScale="80" zoomScaleNormal="80" workbookViewId="0">
      <selection activeCell="C50" sqref="C50:D52"/>
    </sheetView>
  </sheetViews>
  <sheetFormatPr defaultRowHeight="12.75"/>
  <cols>
    <col min="1" max="1" width="4.42578125" style="205" customWidth="1"/>
    <col min="2" max="2" width="30.7109375" style="205" customWidth="1"/>
    <col min="3" max="3" width="30.28515625" style="268" customWidth="1"/>
    <col min="4" max="8" width="11.7109375" style="205" customWidth="1"/>
    <col min="9" max="9" width="13.5703125" style="205" customWidth="1"/>
    <col min="10" max="10" width="14.7109375" style="205" customWidth="1"/>
    <col min="11" max="11" width="15.42578125" style="205" customWidth="1"/>
    <col min="12" max="12" width="16.85546875" style="205" customWidth="1"/>
    <col min="13" max="13" width="15.7109375" style="205" customWidth="1"/>
    <col min="14" max="16" width="11.7109375" style="205" customWidth="1"/>
    <col min="17" max="17" width="16.5703125" style="268" customWidth="1"/>
    <col min="18" max="18" width="15.28515625" style="205" customWidth="1"/>
    <col min="19" max="19" width="15.7109375" style="205" customWidth="1"/>
    <col min="20" max="20" width="12.5703125" style="205" customWidth="1"/>
    <col min="21" max="16384" width="9.140625" style="205"/>
  </cols>
  <sheetData>
    <row r="1" spans="1:17" s="231" customFormat="1" ht="18.75" customHeight="1">
      <c r="A1" s="322"/>
      <c r="B1" s="323" t="s">
        <v>124</v>
      </c>
      <c r="C1" s="324"/>
      <c r="D1" s="325"/>
      <c r="E1" s="325"/>
      <c r="F1" s="325"/>
      <c r="G1" s="325"/>
      <c r="H1" s="325"/>
      <c r="I1" s="325"/>
      <c r="J1" s="325"/>
      <c r="K1" s="325"/>
      <c r="L1" s="325"/>
      <c r="M1" s="325"/>
      <c r="N1" s="325"/>
      <c r="O1" s="325"/>
      <c r="P1" s="325"/>
      <c r="Q1" s="324"/>
    </row>
    <row r="2" spans="1:17" s="231" customFormat="1" ht="11.25" customHeight="1">
      <c r="A2" s="322"/>
      <c r="B2" s="323"/>
      <c r="C2" s="324"/>
      <c r="D2" s="325"/>
      <c r="E2" s="325"/>
      <c r="F2" s="325"/>
      <c r="G2" s="325"/>
      <c r="H2" s="325"/>
      <c r="I2" s="325"/>
      <c r="J2" s="325"/>
      <c r="K2" s="325"/>
      <c r="L2" s="325"/>
      <c r="M2" s="325"/>
      <c r="N2" s="325"/>
      <c r="O2" s="325"/>
      <c r="P2" s="325"/>
      <c r="Q2" s="324"/>
    </row>
    <row r="3" spans="1:17" s="231" customFormat="1" ht="12.75" customHeight="1">
      <c r="A3" s="322"/>
      <c r="B3" s="11" t="s">
        <v>121</v>
      </c>
      <c r="C3" s="2"/>
      <c r="D3" s="2"/>
      <c r="E3" s="2"/>
      <c r="F3" s="2"/>
      <c r="G3" s="2"/>
      <c r="H3" s="2"/>
      <c r="I3" s="2"/>
      <c r="J3" s="2"/>
      <c r="K3" s="502"/>
      <c r="L3" s="502"/>
      <c r="M3" s="502"/>
      <c r="N3" s="502"/>
      <c r="O3" s="325"/>
      <c r="P3" s="325"/>
      <c r="Q3" s="324"/>
    </row>
    <row r="4" spans="1:17" s="231" customFormat="1" ht="12.75" customHeight="1" thickBot="1">
      <c r="A4" s="322"/>
      <c r="B4" s="2"/>
      <c r="C4" s="2"/>
      <c r="D4" s="2"/>
      <c r="E4" s="2"/>
      <c r="F4" s="2"/>
      <c r="G4" s="2"/>
      <c r="H4" s="2"/>
      <c r="I4" s="2"/>
      <c r="J4" s="502"/>
      <c r="K4" s="502"/>
      <c r="L4" s="502"/>
      <c r="M4" s="502"/>
      <c r="N4" s="502"/>
      <c r="O4" s="325"/>
      <c r="P4" s="325"/>
      <c r="Q4" s="324"/>
    </row>
    <row r="5" spans="1:17" s="231" customFormat="1" ht="17.25" customHeight="1" thickBot="1">
      <c r="A5" s="322"/>
      <c r="B5" s="487" t="s">
        <v>94</v>
      </c>
      <c r="C5" s="499" t="s">
        <v>122</v>
      </c>
      <c r="D5" s="1034" t="s">
        <v>163</v>
      </c>
      <c r="E5" s="1036"/>
      <c r="F5" s="1034" t="s">
        <v>123</v>
      </c>
      <c r="G5" s="1035"/>
      <c r="H5" s="1036"/>
      <c r="I5" s="1028" t="s">
        <v>738</v>
      </c>
      <c r="J5" s="1029"/>
      <c r="K5" s="325"/>
      <c r="L5" s="325"/>
      <c r="M5" s="324"/>
    </row>
    <row r="6" spans="1:17" s="231" customFormat="1" ht="12.75" customHeight="1">
      <c r="A6" s="322"/>
      <c r="B6" s="489"/>
      <c r="C6" s="500"/>
      <c r="D6" s="1030"/>
      <c r="E6" s="1031"/>
      <c r="F6" s="1030"/>
      <c r="G6" s="1037"/>
      <c r="H6" s="1031"/>
      <c r="I6" s="1030"/>
      <c r="J6" s="1032"/>
      <c r="K6" s="325"/>
      <c r="L6" s="325"/>
      <c r="M6" s="324"/>
    </row>
    <row r="7" spans="1:17" s="231" customFormat="1" ht="12.75" customHeight="1">
      <c r="A7" s="322"/>
      <c r="B7" s="491"/>
      <c r="C7" s="501"/>
      <c r="D7" s="1023"/>
      <c r="E7" s="1033"/>
      <c r="F7" s="1023"/>
      <c r="G7" s="1038"/>
      <c r="H7" s="1033"/>
      <c r="I7" s="1023"/>
      <c r="J7" s="1024"/>
      <c r="K7" s="325"/>
      <c r="L7" s="325"/>
      <c r="M7" s="324"/>
    </row>
    <row r="8" spans="1:17" s="231" customFormat="1" ht="12.75" customHeight="1">
      <c r="A8" s="322"/>
      <c r="B8" s="491"/>
      <c r="C8" s="501"/>
      <c r="D8" s="1023"/>
      <c r="E8" s="1033"/>
      <c r="F8" s="1023"/>
      <c r="G8" s="1038"/>
      <c r="H8" s="1033"/>
      <c r="I8" s="1023"/>
      <c r="J8" s="1024"/>
      <c r="K8" s="325"/>
      <c r="L8" s="325"/>
      <c r="M8" s="324"/>
    </row>
    <row r="9" spans="1:17" s="231" customFormat="1" ht="12.75" customHeight="1">
      <c r="A9" s="322"/>
      <c r="B9" s="491"/>
      <c r="C9" s="501"/>
      <c r="D9" s="1023"/>
      <c r="E9" s="1033"/>
      <c r="F9" s="1023"/>
      <c r="G9" s="1038"/>
      <c r="H9" s="1033"/>
      <c r="I9" s="1023"/>
      <c r="J9" s="1024"/>
      <c r="K9" s="325"/>
      <c r="L9" s="325"/>
      <c r="M9" s="324"/>
    </row>
    <row r="10" spans="1:17" s="231" customFormat="1" ht="12.75" customHeight="1">
      <c r="A10" s="322"/>
      <c r="B10" s="491"/>
      <c r="C10" s="468"/>
      <c r="D10" s="1022"/>
      <c r="E10" s="1022"/>
      <c r="F10" s="1022"/>
      <c r="G10" s="1022"/>
      <c r="H10" s="1022"/>
      <c r="I10" s="1023"/>
      <c r="J10" s="1024"/>
      <c r="K10" s="325"/>
      <c r="L10" s="325"/>
      <c r="M10" s="324"/>
    </row>
    <row r="11" spans="1:17" s="231" customFormat="1" ht="12.75" customHeight="1">
      <c r="A11" s="322"/>
      <c r="B11" s="491"/>
      <c r="C11" s="468"/>
      <c r="D11" s="1022"/>
      <c r="E11" s="1022"/>
      <c r="F11" s="1022"/>
      <c r="G11" s="1022"/>
      <c r="H11" s="1022"/>
      <c r="I11" s="1023"/>
      <c r="J11" s="1024"/>
      <c r="K11" s="325"/>
      <c r="L11" s="325"/>
      <c r="M11" s="324"/>
    </row>
    <row r="12" spans="1:17" s="231" customFormat="1" ht="12.75" customHeight="1">
      <c r="A12" s="322"/>
      <c r="B12" s="491"/>
      <c r="C12" s="468"/>
      <c r="D12" s="1022"/>
      <c r="E12" s="1022"/>
      <c r="F12" s="1022"/>
      <c r="G12" s="1022"/>
      <c r="H12" s="1022"/>
      <c r="I12" s="1023"/>
      <c r="J12" s="1024"/>
      <c r="K12" s="325"/>
      <c r="L12" s="325"/>
      <c r="M12" s="324"/>
    </row>
    <row r="13" spans="1:17" s="231" customFormat="1" ht="12.75" customHeight="1">
      <c r="A13" s="322"/>
      <c r="B13" s="491"/>
      <c r="C13" s="468"/>
      <c r="D13" s="1022"/>
      <c r="E13" s="1022"/>
      <c r="F13" s="1022"/>
      <c r="G13" s="1022"/>
      <c r="H13" s="1022"/>
      <c r="I13" s="1023"/>
      <c r="J13" s="1024"/>
      <c r="K13" s="325"/>
      <c r="L13" s="325"/>
      <c r="M13" s="324"/>
    </row>
    <row r="14" spans="1:17" s="231" customFormat="1" ht="12.75" customHeight="1">
      <c r="A14" s="322"/>
      <c r="B14" s="491"/>
      <c r="C14" s="468"/>
      <c r="D14" s="1022"/>
      <c r="E14" s="1022"/>
      <c r="F14" s="1022"/>
      <c r="G14" s="1022"/>
      <c r="H14" s="1022"/>
      <c r="I14" s="1023"/>
      <c r="J14" s="1024"/>
      <c r="K14" s="325"/>
      <c r="L14" s="325"/>
      <c r="M14" s="324"/>
    </row>
    <row r="15" spans="1:17" s="231" customFormat="1" ht="12.75" customHeight="1">
      <c r="A15" s="322"/>
      <c r="B15" s="491"/>
      <c r="C15" s="468"/>
      <c r="D15" s="1022"/>
      <c r="E15" s="1022"/>
      <c r="F15" s="1022"/>
      <c r="G15" s="1022"/>
      <c r="H15" s="1022"/>
      <c r="I15" s="1023"/>
      <c r="J15" s="1024"/>
      <c r="K15" s="325"/>
      <c r="L15" s="325"/>
      <c r="M15" s="324"/>
    </row>
    <row r="16" spans="1:17" s="231" customFormat="1" ht="12.75" customHeight="1">
      <c r="A16" s="322"/>
      <c r="B16" s="491"/>
      <c r="C16" s="468"/>
      <c r="D16" s="1022"/>
      <c r="E16" s="1022"/>
      <c r="F16" s="1022"/>
      <c r="G16" s="1022"/>
      <c r="H16" s="1022"/>
      <c r="I16" s="1023"/>
      <c r="J16" s="1024"/>
      <c r="K16" s="325"/>
      <c r="L16" s="325"/>
      <c r="M16" s="324"/>
    </row>
    <row r="17" spans="1:17" s="231" customFormat="1" ht="12.75" customHeight="1">
      <c r="A17" s="322"/>
      <c r="B17" s="491"/>
      <c r="C17" s="468"/>
      <c r="D17" s="1022"/>
      <c r="E17" s="1022"/>
      <c r="F17" s="1022"/>
      <c r="G17" s="1022"/>
      <c r="H17" s="1022"/>
      <c r="I17" s="1023"/>
      <c r="J17" s="1024"/>
      <c r="K17" s="325"/>
      <c r="L17" s="325"/>
      <c r="M17" s="324"/>
    </row>
    <row r="18" spans="1:17" s="231" customFormat="1" ht="12.75" customHeight="1">
      <c r="A18" s="322"/>
      <c r="B18" s="491"/>
      <c r="C18" s="468"/>
      <c r="D18" s="1022"/>
      <c r="E18" s="1022"/>
      <c r="F18" s="1022"/>
      <c r="G18" s="1022"/>
      <c r="H18" s="1022"/>
      <c r="I18" s="1023"/>
      <c r="J18" s="1024"/>
      <c r="K18" s="325"/>
      <c r="L18" s="325"/>
      <c r="M18" s="324"/>
    </row>
    <row r="19" spans="1:17" s="231" customFormat="1" ht="12.75" customHeight="1">
      <c r="A19" s="322"/>
      <c r="B19" s="491"/>
      <c r="C19" s="468"/>
      <c r="D19" s="1022"/>
      <c r="E19" s="1022"/>
      <c r="F19" s="1022"/>
      <c r="G19" s="1022"/>
      <c r="H19" s="1022"/>
      <c r="I19" s="1023"/>
      <c r="J19" s="1024"/>
      <c r="K19" s="325"/>
      <c r="L19" s="325"/>
      <c r="M19" s="324"/>
    </row>
    <row r="20" spans="1:17" s="231" customFormat="1" ht="12.75" customHeight="1">
      <c r="A20" s="322"/>
      <c r="B20" s="491"/>
      <c r="C20" s="468"/>
      <c r="D20" s="1022"/>
      <c r="E20" s="1022"/>
      <c r="F20" s="1022"/>
      <c r="G20" s="1022"/>
      <c r="H20" s="1022"/>
      <c r="I20" s="1023"/>
      <c r="J20" s="1024"/>
      <c r="K20" s="325"/>
      <c r="L20" s="325"/>
      <c r="M20" s="324"/>
    </row>
    <row r="21" spans="1:17" s="231" customFormat="1" ht="12.75" customHeight="1">
      <c r="A21" s="322"/>
      <c r="B21" s="491"/>
      <c r="C21" s="468"/>
      <c r="D21" s="1022"/>
      <c r="E21" s="1022"/>
      <c r="F21" s="1022"/>
      <c r="G21" s="1022"/>
      <c r="H21" s="1022"/>
      <c r="I21" s="1023"/>
      <c r="J21" s="1024"/>
      <c r="K21" s="325"/>
      <c r="L21" s="325"/>
      <c r="M21" s="324"/>
    </row>
    <row r="22" spans="1:17" s="231" customFormat="1" ht="12.75" customHeight="1" thickBot="1">
      <c r="A22" s="322"/>
      <c r="B22" s="492"/>
      <c r="C22" s="470"/>
      <c r="D22" s="1025"/>
      <c r="E22" s="1025"/>
      <c r="F22" s="1025"/>
      <c r="G22" s="1025"/>
      <c r="H22" s="1025"/>
      <c r="I22" s="1026"/>
      <c r="J22" s="1027"/>
      <c r="K22" s="325"/>
      <c r="L22" s="325"/>
      <c r="M22" s="324"/>
    </row>
    <row r="23" spans="1:17" s="231" customFormat="1" ht="12.75" customHeight="1">
      <c r="A23" s="322"/>
      <c r="B23" s="323"/>
      <c r="C23" s="324"/>
      <c r="D23" s="325"/>
      <c r="E23" s="325"/>
      <c r="F23" s="325"/>
      <c r="G23" s="325"/>
      <c r="H23" s="325"/>
      <c r="I23" s="325"/>
      <c r="J23" s="325"/>
      <c r="K23" s="325"/>
      <c r="L23" s="325"/>
      <c r="M23" s="325"/>
      <c r="N23" s="325"/>
      <c r="O23" s="325"/>
      <c r="P23" s="325"/>
      <c r="Q23" s="324"/>
    </row>
    <row r="24" spans="1:17" s="231" customFormat="1" ht="21" customHeight="1">
      <c r="A24" s="322"/>
      <c r="B24" s="982" t="s">
        <v>869</v>
      </c>
      <c r="C24" s="982"/>
      <c r="D24" s="982"/>
      <c r="E24" s="982"/>
      <c r="F24" s="982"/>
      <c r="G24" s="982"/>
      <c r="H24" s="982"/>
      <c r="I24" s="982"/>
      <c r="J24" s="982"/>
      <c r="K24" s="982"/>
      <c r="L24" s="982"/>
      <c r="M24" s="982"/>
      <c r="N24" s="982"/>
      <c r="O24" s="325"/>
      <c r="P24" s="325"/>
      <c r="Q24" s="324"/>
    </row>
    <row r="25" spans="1:17" s="231" customFormat="1" ht="15" customHeight="1">
      <c r="A25" s="230"/>
      <c r="B25" s="549" t="s">
        <v>125</v>
      </c>
      <c r="C25" s="503"/>
      <c r="D25" s="503"/>
      <c r="E25" s="503"/>
      <c r="F25" s="630"/>
      <c r="G25" s="630"/>
      <c r="H25" s="630"/>
      <c r="I25" s="630"/>
      <c r="J25" s="503"/>
      <c r="K25" s="503"/>
      <c r="L25" s="503"/>
      <c r="M25" s="503"/>
      <c r="N25" s="503"/>
      <c r="O25" s="557"/>
      <c r="P25" s="557"/>
      <c r="Q25" s="558"/>
    </row>
    <row r="26" spans="1:17" s="231" customFormat="1" ht="15" customHeight="1">
      <c r="A26" s="230"/>
      <c r="B26" s="549" t="s">
        <v>12</v>
      </c>
      <c r="C26" s="503"/>
      <c r="D26" s="503"/>
      <c r="E26" s="503"/>
      <c r="F26" s="630"/>
      <c r="G26" s="630"/>
      <c r="H26" s="630"/>
      <c r="I26" s="630"/>
      <c r="J26" s="503"/>
      <c r="K26" s="503"/>
      <c r="L26" s="503"/>
      <c r="M26" s="503"/>
      <c r="N26" s="503"/>
      <c r="O26" s="557"/>
      <c r="P26" s="557"/>
      <c r="Q26" s="558"/>
    </row>
    <row r="27" spans="1:17" s="231" customFormat="1" ht="15" customHeight="1">
      <c r="A27" s="230"/>
      <c r="B27" s="549" t="s">
        <v>145</v>
      </c>
      <c r="C27" s="503"/>
      <c r="D27" s="503"/>
      <c r="E27" s="503"/>
      <c r="F27" s="630"/>
      <c r="G27" s="630"/>
      <c r="H27" s="630"/>
      <c r="I27" s="630"/>
      <c r="J27" s="503"/>
      <c r="K27" s="503"/>
      <c r="L27" s="503"/>
      <c r="M27" s="503"/>
      <c r="N27" s="503"/>
      <c r="O27" s="557"/>
      <c r="P27" s="557"/>
      <c r="Q27" s="558"/>
    </row>
    <row r="28" spans="1:17" s="231" customFormat="1" ht="15" customHeight="1">
      <c r="A28" s="230"/>
      <c r="B28" s="549" t="s">
        <v>135</v>
      </c>
      <c r="C28" s="503"/>
      <c r="D28" s="503"/>
      <c r="E28" s="503"/>
      <c r="F28" s="630"/>
      <c r="G28" s="630"/>
      <c r="H28" s="630"/>
      <c r="I28" s="630"/>
      <c r="J28" s="503"/>
      <c r="K28" s="503"/>
      <c r="L28" s="503"/>
      <c r="M28" s="503"/>
      <c r="N28" s="503"/>
      <c r="O28" s="557"/>
      <c r="P28" s="557"/>
      <c r="Q28" s="558"/>
    </row>
    <row r="29" spans="1:17" s="231" customFormat="1" ht="15" customHeight="1">
      <c r="A29" s="230"/>
      <c r="B29" s="549" t="s">
        <v>871</v>
      </c>
      <c r="C29" s="503"/>
      <c r="D29" s="503"/>
      <c r="E29" s="503"/>
      <c r="F29" s="630"/>
      <c r="G29" s="630"/>
      <c r="H29" s="630"/>
      <c r="I29" s="630"/>
      <c r="J29" s="503"/>
      <c r="K29" s="503"/>
      <c r="L29" s="503"/>
      <c r="M29" s="503"/>
      <c r="N29" s="503"/>
      <c r="O29" s="557"/>
      <c r="P29" s="557"/>
      <c r="Q29" s="558"/>
    </row>
    <row r="30" spans="1:17" s="231" customFormat="1" ht="15" customHeight="1">
      <c r="A30" s="322"/>
      <c r="B30" s="503"/>
      <c r="C30" s="503"/>
      <c r="D30" s="503"/>
      <c r="E30" s="503"/>
      <c r="F30" s="630"/>
      <c r="G30" s="630"/>
      <c r="H30" s="630"/>
      <c r="I30" s="630"/>
      <c r="J30" s="503"/>
      <c r="K30" s="503"/>
      <c r="L30" s="503"/>
      <c r="M30" s="503"/>
      <c r="N30" s="503"/>
      <c r="O30" s="325"/>
      <c r="P30" s="325"/>
      <c r="Q30" s="324"/>
    </row>
    <row r="31" spans="1:17" s="231" customFormat="1" ht="21" customHeight="1">
      <c r="A31" s="322"/>
      <c r="B31" s="982" t="s">
        <v>870</v>
      </c>
      <c r="C31" s="982"/>
      <c r="D31" s="982"/>
      <c r="E31" s="982"/>
      <c r="F31" s="982"/>
      <c r="G31" s="982"/>
      <c r="H31" s="982"/>
      <c r="I31" s="982"/>
      <c r="J31" s="982"/>
      <c r="K31" s="982"/>
      <c r="L31" s="982"/>
      <c r="M31" s="982"/>
      <c r="N31" s="982"/>
      <c r="O31" s="325"/>
      <c r="P31" s="325"/>
      <c r="Q31" s="324"/>
    </row>
    <row r="32" spans="1:17" s="231" customFormat="1" ht="15" customHeight="1">
      <c r="A32" s="322"/>
      <c r="B32" s="550" t="s">
        <v>22</v>
      </c>
      <c r="C32" s="2"/>
      <c r="D32" s="2"/>
      <c r="E32" s="2"/>
      <c r="F32" s="2"/>
      <c r="G32" s="2"/>
      <c r="H32" s="2"/>
      <c r="I32" s="2"/>
      <c r="J32" s="2"/>
      <c r="K32" s="549" t="s">
        <v>674</v>
      </c>
      <c r="L32" s="325"/>
      <c r="M32" s="325"/>
      <c r="N32" s="325"/>
      <c r="O32" s="325"/>
      <c r="P32" s="325"/>
      <c r="Q32" s="324"/>
    </row>
    <row r="33" spans="1:17" s="231" customFormat="1" ht="15" customHeight="1">
      <c r="A33" s="322"/>
      <c r="B33" s="550" t="s">
        <v>16</v>
      </c>
      <c r="C33" s="546"/>
      <c r="D33" s="2"/>
      <c r="E33" s="2"/>
      <c r="F33" s="2"/>
      <c r="G33" s="2"/>
      <c r="H33" s="2"/>
      <c r="I33" s="2"/>
      <c r="J33" s="2"/>
      <c r="K33" s="549" t="s">
        <v>6</v>
      </c>
      <c r="L33" s="325"/>
      <c r="M33" s="325"/>
      <c r="N33" s="325"/>
      <c r="O33" s="325"/>
      <c r="P33" s="325"/>
      <c r="Q33" s="324"/>
    </row>
    <row r="34" spans="1:17" s="231" customFormat="1" ht="15" customHeight="1">
      <c r="A34" s="322"/>
      <c r="B34" s="551" t="s">
        <v>864</v>
      </c>
      <c r="C34" s="546"/>
      <c r="D34" s="2"/>
      <c r="E34" s="2"/>
      <c r="F34" s="2"/>
      <c r="G34" s="2"/>
      <c r="H34" s="2"/>
      <c r="I34" s="2"/>
      <c r="J34" s="2"/>
      <c r="K34" s="549" t="s">
        <v>681</v>
      </c>
      <c r="L34" s="325"/>
      <c r="M34" s="325"/>
      <c r="N34" s="325"/>
      <c r="O34" s="325"/>
      <c r="P34" s="325"/>
      <c r="Q34" s="324"/>
    </row>
    <row r="35" spans="1:17" s="231" customFormat="1" ht="15" customHeight="1">
      <c r="A35" s="322"/>
      <c r="B35" s="549" t="s">
        <v>866</v>
      </c>
      <c r="C35" s="546"/>
      <c r="D35" s="2"/>
      <c r="E35" s="2"/>
      <c r="F35" s="2"/>
      <c r="G35" s="2"/>
      <c r="H35" s="2"/>
      <c r="I35" s="2"/>
      <c r="J35" s="2"/>
      <c r="K35" s="549" t="s">
        <v>8</v>
      </c>
      <c r="L35" s="325"/>
      <c r="M35" s="325"/>
      <c r="N35" s="325"/>
      <c r="O35" s="325"/>
      <c r="P35" s="325"/>
      <c r="Q35" s="324"/>
    </row>
    <row r="36" spans="1:17" s="231" customFormat="1" ht="15" customHeight="1">
      <c r="A36" s="322"/>
      <c r="B36" s="549" t="s">
        <v>33</v>
      </c>
      <c r="C36" s="546"/>
      <c r="D36" s="2"/>
      <c r="E36" s="2"/>
      <c r="F36" s="2"/>
      <c r="G36" s="2"/>
      <c r="H36" s="2"/>
      <c r="I36" s="2"/>
      <c r="J36" s="2"/>
      <c r="K36" s="549" t="s">
        <v>215</v>
      </c>
      <c r="L36" s="325"/>
      <c r="M36" s="325"/>
      <c r="N36" s="325"/>
      <c r="O36" s="325"/>
      <c r="P36" s="325"/>
      <c r="Q36" s="324"/>
    </row>
    <row r="37" spans="1:17" s="231" customFormat="1" ht="15" customHeight="1">
      <c r="A37" s="322"/>
      <c r="B37" s="549" t="s">
        <v>3</v>
      </c>
      <c r="C37" s="546"/>
      <c r="D37" s="2"/>
      <c r="E37" s="2"/>
      <c r="F37" s="2"/>
      <c r="G37" s="2"/>
      <c r="H37" s="2"/>
      <c r="I37" s="2"/>
      <c r="J37" s="2"/>
      <c r="K37" s="549" t="s">
        <v>597</v>
      </c>
      <c r="L37" s="325"/>
      <c r="M37" s="325"/>
      <c r="N37" s="325"/>
      <c r="O37" s="325"/>
      <c r="P37" s="325"/>
      <c r="Q37" s="324"/>
    </row>
    <row r="38" spans="1:17" s="231" customFormat="1" ht="15" customHeight="1">
      <c r="A38" s="322"/>
      <c r="B38" s="549" t="s">
        <v>865</v>
      </c>
      <c r="C38" s="546"/>
      <c r="D38" s="2"/>
      <c r="E38" s="2"/>
      <c r="F38" s="2"/>
      <c r="G38" s="2"/>
      <c r="H38" s="2"/>
      <c r="I38" s="2"/>
      <c r="J38" s="2"/>
      <c r="L38" s="325"/>
      <c r="M38" s="325"/>
      <c r="N38" s="325"/>
      <c r="O38" s="325"/>
      <c r="P38" s="325"/>
      <c r="Q38" s="324"/>
    </row>
    <row r="39" spans="1:17" s="231" customFormat="1" ht="15" customHeight="1">
      <c r="A39" s="322"/>
      <c r="B39" s="553"/>
      <c r="C39" s="546"/>
      <c r="D39" s="2"/>
      <c r="E39" s="2"/>
      <c r="F39" s="2"/>
      <c r="G39" s="2"/>
      <c r="H39" s="2"/>
      <c r="I39" s="2"/>
      <c r="J39" s="2"/>
      <c r="K39" s="549"/>
      <c r="L39" s="325"/>
      <c r="M39" s="325"/>
      <c r="N39" s="325"/>
      <c r="O39" s="325"/>
      <c r="P39" s="325"/>
      <c r="Q39" s="324"/>
    </row>
    <row r="40" spans="1:17" s="208" customFormat="1" ht="15" customHeight="1">
      <c r="A40" s="210"/>
      <c r="B40" s="211" t="s">
        <v>125</v>
      </c>
      <c r="C40" s="326"/>
      <c r="D40" s="327"/>
      <c r="E40" s="327"/>
      <c r="F40" s="327"/>
      <c r="G40" s="327"/>
      <c r="H40" s="327"/>
      <c r="I40" s="327"/>
      <c r="J40" s="327"/>
      <c r="K40" s="327"/>
      <c r="L40" s="327"/>
      <c r="M40" s="327"/>
      <c r="N40" s="327"/>
      <c r="O40" s="327"/>
      <c r="P40" s="327"/>
      <c r="Q40" s="326"/>
    </row>
    <row r="41" spans="1:17" s="208" customFormat="1" ht="13.5" thickBot="1">
      <c r="A41" s="209"/>
      <c r="B41" s="209"/>
      <c r="C41" s="318"/>
      <c r="Q41" s="268"/>
    </row>
    <row r="42" spans="1:17" s="208" customFormat="1" ht="13.5" thickBot="1">
      <c r="A42" s="209"/>
      <c r="B42" s="328" t="s">
        <v>36</v>
      </c>
      <c r="C42" s="1010" t="s">
        <v>37</v>
      </c>
      <c r="D42" s="1011"/>
      <c r="Q42" s="268"/>
    </row>
    <row r="43" spans="1:17" s="208" customFormat="1" ht="12.75" customHeight="1">
      <c r="A43" s="209"/>
      <c r="B43" s="182"/>
      <c r="C43" s="1012"/>
      <c r="D43" s="1013"/>
      <c r="Q43" s="268"/>
    </row>
    <row r="44" spans="1:17" s="208" customFormat="1">
      <c r="A44" s="209"/>
      <c r="B44" s="182"/>
      <c r="C44" s="1014"/>
      <c r="D44" s="1015"/>
      <c r="Q44" s="268"/>
    </row>
    <row r="45" spans="1:17" s="208" customFormat="1">
      <c r="A45" s="209"/>
      <c r="B45" s="182"/>
      <c r="C45" s="1014"/>
      <c r="D45" s="1015"/>
      <c r="Q45" s="268"/>
    </row>
    <row r="46" spans="1:17" s="208" customFormat="1">
      <c r="A46" s="209"/>
      <c r="B46" s="182"/>
      <c r="C46" s="1014"/>
      <c r="D46" s="1015"/>
      <c r="Q46" s="268"/>
    </row>
    <row r="47" spans="1:17" s="208" customFormat="1">
      <c r="A47" s="209"/>
      <c r="B47" s="182"/>
      <c r="C47" s="1014"/>
      <c r="D47" s="1015"/>
      <c r="Q47" s="268"/>
    </row>
    <row r="48" spans="1:17" s="208" customFormat="1">
      <c r="A48" s="209"/>
      <c r="B48" s="182"/>
      <c r="C48" s="1014"/>
      <c r="D48" s="1015"/>
      <c r="Q48" s="268"/>
    </row>
    <row r="49" spans="1:17" s="208" customFormat="1">
      <c r="A49" s="209"/>
      <c r="B49" s="182"/>
      <c r="C49" s="1008"/>
      <c r="D49" s="1009"/>
      <c r="Q49" s="268"/>
    </row>
    <row r="50" spans="1:17" s="208" customFormat="1">
      <c r="A50" s="209"/>
      <c r="B50" s="187"/>
      <c r="C50" s="1008"/>
      <c r="D50" s="1009"/>
      <c r="Q50" s="268"/>
    </row>
    <row r="51" spans="1:17" s="208" customFormat="1">
      <c r="A51" s="209"/>
      <c r="B51" s="183"/>
      <c r="C51" s="1008"/>
      <c r="D51" s="1009"/>
      <c r="Q51" s="268"/>
    </row>
    <row r="52" spans="1:17" s="208" customFormat="1">
      <c r="A52" s="209"/>
      <c r="B52" s="183"/>
      <c r="C52" s="1008"/>
      <c r="D52" s="1009"/>
      <c r="Q52" s="268"/>
    </row>
    <row r="53" spans="1:17" s="208" customFormat="1">
      <c r="A53" s="209"/>
      <c r="B53" s="183"/>
      <c r="C53" s="1008"/>
      <c r="D53" s="1009"/>
      <c r="Q53" s="268"/>
    </row>
    <row r="54" spans="1:17" s="208" customFormat="1">
      <c r="A54" s="209"/>
      <c r="B54" s="183"/>
      <c r="C54" s="1008"/>
      <c r="D54" s="1009"/>
      <c r="Q54" s="268"/>
    </row>
    <row r="55" spans="1:17" s="208" customFormat="1">
      <c r="A55" s="209"/>
      <c r="B55" s="183"/>
      <c r="C55" s="1008"/>
      <c r="D55" s="1009"/>
      <c r="Q55" s="268"/>
    </row>
    <row r="56" spans="1:17" s="208" customFormat="1">
      <c r="A56" s="209"/>
      <c r="B56" s="183"/>
      <c r="C56" s="1008"/>
      <c r="D56" s="1009"/>
      <c r="Q56" s="268"/>
    </row>
    <row r="57" spans="1:17" s="208" customFormat="1">
      <c r="A57" s="209"/>
      <c r="B57" s="183"/>
      <c r="C57" s="1008"/>
      <c r="D57" s="1009"/>
      <c r="Q57" s="268"/>
    </row>
    <row r="58" spans="1:17" s="208" customFormat="1" ht="13.5" thickBot="1">
      <c r="A58" s="209"/>
      <c r="B58" s="188"/>
      <c r="C58" s="1091"/>
      <c r="D58" s="1092"/>
      <c r="Q58" s="268"/>
    </row>
    <row r="59" spans="1:17" s="208" customFormat="1" ht="13.5" thickBot="1">
      <c r="A59" s="209"/>
      <c r="B59" s="329"/>
      <c r="C59" s="330"/>
      <c r="Q59" s="268"/>
    </row>
    <row r="60" spans="1:17" s="208" customFormat="1" ht="26.25" thickBot="1">
      <c r="A60" s="209"/>
      <c r="B60" s="331" t="s">
        <v>578</v>
      </c>
      <c r="C60" s="1093" t="s">
        <v>37</v>
      </c>
      <c r="D60" s="1093"/>
      <c r="E60" s="1095" t="s">
        <v>157</v>
      </c>
      <c r="F60" s="1096"/>
      <c r="Q60" s="268"/>
    </row>
    <row r="61" spans="1:17" s="208" customFormat="1" ht="15">
      <c r="A61" s="209"/>
      <c r="B61" s="648"/>
      <c r="C61" s="1094"/>
      <c r="D61" s="1094"/>
      <c r="E61" s="1097"/>
      <c r="F61" s="1098"/>
      <c r="Q61" s="268"/>
    </row>
    <row r="62" spans="1:17" s="208" customFormat="1" ht="15">
      <c r="A62" s="209"/>
      <c r="B62" s="637"/>
      <c r="C62" s="1073"/>
      <c r="D62" s="1073"/>
      <c r="E62" s="1085"/>
      <c r="F62" s="1086"/>
      <c r="Q62" s="268"/>
    </row>
    <row r="63" spans="1:17" s="208" customFormat="1" ht="15">
      <c r="A63" s="209"/>
      <c r="B63" s="637"/>
      <c r="C63" s="1073"/>
      <c r="D63" s="1073"/>
      <c r="E63" s="1085"/>
      <c r="F63" s="1086"/>
      <c r="Q63" s="268"/>
    </row>
    <row r="64" spans="1:17" s="208" customFormat="1" ht="15">
      <c r="A64" s="209"/>
      <c r="B64" s="637"/>
      <c r="C64" s="1073"/>
      <c r="D64" s="1073"/>
      <c r="E64" s="1085"/>
      <c r="F64" s="1086"/>
      <c r="Q64" s="268"/>
    </row>
    <row r="65" spans="1:17" s="208" customFormat="1" ht="15">
      <c r="A65" s="209"/>
      <c r="B65" s="637"/>
      <c r="C65" s="1073"/>
      <c r="D65" s="1073"/>
      <c r="E65" s="1085"/>
      <c r="F65" s="1086"/>
      <c r="Q65" s="268"/>
    </row>
    <row r="66" spans="1:17" s="208" customFormat="1" ht="15">
      <c r="A66" s="209"/>
      <c r="B66" s="637"/>
      <c r="C66" s="1073"/>
      <c r="D66" s="1073"/>
      <c r="E66" s="1085"/>
      <c r="F66" s="1086"/>
      <c r="Q66" s="268"/>
    </row>
    <row r="67" spans="1:17" s="208" customFormat="1" ht="15">
      <c r="A67" s="209"/>
      <c r="B67" s="637"/>
      <c r="C67" s="1073"/>
      <c r="D67" s="1073"/>
      <c r="E67" s="1085"/>
      <c r="F67" s="1086"/>
      <c r="Q67" s="268"/>
    </row>
    <row r="68" spans="1:17" s="208" customFormat="1" ht="15">
      <c r="A68" s="209"/>
      <c r="B68" s="637"/>
      <c r="C68" s="1073"/>
      <c r="D68" s="1073"/>
      <c r="E68" s="1085"/>
      <c r="F68" s="1086"/>
      <c r="Q68" s="268"/>
    </row>
    <row r="69" spans="1:17" s="208" customFormat="1" ht="15">
      <c r="A69" s="209"/>
      <c r="B69" s="637"/>
      <c r="C69" s="1073"/>
      <c r="D69" s="1073"/>
      <c r="E69" s="1085"/>
      <c r="F69" s="1086"/>
      <c r="Q69" s="268"/>
    </row>
    <row r="70" spans="1:17" s="208" customFormat="1" ht="15">
      <c r="A70" s="209"/>
      <c r="B70" s="637"/>
      <c r="C70" s="1073"/>
      <c r="D70" s="1073"/>
      <c r="E70" s="1085"/>
      <c r="F70" s="1086"/>
      <c r="Q70" s="268"/>
    </row>
    <row r="71" spans="1:17" s="208" customFormat="1" ht="15">
      <c r="A71" s="209"/>
      <c r="B71" s="637"/>
      <c r="C71" s="1073"/>
      <c r="D71" s="1073"/>
      <c r="E71" s="1085"/>
      <c r="F71" s="1086"/>
      <c r="Q71" s="268"/>
    </row>
    <row r="72" spans="1:17" s="208" customFormat="1" ht="15">
      <c r="A72" s="209"/>
      <c r="B72" s="637"/>
      <c r="C72" s="1073"/>
      <c r="D72" s="1073"/>
      <c r="E72" s="1085"/>
      <c r="F72" s="1086"/>
      <c r="Q72" s="268"/>
    </row>
    <row r="73" spans="1:17" s="208" customFormat="1" ht="15">
      <c r="A73" s="209"/>
      <c r="B73" s="637"/>
      <c r="C73" s="1073"/>
      <c r="D73" s="1073"/>
      <c r="E73" s="1085"/>
      <c r="F73" s="1086"/>
      <c r="Q73" s="268"/>
    </row>
    <row r="74" spans="1:17" s="208" customFormat="1" ht="15">
      <c r="A74" s="209"/>
      <c r="B74" s="637"/>
      <c r="C74" s="1073"/>
      <c r="D74" s="1073"/>
      <c r="E74" s="1085"/>
      <c r="F74" s="1086"/>
      <c r="Q74" s="268"/>
    </row>
    <row r="75" spans="1:17" s="208" customFormat="1" ht="15">
      <c r="A75" s="209"/>
      <c r="B75" s="637"/>
      <c r="C75" s="1073"/>
      <c r="D75" s="1073"/>
      <c r="E75" s="1085"/>
      <c r="F75" s="1086"/>
      <c r="Q75" s="268"/>
    </row>
    <row r="76" spans="1:17" s="208" customFormat="1" ht="15.75" thickBot="1">
      <c r="A76" s="209"/>
      <c r="B76" s="148"/>
      <c r="C76" s="1074"/>
      <c r="D76" s="1074"/>
      <c r="E76" s="1087"/>
      <c r="F76" s="1088"/>
      <c r="Q76" s="268"/>
    </row>
    <row r="77" spans="1:17" s="208" customFormat="1">
      <c r="A77" s="209"/>
      <c r="B77" s="332"/>
      <c r="C77" s="332"/>
      <c r="D77" s="333"/>
      <c r="E77" s="333"/>
      <c r="F77" s="333"/>
      <c r="G77" s="333"/>
      <c r="H77" s="333"/>
      <c r="I77" s="333"/>
      <c r="J77" s="333"/>
      <c r="Q77" s="268"/>
    </row>
    <row r="78" spans="1:17" s="208" customFormat="1">
      <c r="A78" s="209"/>
      <c r="B78" s="205" t="s">
        <v>130</v>
      </c>
      <c r="C78" s="268"/>
      <c r="Q78" s="268"/>
    </row>
    <row r="79" spans="1:17" s="208" customFormat="1" ht="13.5" thickBot="1">
      <c r="A79" s="209"/>
      <c r="B79" s="205"/>
      <c r="C79" s="268"/>
      <c r="Q79" s="268"/>
    </row>
    <row r="80" spans="1:17" s="208" customFormat="1" ht="200.1" customHeight="1" thickBot="1">
      <c r="A80" s="209"/>
      <c r="B80" s="1082"/>
      <c r="C80" s="1083"/>
      <c r="D80" s="1083"/>
      <c r="E80" s="1083"/>
      <c r="F80" s="1083"/>
      <c r="G80" s="1083"/>
      <c r="H80" s="1083"/>
      <c r="I80" s="1083"/>
      <c r="J80" s="1084"/>
      <c r="Q80" s="268"/>
    </row>
    <row r="81" spans="1:17" s="208" customFormat="1">
      <c r="A81" s="209"/>
      <c r="B81" s="209"/>
      <c r="C81" s="318"/>
      <c r="Q81" s="268"/>
    </row>
    <row r="82" spans="1:17" s="208" customFormat="1" ht="15">
      <c r="A82" s="210"/>
      <c r="B82" s="211" t="s">
        <v>12</v>
      </c>
      <c r="C82" s="268"/>
      <c r="Q82" s="268"/>
    </row>
    <row r="83" spans="1:17" s="208" customFormat="1" ht="15">
      <c r="A83" s="210"/>
      <c r="B83" s="211"/>
      <c r="C83" s="506"/>
      <c r="Q83" s="506"/>
    </row>
    <row r="84" spans="1:17" s="208" customFormat="1" ht="15">
      <c r="A84" s="210"/>
      <c r="B84" s="208" t="s">
        <v>887</v>
      </c>
      <c r="C84" s="506"/>
      <c r="Q84" s="506"/>
    </row>
    <row r="85" spans="1:17" s="208" customFormat="1" ht="13.5" thickBot="1">
      <c r="A85" s="209"/>
      <c r="B85" s="209"/>
      <c r="C85" s="318"/>
      <c r="Q85" s="268"/>
    </row>
    <row r="86" spans="1:17" s="208" customFormat="1" ht="21" customHeight="1" thickBot="1">
      <c r="A86" s="209"/>
      <c r="B86" s="1078" t="s">
        <v>885</v>
      </c>
      <c r="C86" s="1079"/>
      <c r="D86" s="1080"/>
      <c r="E86" s="1081"/>
      <c r="Q86" s="268"/>
    </row>
    <row r="87" spans="1:17" s="208" customFormat="1">
      <c r="B87" s="334"/>
      <c r="C87" s="274"/>
      <c r="Q87" s="268"/>
    </row>
    <row r="88" spans="1:17" s="208" customFormat="1" ht="15">
      <c r="B88" s="211" t="s">
        <v>145</v>
      </c>
      <c r="C88" s="318"/>
      <c r="Q88" s="268"/>
    </row>
    <row r="89" spans="1:17" s="208" customFormat="1" ht="15">
      <c r="B89" s="211"/>
      <c r="C89" s="318"/>
      <c r="Q89" s="268"/>
    </row>
    <row r="90" spans="1:17" s="208" customFormat="1" ht="15">
      <c r="B90" s="335" t="s">
        <v>664</v>
      </c>
      <c r="C90" s="318"/>
      <c r="Q90" s="268"/>
    </row>
    <row r="91" spans="1:17" s="208" customFormat="1" ht="13.5" thickBot="1">
      <c r="B91" s="209"/>
      <c r="C91" s="318"/>
      <c r="Q91" s="268"/>
    </row>
    <row r="92" spans="1:17" s="208" customFormat="1" ht="26.25" thickBot="1">
      <c r="B92" s="463" t="s">
        <v>15</v>
      </c>
      <c r="C92" s="879" t="s">
        <v>128</v>
      </c>
      <c r="D92" s="626" t="s">
        <v>23</v>
      </c>
      <c r="E92" s="631" t="s">
        <v>24</v>
      </c>
      <c r="F92" s="632" t="s">
        <v>25</v>
      </c>
      <c r="G92" s="643" t="s">
        <v>26</v>
      </c>
      <c r="H92" s="625" t="s">
        <v>38</v>
      </c>
      <c r="I92" s="464" t="s">
        <v>161</v>
      </c>
      <c r="J92" s="464" t="s">
        <v>219</v>
      </c>
      <c r="K92" s="464" t="s">
        <v>683</v>
      </c>
      <c r="L92" s="465" t="s">
        <v>631</v>
      </c>
      <c r="M92" s="212" t="s">
        <v>975</v>
      </c>
    </row>
    <row r="93" spans="1:17" s="208" customFormat="1">
      <c r="B93" s="1016"/>
      <c r="C93" s="921"/>
      <c r="D93" s="883"/>
      <c r="E93" s="649"/>
      <c r="F93" s="649"/>
      <c r="G93" s="649"/>
      <c r="H93" s="461"/>
      <c r="I93" s="600" t="s">
        <v>34</v>
      </c>
      <c r="J93" s="149"/>
      <c r="K93" s="461"/>
      <c r="L93" s="353" t="s">
        <v>34</v>
      </c>
      <c r="M93" s="1019"/>
    </row>
    <row r="94" spans="1:17" s="208" customFormat="1" ht="15" customHeight="1">
      <c r="B94" s="1017"/>
      <c r="C94" s="922"/>
      <c r="D94" s="652"/>
      <c r="E94" s="649"/>
      <c r="F94" s="649"/>
      <c r="G94" s="649"/>
      <c r="H94" s="200"/>
      <c r="I94" s="602" t="s">
        <v>34</v>
      </c>
      <c r="J94" s="147"/>
      <c r="K94" s="460"/>
      <c r="L94" s="354"/>
      <c r="M94" s="1020"/>
    </row>
    <row r="95" spans="1:17" s="208" customFormat="1" ht="15" customHeight="1">
      <c r="B95" s="1017"/>
      <c r="C95" s="922"/>
      <c r="D95" s="652"/>
      <c r="E95" s="649"/>
      <c r="F95" s="649"/>
      <c r="G95" s="649"/>
      <c r="H95" s="200"/>
      <c r="I95" s="602" t="s">
        <v>34</v>
      </c>
      <c r="J95" s="147"/>
      <c r="K95" s="460"/>
      <c r="L95" s="354"/>
      <c r="M95" s="1020"/>
    </row>
    <row r="96" spans="1:17" s="208" customFormat="1" ht="15" customHeight="1">
      <c r="B96" s="1017"/>
      <c r="C96" s="922"/>
      <c r="D96" s="652"/>
      <c r="E96" s="649"/>
      <c r="F96" s="649"/>
      <c r="G96" s="649"/>
      <c r="H96" s="200"/>
      <c r="I96" s="602" t="s">
        <v>34</v>
      </c>
      <c r="J96" s="147"/>
      <c r="K96" s="460"/>
      <c r="L96" s="354"/>
      <c r="M96" s="1020"/>
    </row>
    <row r="97" spans="2:13" s="208" customFormat="1" ht="15" customHeight="1">
      <c r="B97" s="1017"/>
      <c r="C97" s="922"/>
      <c r="D97" s="652"/>
      <c r="E97" s="649"/>
      <c r="F97" s="649"/>
      <c r="G97" s="649"/>
      <c r="H97" s="200"/>
      <c r="I97" s="602" t="s">
        <v>34</v>
      </c>
      <c r="J97" s="147"/>
      <c r="K97" s="460"/>
      <c r="L97" s="354"/>
      <c r="M97" s="1020"/>
    </row>
    <row r="98" spans="2:13" s="208" customFormat="1" ht="15" customHeight="1">
      <c r="B98" s="1017"/>
      <c r="C98" s="922"/>
      <c r="D98" s="652"/>
      <c r="E98" s="649"/>
      <c r="F98" s="649"/>
      <c r="G98" s="649"/>
      <c r="H98" s="200"/>
      <c r="I98" s="602"/>
      <c r="J98" s="147"/>
      <c r="K98" s="460"/>
      <c r="L98" s="354"/>
      <c r="M98" s="1020"/>
    </row>
    <row r="99" spans="2:13" s="208" customFormat="1" ht="15" customHeight="1">
      <c r="B99" s="1017"/>
      <c r="C99" s="922"/>
      <c r="D99" s="652"/>
      <c r="E99" s="649"/>
      <c r="F99" s="649"/>
      <c r="G99" s="649"/>
      <c r="H99" s="200"/>
      <c r="I99" s="602"/>
      <c r="J99" s="147"/>
      <c r="K99" s="460"/>
      <c r="L99" s="354"/>
      <c r="M99" s="1020"/>
    </row>
    <row r="100" spans="2:13" s="208" customFormat="1" ht="15" customHeight="1">
      <c r="B100" s="1017"/>
      <c r="C100" s="922"/>
      <c r="D100" s="652"/>
      <c r="E100" s="649"/>
      <c r="F100" s="649"/>
      <c r="G100" s="649"/>
      <c r="H100" s="200"/>
      <c r="I100" s="602"/>
      <c r="J100" s="147"/>
      <c r="K100" s="460"/>
      <c r="L100" s="354"/>
      <c r="M100" s="1020"/>
    </row>
    <row r="101" spans="2:13" s="208" customFormat="1" ht="15" customHeight="1">
      <c r="B101" s="1017"/>
      <c r="C101" s="922"/>
      <c r="D101" s="652"/>
      <c r="E101" s="649"/>
      <c r="F101" s="649"/>
      <c r="G101" s="649"/>
      <c r="H101" s="200"/>
      <c r="I101" s="602"/>
      <c r="J101" s="147"/>
      <c r="K101" s="460"/>
      <c r="L101" s="354"/>
      <c r="M101" s="1020"/>
    </row>
    <row r="102" spans="2:13" s="208" customFormat="1" ht="15" customHeight="1">
      <c r="B102" s="1017"/>
      <c r="C102" s="922"/>
      <c r="D102" s="652"/>
      <c r="E102" s="649"/>
      <c r="F102" s="649"/>
      <c r="G102" s="649"/>
      <c r="H102" s="200"/>
      <c r="I102" s="602"/>
      <c r="J102" s="147"/>
      <c r="K102" s="460"/>
      <c r="L102" s="354"/>
      <c r="M102" s="1020"/>
    </row>
    <row r="103" spans="2:13" s="208" customFormat="1" ht="15" customHeight="1">
      <c r="B103" s="1017"/>
      <c r="C103" s="922"/>
      <c r="D103" s="652"/>
      <c r="E103" s="649"/>
      <c r="F103" s="649"/>
      <c r="G103" s="649"/>
      <c r="H103" s="200"/>
      <c r="I103" s="602"/>
      <c r="J103" s="147"/>
      <c r="K103" s="460"/>
      <c r="L103" s="354"/>
      <c r="M103" s="1020"/>
    </row>
    <row r="104" spans="2:13" s="208" customFormat="1" ht="15" customHeight="1">
      <c r="B104" s="1017"/>
      <c r="C104" s="922"/>
      <c r="D104" s="652"/>
      <c r="E104" s="649"/>
      <c r="F104" s="649"/>
      <c r="G104" s="649"/>
      <c r="H104" s="460" t="s">
        <v>34</v>
      </c>
      <c r="I104" s="602" t="s">
        <v>34</v>
      </c>
      <c r="J104" s="147" t="s">
        <v>34</v>
      </c>
      <c r="K104" s="460"/>
      <c r="L104" s="354"/>
      <c r="M104" s="1020"/>
    </row>
    <row r="105" spans="2:13" s="208" customFormat="1" ht="15" customHeight="1">
      <c r="B105" s="1017"/>
      <c r="C105" s="922"/>
      <c r="D105" s="652"/>
      <c r="E105" s="649"/>
      <c r="F105" s="649"/>
      <c r="G105" s="649"/>
      <c r="H105" s="460"/>
      <c r="I105" s="602"/>
      <c r="J105" s="147"/>
      <c r="K105" s="460"/>
      <c r="L105" s="354"/>
      <c r="M105" s="1020"/>
    </row>
    <row r="106" spans="2:13" s="208" customFormat="1" ht="15" customHeight="1">
      <c r="B106" s="1017"/>
      <c r="C106" s="922"/>
      <c r="D106" s="652"/>
      <c r="E106" s="649"/>
      <c r="F106" s="649"/>
      <c r="G106" s="649"/>
      <c r="H106" s="460"/>
      <c r="I106" s="602"/>
      <c r="J106" s="147"/>
      <c r="K106" s="460"/>
      <c r="L106" s="354"/>
      <c r="M106" s="1020"/>
    </row>
    <row r="107" spans="2:13" s="208" customFormat="1" ht="15" customHeight="1">
      <c r="B107" s="1017"/>
      <c r="C107" s="922"/>
      <c r="D107" s="652"/>
      <c r="E107" s="649"/>
      <c r="F107" s="649"/>
      <c r="G107" s="649"/>
      <c r="H107" s="460" t="s">
        <v>34</v>
      </c>
      <c r="I107" s="602" t="s">
        <v>34</v>
      </c>
      <c r="J107" s="147" t="s">
        <v>34</v>
      </c>
      <c r="K107" s="460"/>
      <c r="L107" s="354"/>
      <c r="M107" s="1020"/>
    </row>
    <row r="108" spans="2:13" s="208" customFormat="1" ht="15" customHeight="1">
      <c r="B108" s="1017"/>
      <c r="C108" s="922"/>
      <c r="D108" s="652"/>
      <c r="E108" s="649"/>
      <c r="F108" s="649"/>
      <c r="G108" s="649"/>
      <c r="H108" s="460" t="s">
        <v>34</v>
      </c>
      <c r="I108" s="604" t="s">
        <v>34</v>
      </c>
      <c r="J108" s="150" t="s">
        <v>34</v>
      </c>
      <c r="K108" s="460"/>
      <c r="L108" s="354"/>
      <c r="M108" s="1020"/>
    </row>
    <row r="109" spans="2:13" s="208" customFormat="1" ht="15" customHeight="1">
      <c r="B109" s="1017"/>
      <c r="C109" s="922"/>
      <c r="D109" s="652"/>
      <c r="E109" s="649"/>
      <c r="F109" s="649"/>
      <c r="G109" s="649"/>
      <c r="H109" s="460" t="s">
        <v>34</v>
      </c>
      <c r="I109" s="604" t="s">
        <v>34</v>
      </c>
      <c r="J109" s="150" t="s">
        <v>34</v>
      </c>
      <c r="K109" s="460"/>
      <c r="L109" s="354"/>
      <c r="M109" s="1020"/>
    </row>
    <row r="110" spans="2:13" s="208" customFormat="1" ht="15" customHeight="1">
      <c r="B110" s="1017"/>
      <c r="C110" s="922"/>
      <c r="D110" s="652"/>
      <c r="E110" s="649"/>
      <c r="F110" s="649"/>
      <c r="G110" s="649"/>
      <c r="H110" s="460" t="s">
        <v>34</v>
      </c>
      <c r="I110" s="604" t="s">
        <v>34</v>
      </c>
      <c r="J110" s="150" t="s">
        <v>34</v>
      </c>
      <c r="K110" s="460"/>
      <c r="L110" s="354"/>
      <c r="M110" s="1020"/>
    </row>
    <row r="111" spans="2:13" s="208" customFormat="1" ht="15" customHeight="1">
      <c r="B111" s="1017"/>
      <c r="C111" s="922"/>
      <c r="D111" s="652"/>
      <c r="E111" s="649"/>
      <c r="F111" s="649"/>
      <c r="G111" s="649"/>
      <c r="H111" s="460" t="s">
        <v>34</v>
      </c>
      <c r="I111" s="604" t="s">
        <v>34</v>
      </c>
      <c r="J111" s="150" t="s">
        <v>34</v>
      </c>
      <c r="K111" s="460"/>
      <c r="L111" s="354"/>
      <c r="M111" s="1020"/>
    </row>
    <row r="112" spans="2:13" s="208" customFormat="1" ht="15.75" customHeight="1" thickBot="1">
      <c r="B112" s="1018"/>
      <c r="C112" s="923"/>
      <c r="D112" s="883"/>
      <c r="E112" s="651"/>
      <c r="F112" s="651"/>
      <c r="G112" s="651"/>
      <c r="H112" s="462" t="s">
        <v>34</v>
      </c>
      <c r="I112" s="605" t="s">
        <v>34</v>
      </c>
      <c r="J112" s="151" t="s">
        <v>34</v>
      </c>
      <c r="K112" s="462"/>
      <c r="L112" s="355"/>
      <c r="M112" s="1021"/>
    </row>
    <row r="113" spans="2:20" s="208" customFormat="1" ht="13.5" thickBot="1">
      <c r="B113" s="334"/>
      <c r="C113" s="874"/>
      <c r="D113" s="336"/>
      <c r="E113" s="336"/>
      <c r="F113" s="336"/>
      <c r="G113" s="336"/>
      <c r="P113" s="268"/>
      <c r="Q113" s="225"/>
      <c r="R113" s="225"/>
      <c r="T113" s="337" t="e">
        <f>#REF!</f>
        <v>#REF!</v>
      </c>
    </row>
    <row r="114" spans="2:20" s="208" customFormat="1" ht="26.25" thickBot="1">
      <c r="B114" s="884" t="s">
        <v>15</v>
      </c>
      <c r="C114" s="879" t="s">
        <v>128</v>
      </c>
      <c r="D114" s="674" t="s">
        <v>23</v>
      </c>
      <c r="E114" s="875" t="s">
        <v>24</v>
      </c>
      <c r="F114" s="876" t="s">
        <v>25</v>
      </c>
      <c r="G114" s="878" t="s">
        <v>26</v>
      </c>
      <c r="H114" s="625" t="s">
        <v>38</v>
      </c>
      <c r="I114" s="674" t="s">
        <v>161</v>
      </c>
      <c r="J114" s="674" t="s">
        <v>219</v>
      </c>
      <c r="K114" s="674" t="s">
        <v>683</v>
      </c>
      <c r="L114" s="465" t="s">
        <v>631</v>
      </c>
      <c r="M114" s="212" t="s">
        <v>975</v>
      </c>
      <c r="P114" s="877"/>
      <c r="Q114" s="225"/>
      <c r="R114" s="225"/>
      <c r="T114" s="337"/>
    </row>
    <row r="115" spans="2:20" s="208" customFormat="1">
      <c r="B115" s="1016"/>
      <c r="C115" s="921"/>
      <c r="D115" s="883"/>
      <c r="E115" s="881"/>
      <c r="F115" s="881"/>
      <c r="G115" s="881"/>
      <c r="H115" s="629"/>
      <c r="I115" s="600" t="s">
        <v>34</v>
      </c>
      <c r="J115" s="149"/>
      <c r="K115" s="629"/>
      <c r="L115" s="353" t="s">
        <v>34</v>
      </c>
      <c r="M115" s="1019"/>
      <c r="P115" s="877"/>
      <c r="Q115" s="225"/>
      <c r="R115" s="225"/>
      <c r="T115" s="337"/>
    </row>
    <row r="116" spans="2:20" s="208" customFormat="1">
      <c r="B116" s="1017"/>
      <c r="C116" s="922"/>
      <c r="D116" s="652"/>
      <c r="E116" s="881"/>
      <c r="F116" s="881"/>
      <c r="G116" s="881"/>
      <c r="H116" s="200"/>
      <c r="I116" s="602" t="s">
        <v>34</v>
      </c>
      <c r="J116" s="147"/>
      <c r="K116" s="627"/>
      <c r="L116" s="354"/>
      <c r="M116" s="1020"/>
      <c r="P116" s="877"/>
      <c r="Q116" s="225"/>
      <c r="R116" s="225"/>
      <c r="T116" s="337"/>
    </row>
    <row r="117" spans="2:20" s="208" customFormat="1">
      <c r="B117" s="1017"/>
      <c r="C117" s="922"/>
      <c r="D117" s="652"/>
      <c r="E117" s="881"/>
      <c r="F117" s="881"/>
      <c r="G117" s="881"/>
      <c r="H117" s="200"/>
      <c r="I117" s="602" t="s">
        <v>34</v>
      </c>
      <c r="J117" s="147"/>
      <c r="K117" s="627"/>
      <c r="L117" s="354"/>
      <c r="M117" s="1020"/>
      <c r="P117" s="877"/>
      <c r="Q117" s="225"/>
      <c r="R117" s="225"/>
      <c r="T117" s="337"/>
    </row>
    <row r="118" spans="2:20" s="208" customFormat="1">
      <c r="B118" s="1017"/>
      <c r="C118" s="922"/>
      <c r="D118" s="652"/>
      <c r="E118" s="881"/>
      <c r="F118" s="881"/>
      <c r="G118" s="881"/>
      <c r="H118" s="200"/>
      <c r="I118" s="602" t="s">
        <v>34</v>
      </c>
      <c r="J118" s="147"/>
      <c r="K118" s="627"/>
      <c r="L118" s="354"/>
      <c r="M118" s="1020"/>
      <c r="P118" s="877"/>
      <c r="Q118" s="225"/>
      <c r="R118" s="225"/>
      <c r="T118" s="337"/>
    </row>
    <row r="119" spans="2:20" s="208" customFormat="1">
      <c r="B119" s="1017"/>
      <c r="C119" s="922"/>
      <c r="D119" s="652"/>
      <c r="E119" s="881"/>
      <c r="F119" s="881"/>
      <c r="G119" s="881"/>
      <c r="H119" s="200"/>
      <c r="I119" s="602" t="s">
        <v>34</v>
      </c>
      <c r="J119" s="147"/>
      <c r="K119" s="627"/>
      <c r="L119" s="354"/>
      <c r="M119" s="1020"/>
      <c r="P119" s="877"/>
      <c r="Q119" s="225"/>
      <c r="R119" s="225"/>
      <c r="T119" s="337"/>
    </row>
    <row r="120" spans="2:20" s="208" customFormat="1">
      <c r="B120" s="1017"/>
      <c r="C120" s="922"/>
      <c r="D120" s="652"/>
      <c r="E120" s="881"/>
      <c r="F120" s="881"/>
      <c r="G120" s="881"/>
      <c r="H120" s="200"/>
      <c r="I120" s="602"/>
      <c r="J120" s="147"/>
      <c r="K120" s="627"/>
      <c r="L120" s="354"/>
      <c r="M120" s="1020"/>
      <c r="P120" s="877"/>
      <c r="Q120" s="225"/>
      <c r="R120" s="225"/>
      <c r="T120" s="337"/>
    </row>
    <row r="121" spans="2:20" s="208" customFormat="1">
      <c r="B121" s="1017"/>
      <c r="C121" s="922"/>
      <c r="D121" s="652"/>
      <c r="E121" s="881"/>
      <c r="F121" s="881"/>
      <c r="G121" s="881"/>
      <c r="H121" s="200"/>
      <c r="I121" s="602"/>
      <c r="J121" s="147"/>
      <c r="K121" s="627"/>
      <c r="L121" s="354"/>
      <c r="M121" s="1020"/>
      <c r="P121" s="877"/>
      <c r="Q121" s="225"/>
      <c r="R121" s="225"/>
      <c r="T121" s="337"/>
    </row>
    <row r="122" spans="2:20" s="208" customFormat="1">
      <c r="B122" s="1017"/>
      <c r="C122" s="922"/>
      <c r="D122" s="652"/>
      <c r="E122" s="881"/>
      <c r="F122" s="881"/>
      <c r="G122" s="881"/>
      <c r="H122" s="200"/>
      <c r="I122" s="602"/>
      <c r="J122" s="147"/>
      <c r="K122" s="627"/>
      <c r="L122" s="354"/>
      <c r="M122" s="1020"/>
      <c r="P122" s="877"/>
      <c r="Q122" s="225"/>
      <c r="R122" s="225"/>
      <c r="T122" s="337"/>
    </row>
    <row r="123" spans="2:20" s="208" customFormat="1">
      <c r="B123" s="1017"/>
      <c r="C123" s="922"/>
      <c r="D123" s="652"/>
      <c r="E123" s="881"/>
      <c r="F123" s="881"/>
      <c r="G123" s="881"/>
      <c r="H123" s="200"/>
      <c r="I123" s="602"/>
      <c r="J123" s="147"/>
      <c r="K123" s="627"/>
      <c r="L123" s="354"/>
      <c r="M123" s="1020"/>
      <c r="P123" s="877"/>
      <c r="Q123" s="225"/>
      <c r="R123" s="225"/>
      <c r="T123" s="337"/>
    </row>
    <row r="124" spans="2:20" s="208" customFormat="1">
      <c r="B124" s="1017"/>
      <c r="C124" s="922"/>
      <c r="D124" s="652"/>
      <c r="E124" s="881"/>
      <c r="F124" s="881"/>
      <c r="G124" s="881"/>
      <c r="H124" s="200"/>
      <c r="I124" s="602"/>
      <c r="J124" s="147"/>
      <c r="K124" s="627"/>
      <c r="L124" s="354"/>
      <c r="M124" s="1020"/>
      <c r="P124" s="877"/>
      <c r="Q124" s="225"/>
      <c r="R124" s="225"/>
      <c r="T124" s="337"/>
    </row>
    <row r="125" spans="2:20" s="208" customFormat="1">
      <c r="B125" s="1017"/>
      <c r="C125" s="922"/>
      <c r="D125" s="652"/>
      <c r="E125" s="881"/>
      <c r="F125" s="881"/>
      <c r="G125" s="881"/>
      <c r="H125" s="200"/>
      <c r="I125" s="602"/>
      <c r="J125" s="147"/>
      <c r="K125" s="627"/>
      <c r="L125" s="354"/>
      <c r="M125" s="1020"/>
      <c r="P125" s="877"/>
      <c r="Q125" s="225"/>
      <c r="R125" s="225"/>
      <c r="T125" s="337"/>
    </row>
    <row r="126" spans="2:20" s="208" customFormat="1">
      <c r="B126" s="1017"/>
      <c r="C126" s="922"/>
      <c r="D126" s="652"/>
      <c r="E126" s="881"/>
      <c r="F126" s="881"/>
      <c r="G126" s="881"/>
      <c r="H126" s="627" t="s">
        <v>34</v>
      </c>
      <c r="I126" s="602" t="s">
        <v>34</v>
      </c>
      <c r="J126" s="147" t="s">
        <v>34</v>
      </c>
      <c r="K126" s="627"/>
      <c r="L126" s="354"/>
      <c r="M126" s="1020"/>
      <c r="P126" s="877"/>
      <c r="Q126" s="225"/>
      <c r="R126" s="225"/>
      <c r="T126" s="337"/>
    </row>
    <row r="127" spans="2:20" s="208" customFormat="1">
      <c r="B127" s="1017"/>
      <c r="C127" s="922"/>
      <c r="D127" s="652"/>
      <c r="E127" s="881"/>
      <c r="F127" s="881"/>
      <c r="G127" s="881"/>
      <c r="H127" s="627"/>
      <c r="I127" s="602"/>
      <c r="J127" s="147"/>
      <c r="K127" s="627"/>
      <c r="L127" s="354"/>
      <c r="M127" s="1020"/>
      <c r="P127" s="877"/>
      <c r="Q127" s="225"/>
      <c r="R127" s="225"/>
      <c r="T127" s="337"/>
    </row>
    <row r="128" spans="2:20" s="208" customFormat="1">
      <c r="B128" s="1017"/>
      <c r="C128" s="922"/>
      <c r="D128" s="652"/>
      <c r="E128" s="881"/>
      <c r="F128" s="881"/>
      <c r="G128" s="881"/>
      <c r="H128" s="627"/>
      <c r="I128" s="602"/>
      <c r="J128" s="147"/>
      <c r="K128" s="627"/>
      <c r="L128" s="354"/>
      <c r="M128" s="1020"/>
      <c r="P128" s="877"/>
      <c r="Q128" s="225"/>
      <c r="R128" s="225"/>
      <c r="T128" s="337"/>
    </row>
    <row r="129" spans="2:20" s="208" customFormat="1">
      <c r="B129" s="1017"/>
      <c r="C129" s="922"/>
      <c r="D129" s="652"/>
      <c r="E129" s="881"/>
      <c r="F129" s="881"/>
      <c r="G129" s="881"/>
      <c r="H129" s="627" t="s">
        <v>34</v>
      </c>
      <c r="I129" s="602" t="s">
        <v>34</v>
      </c>
      <c r="J129" s="147" t="s">
        <v>34</v>
      </c>
      <c r="K129" s="627"/>
      <c r="L129" s="354"/>
      <c r="M129" s="1020"/>
      <c r="P129" s="877"/>
      <c r="Q129" s="225"/>
      <c r="R129" s="225"/>
      <c r="T129" s="337"/>
    </row>
    <row r="130" spans="2:20" s="208" customFormat="1">
      <c r="B130" s="1017"/>
      <c r="C130" s="922"/>
      <c r="D130" s="652"/>
      <c r="E130" s="881"/>
      <c r="F130" s="881"/>
      <c r="G130" s="881"/>
      <c r="H130" s="627" t="s">
        <v>34</v>
      </c>
      <c r="I130" s="604" t="s">
        <v>34</v>
      </c>
      <c r="J130" s="150" t="s">
        <v>34</v>
      </c>
      <c r="K130" s="627"/>
      <c r="L130" s="354"/>
      <c r="M130" s="1020"/>
      <c r="P130" s="877"/>
      <c r="Q130" s="225"/>
      <c r="R130" s="225"/>
      <c r="T130" s="337"/>
    </row>
    <row r="131" spans="2:20" s="208" customFormat="1">
      <c r="B131" s="1017"/>
      <c r="C131" s="922"/>
      <c r="D131" s="652"/>
      <c r="E131" s="881"/>
      <c r="F131" s="881"/>
      <c r="G131" s="881"/>
      <c r="H131" s="627" t="s">
        <v>34</v>
      </c>
      <c r="I131" s="604" t="s">
        <v>34</v>
      </c>
      <c r="J131" s="150" t="s">
        <v>34</v>
      </c>
      <c r="K131" s="627"/>
      <c r="L131" s="354"/>
      <c r="M131" s="1020"/>
      <c r="P131" s="877"/>
      <c r="Q131" s="225"/>
      <c r="R131" s="225"/>
      <c r="T131" s="337"/>
    </row>
    <row r="132" spans="2:20" s="208" customFormat="1">
      <c r="B132" s="1017"/>
      <c r="C132" s="922"/>
      <c r="D132" s="652"/>
      <c r="E132" s="881"/>
      <c r="F132" s="881"/>
      <c r="G132" s="881"/>
      <c r="H132" s="627" t="s">
        <v>34</v>
      </c>
      <c r="I132" s="604" t="s">
        <v>34</v>
      </c>
      <c r="J132" s="150" t="s">
        <v>34</v>
      </c>
      <c r="K132" s="627"/>
      <c r="L132" s="354"/>
      <c r="M132" s="1020"/>
      <c r="P132" s="877"/>
      <c r="Q132" s="225"/>
      <c r="R132" s="225"/>
      <c r="T132" s="337"/>
    </row>
    <row r="133" spans="2:20" s="208" customFormat="1">
      <c r="B133" s="1017"/>
      <c r="C133" s="922"/>
      <c r="D133" s="652"/>
      <c r="E133" s="881"/>
      <c r="F133" s="881"/>
      <c r="G133" s="881"/>
      <c r="H133" s="627" t="s">
        <v>34</v>
      </c>
      <c r="I133" s="604" t="s">
        <v>34</v>
      </c>
      <c r="J133" s="150" t="s">
        <v>34</v>
      </c>
      <c r="K133" s="627"/>
      <c r="L133" s="354"/>
      <c r="M133" s="1020"/>
      <c r="P133" s="877"/>
      <c r="Q133" s="225"/>
      <c r="R133" s="225"/>
      <c r="T133" s="337"/>
    </row>
    <row r="134" spans="2:20" s="208" customFormat="1" ht="13.5" thickBot="1">
      <c r="B134" s="1018"/>
      <c r="C134" s="923"/>
      <c r="D134" s="883"/>
      <c r="E134" s="651"/>
      <c r="F134" s="651"/>
      <c r="G134" s="651"/>
      <c r="H134" s="636" t="s">
        <v>34</v>
      </c>
      <c r="I134" s="605" t="s">
        <v>34</v>
      </c>
      <c r="J134" s="151" t="s">
        <v>34</v>
      </c>
      <c r="K134" s="636"/>
      <c r="L134" s="355"/>
      <c r="M134" s="1021"/>
      <c r="P134" s="877"/>
      <c r="Q134" s="225"/>
      <c r="R134" s="225"/>
      <c r="T134" s="337"/>
    </row>
    <row r="135" spans="2:20" s="208" customFormat="1" ht="13.5" thickBot="1">
      <c r="B135" s="334"/>
      <c r="C135" s="874"/>
      <c r="D135" s="336"/>
      <c r="E135" s="336"/>
      <c r="F135" s="336"/>
      <c r="G135" s="336"/>
      <c r="P135" s="877"/>
      <c r="Q135" s="225"/>
      <c r="R135" s="225"/>
      <c r="T135" s="337"/>
    </row>
    <row r="136" spans="2:20" s="208" customFormat="1" ht="26.25" thickBot="1">
      <c r="B136" s="884" t="s">
        <v>15</v>
      </c>
      <c r="C136" s="879" t="s">
        <v>128</v>
      </c>
      <c r="D136" s="674" t="s">
        <v>23</v>
      </c>
      <c r="E136" s="875" t="s">
        <v>24</v>
      </c>
      <c r="F136" s="876" t="s">
        <v>25</v>
      </c>
      <c r="G136" s="878" t="s">
        <v>26</v>
      </c>
      <c r="H136" s="625" t="s">
        <v>38</v>
      </c>
      <c r="I136" s="674" t="s">
        <v>161</v>
      </c>
      <c r="J136" s="674" t="s">
        <v>219</v>
      </c>
      <c r="K136" s="674" t="s">
        <v>683</v>
      </c>
      <c r="L136" s="465" t="s">
        <v>631</v>
      </c>
      <c r="M136" s="212" t="s">
        <v>975</v>
      </c>
      <c r="P136" s="877"/>
      <c r="Q136" s="225"/>
      <c r="R136" s="225"/>
      <c r="T136" s="337"/>
    </row>
    <row r="137" spans="2:20" s="208" customFormat="1">
      <c r="B137" s="1016"/>
      <c r="C137" s="921"/>
      <c r="D137" s="883"/>
      <c r="E137" s="881"/>
      <c r="F137" s="881"/>
      <c r="G137" s="881"/>
      <c r="H137" s="629"/>
      <c r="I137" s="600" t="s">
        <v>34</v>
      </c>
      <c r="J137" s="149"/>
      <c r="K137" s="629"/>
      <c r="L137" s="353" t="s">
        <v>34</v>
      </c>
      <c r="M137" s="1019"/>
      <c r="P137" s="877"/>
      <c r="Q137" s="225"/>
      <c r="R137" s="225"/>
      <c r="T137" s="337"/>
    </row>
    <row r="138" spans="2:20" s="208" customFormat="1">
      <c r="B138" s="1017"/>
      <c r="C138" s="922"/>
      <c r="D138" s="652"/>
      <c r="E138" s="881"/>
      <c r="F138" s="881"/>
      <c r="G138" s="881"/>
      <c r="H138" s="200"/>
      <c r="I138" s="602" t="s">
        <v>34</v>
      </c>
      <c r="J138" s="147"/>
      <c r="K138" s="627"/>
      <c r="L138" s="354"/>
      <c r="M138" s="1020"/>
      <c r="P138" s="877"/>
      <c r="Q138" s="225"/>
      <c r="R138" s="225"/>
      <c r="T138" s="337"/>
    </row>
    <row r="139" spans="2:20" s="208" customFormat="1">
      <c r="B139" s="1017"/>
      <c r="C139" s="922"/>
      <c r="D139" s="652"/>
      <c r="E139" s="881"/>
      <c r="F139" s="881"/>
      <c r="G139" s="881"/>
      <c r="H139" s="200"/>
      <c r="I139" s="602" t="s">
        <v>34</v>
      </c>
      <c r="J139" s="147"/>
      <c r="K139" s="627"/>
      <c r="L139" s="354"/>
      <c r="M139" s="1020"/>
      <c r="P139" s="877"/>
      <c r="Q139" s="225"/>
      <c r="R139" s="225"/>
      <c r="T139" s="337"/>
    </row>
    <row r="140" spans="2:20" s="208" customFormat="1">
      <c r="B140" s="1017"/>
      <c r="C140" s="922"/>
      <c r="D140" s="652"/>
      <c r="E140" s="881"/>
      <c r="F140" s="881"/>
      <c r="G140" s="881"/>
      <c r="H140" s="200"/>
      <c r="I140" s="602" t="s">
        <v>34</v>
      </c>
      <c r="J140" s="147"/>
      <c r="K140" s="627"/>
      <c r="L140" s="354"/>
      <c r="M140" s="1020"/>
      <c r="P140" s="877"/>
      <c r="Q140" s="225"/>
      <c r="R140" s="225"/>
      <c r="T140" s="337"/>
    </row>
    <row r="141" spans="2:20" s="208" customFormat="1">
      <c r="B141" s="1017"/>
      <c r="C141" s="922"/>
      <c r="D141" s="652"/>
      <c r="E141" s="881"/>
      <c r="F141" s="881"/>
      <c r="G141" s="881"/>
      <c r="H141" s="200"/>
      <c r="I141" s="602" t="s">
        <v>34</v>
      </c>
      <c r="J141" s="147"/>
      <c r="K141" s="627"/>
      <c r="L141" s="354"/>
      <c r="M141" s="1020"/>
      <c r="P141" s="877"/>
      <c r="Q141" s="225"/>
      <c r="R141" s="225"/>
      <c r="T141" s="337"/>
    </row>
    <row r="142" spans="2:20" s="208" customFormat="1">
      <c r="B142" s="1017"/>
      <c r="C142" s="922"/>
      <c r="D142" s="652"/>
      <c r="E142" s="881"/>
      <c r="F142" s="881"/>
      <c r="G142" s="881"/>
      <c r="H142" s="200"/>
      <c r="I142" s="602"/>
      <c r="J142" s="147"/>
      <c r="K142" s="627"/>
      <c r="L142" s="354"/>
      <c r="M142" s="1020"/>
      <c r="P142" s="877"/>
      <c r="Q142" s="225"/>
      <c r="R142" s="225"/>
      <c r="T142" s="337"/>
    </row>
    <row r="143" spans="2:20" s="208" customFormat="1">
      <c r="B143" s="1017"/>
      <c r="C143" s="922"/>
      <c r="D143" s="652"/>
      <c r="E143" s="881"/>
      <c r="F143" s="881"/>
      <c r="G143" s="881"/>
      <c r="H143" s="200"/>
      <c r="I143" s="602"/>
      <c r="J143" s="147"/>
      <c r="K143" s="627"/>
      <c r="L143" s="354"/>
      <c r="M143" s="1020"/>
      <c r="P143" s="877"/>
      <c r="Q143" s="225"/>
      <c r="R143" s="225"/>
      <c r="T143" s="337"/>
    </row>
    <row r="144" spans="2:20" s="208" customFormat="1">
      <c r="B144" s="1017"/>
      <c r="C144" s="922"/>
      <c r="D144" s="652"/>
      <c r="E144" s="881"/>
      <c r="F144" s="881"/>
      <c r="G144" s="881"/>
      <c r="H144" s="200"/>
      <c r="I144" s="602"/>
      <c r="J144" s="147"/>
      <c r="K144" s="627"/>
      <c r="L144" s="354"/>
      <c r="M144" s="1020"/>
      <c r="P144" s="877"/>
      <c r="Q144" s="225"/>
      <c r="R144" s="225"/>
      <c r="T144" s="337"/>
    </row>
    <row r="145" spans="2:20" s="208" customFormat="1">
      <c r="B145" s="1017"/>
      <c r="C145" s="922"/>
      <c r="D145" s="652"/>
      <c r="E145" s="881"/>
      <c r="F145" s="881"/>
      <c r="G145" s="881"/>
      <c r="H145" s="200"/>
      <c r="I145" s="602"/>
      <c r="J145" s="147"/>
      <c r="K145" s="627"/>
      <c r="L145" s="354"/>
      <c r="M145" s="1020"/>
      <c r="P145" s="877"/>
      <c r="Q145" s="225"/>
      <c r="R145" s="225"/>
      <c r="T145" s="337"/>
    </row>
    <row r="146" spans="2:20" s="208" customFormat="1">
      <c r="B146" s="1017"/>
      <c r="C146" s="922"/>
      <c r="D146" s="652"/>
      <c r="E146" s="881"/>
      <c r="F146" s="881"/>
      <c r="G146" s="881"/>
      <c r="H146" s="200"/>
      <c r="I146" s="602"/>
      <c r="J146" s="147"/>
      <c r="K146" s="627"/>
      <c r="L146" s="354"/>
      <c r="M146" s="1020"/>
      <c r="P146" s="877"/>
      <c r="Q146" s="225"/>
      <c r="R146" s="225"/>
      <c r="T146" s="337"/>
    </row>
    <row r="147" spans="2:20" s="208" customFormat="1">
      <c r="B147" s="1017"/>
      <c r="C147" s="922"/>
      <c r="D147" s="652"/>
      <c r="E147" s="881"/>
      <c r="F147" s="881"/>
      <c r="G147" s="881"/>
      <c r="H147" s="200"/>
      <c r="I147" s="602"/>
      <c r="J147" s="147"/>
      <c r="K147" s="627"/>
      <c r="L147" s="354"/>
      <c r="M147" s="1020"/>
      <c r="P147" s="877"/>
      <c r="Q147" s="225"/>
      <c r="R147" s="225"/>
      <c r="T147" s="337"/>
    </row>
    <row r="148" spans="2:20" s="208" customFormat="1">
      <c r="B148" s="1017"/>
      <c r="C148" s="922"/>
      <c r="D148" s="652"/>
      <c r="E148" s="881"/>
      <c r="F148" s="881"/>
      <c r="G148" s="881"/>
      <c r="H148" s="627" t="s">
        <v>34</v>
      </c>
      <c r="I148" s="602" t="s">
        <v>34</v>
      </c>
      <c r="J148" s="147" t="s">
        <v>34</v>
      </c>
      <c r="K148" s="627"/>
      <c r="L148" s="354"/>
      <c r="M148" s="1020"/>
      <c r="P148" s="877"/>
      <c r="Q148" s="225"/>
      <c r="R148" s="225"/>
      <c r="T148" s="337"/>
    </row>
    <row r="149" spans="2:20" s="208" customFormat="1">
      <c r="B149" s="1017"/>
      <c r="C149" s="922"/>
      <c r="D149" s="652"/>
      <c r="E149" s="881"/>
      <c r="F149" s="881"/>
      <c r="G149" s="881"/>
      <c r="H149" s="627"/>
      <c r="I149" s="602"/>
      <c r="J149" s="147"/>
      <c r="K149" s="627"/>
      <c r="L149" s="354"/>
      <c r="M149" s="1020"/>
      <c r="P149" s="877"/>
      <c r="Q149" s="225"/>
      <c r="R149" s="225"/>
      <c r="T149" s="337"/>
    </row>
    <row r="150" spans="2:20" s="208" customFormat="1">
      <c r="B150" s="1017"/>
      <c r="C150" s="922"/>
      <c r="D150" s="652"/>
      <c r="E150" s="881"/>
      <c r="F150" s="881"/>
      <c r="G150" s="881"/>
      <c r="H150" s="627"/>
      <c r="I150" s="602"/>
      <c r="J150" s="147"/>
      <c r="K150" s="627"/>
      <c r="L150" s="354"/>
      <c r="M150" s="1020"/>
      <c r="P150" s="877"/>
      <c r="Q150" s="225"/>
      <c r="R150" s="225"/>
      <c r="T150" s="337"/>
    </row>
    <row r="151" spans="2:20" s="208" customFormat="1">
      <c r="B151" s="1017"/>
      <c r="C151" s="922"/>
      <c r="D151" s="652"/>
      <c r="E151" s="881"/>
      <c r="F151" s="881"/>
      <c r="G151" s="881"/>
      <c r="H151" s="627" t="s">
        <v>34</v>
      </c>
      <c r="I151" s="602" t="s">
        <v>34</v>
      </c>
      <c r="J151" s="147" t="s">
        <v>34</v>
      </c>
      <c r="K151" s="627"/>
      <c r="L151" s="354"/>
      <c r="M151" s="1020"/>
      <c r="P151" s="877"/>
      <c r="Q151" s="225"/>
      <c r="R151" s="225"/>
      <c r="T151" s="337"/>
    </row>
    <row r="152" spans="2:20" s="208" customFormat="1">
      <c r="B152" s="1017"/>
      <c r="C152" s="922"/>
      <c r="D152" s="652"/>
      <c r="E152" s="881"/>
      <c r="F152" s="881"/>
      <c r="G152" s="881"/>
      <c r="H152" s="627" t="s">
        <v>34</v>
      </c>
      <c r="I152" s="604" t="s">
        <v>34</v>
      </c>
      <c r="J152" s="150" t="s">
        <v>34</v>
      </c>
      <c r="K152" s="627"/>
      <c r="L152" s="354"/>
      <c r="M152" s="1020"/>
      <c r="P152" s="877"/>
      <c r="Q152" s="225"/>
      <c r="R152" s="225"/>
      <c r="T152" s="337"/>
    </row>
    <row r="153" spans="2:20" s="208" customFormat="1">
      <c r="B153" s="1017"/>
      <c r="C153" s="922"/>
      <c r="D153" s="652"/>
      <c r="E153" s="881"/>
      <c r="F153" s="881"/>
      <c r="G153" s="881"/>
      <c r="H153" s="627" t="s">
        <v>34</v>
      </c>
      <c r="I153" s="604" t="s">
        <v>34</v>
      </c>
      <c r="J153" s="150" t="s">
        <v>34</v>
      </c>
      <c r="K153" s="627"/>
      <c r="L153" s="354"/>
      <c r="M153" s="1020"/>
      <c r="P153" s="877"/>
      <c r="Q153" s="225"/>
      <c r="R153" s="225"/>
      <c r="T153" s="337"/>
    </row>
    <row r="154" spans="2:20" s="208" customFormat="1">
      <c r="B154" s="1017"/>
      <c r="C154" s="922"/>
      <c r="D154" s="652"/>
      <c r="E154" s="881"/>
      <c r="F154" s="881"/>
      <c r="G154" s="881"/>
      <c r="H154" s="627" t="s">
        <v>34</v>
      </c>
      <c r="I154" s="604" t="s">
        <v>34</v>
      </c>
      <c r="J154" s="150" t="s">
        <v>34</v>
      </c>
      <c r="K154" s="627"/>
      <c r="L154" s="354"/>
      <c r="M154" s="1020"/>
      <c r="P154" s="877"/>
      <c r="Q154" s="225"/>
      <c r="R154" s="225"/>
      <c r="T154" s="337"/>
    </row>
    <row r="155" spans="2:20" s="208" customFormat="1">
      <c r="B155" s="1017"/>
      <c r="C155" s="922"/>
      <c r="D155" s="652"/>
      <c r="E155" s="881"/>
      <c r="F155" s="881"/>
      <c r="G155" s="881"/>
      <c r="H155" s="627" t="s">
        <v>34</v>
      </c>
      <c r="I155" s="604" t="s">
        <v>34</v>
      </c>
      <c r="J155" s="150" t="s">
        <v>34</v>
      </c>
      <c r="K155" s="627"/>
      <c r="L155" s="354"/>
      <c r="M155" s="1020"/>
      <c r="P155" s="877"/>
      <c r="Q155" s="225"/>
      <c r="R155" s="225"/>
      <c r="T155" s="337"/>
    </row>
    <row r="156" spans="2:20" s="208" customFormat="1" ht="13.5" thickBot="1">
      <c r="B156" s="1018"/>
      <c r="C156" s="923"/>
      <c r="D156" s="883"/>
      <c r="E156" s="651"/>
      <c r="F156" s="651"/>
      <c r="G156" s="651"/>
      <c r="H156" s="636" t="s">
        <v>34</v>
      </c>
      <c r="I156" s="605" t="s">
        <v>34</v>
      </c>
      <c r="J156" s="151" t="s">
        <v>34</v>
      </c>
      <c r="K156" s="636"/>
      <c r="L156" s="355"/>
      <c r="M156" s="1021"/>
      <c r="P156" s="877"/>
      <c r="Q156" s="225"/>
      <c r="R156" s="225"/>
      <c r="T156" s="337"/>
    </row>
    <row r="157" spans="2:20" s="208" customFormat="1" ht="13.5" thickBot="1">
      <c r="B157" s="334"/>
      <c r="C157" s="874"/>
      <c r="D157" s="336"/>
      <c r="E157" s="336"/>
      <c r="F157" s="336"/>
      <c r="G157" s="336"/>
      <c r="P157" s="877"/>
      <c r="Q157" s="225"/>
      <c r="R157" s="225"/>
      <c r="T157" s="337"/>
    </row>
    <row r="158" spans="2:20" s="208" customFormat="1" ht="26.25" thickBot="1">
      <c r="B158" s="884" t="s">
        <v>15</v>
      </c>
      <c r="C158" s="879" t="s">
        <v>128</v>
      </c>
      <c r="D158" s="674" t="s">
        <v>23</v>
      </c>
      <c r="E158" s="875" t="s">
        <v>24</v>
      </c>
      <c r="F158" s="876" t="s">
        <v>25</v>
      </c>
      <c r="G158" s="878" t="s">
        <v>26</v>
      </c>
      <c r="H158" s="625" t="s">
        <v>38</v>
      </c>
      <c r="I158" s="674" t="s">
        <v>161</v>
      </c>
      <c r="J158" s="674" t="s">
        <v>219</v>
      </c>
      <c r="K158" s="674" t="s">
        <v>683</v>
      </c>
      <c r="L158" s="465" t="s">
        <v>631</v>
      </c>
      <c r="M158" s="212" t="s">
        <v>975</v>
      </c>
      <c r="P158" s="877"/>
      <c r="Q158" s="225"/>
      <c r="R158" s="225"/>
      <c r="T158" s="337"/>
    </row>
    <row r="159" spans="2:20" s="208" customFormat="1">
      <c r="B159" s="1016"/>
      <c r="C159" s="921"/>
      <c r="D159" s="883"/>
      <c r="E159" s="881"/>
      <c r="F159" s="881"/>
      <c r="G159" s="881"/>
      <c r="H159" s="629"/>
      <c r="I159" s="600" t="s">
        <v>34</v>
      </c>
      <c r="J159" s="149"/>
      <c r="K159" s="629"/>
      <c r="L159" s="353" t="s">
        <v>34</v>
      </c>
      <c r="M159" s="1019"/>
      <c r="P159" s="877"/>
      <c r="Q159" s="225"/>
      <c r="R159" s="225"/>
      <c r="T159" s="337"/>
    </row>
    <row r="160" spans="2:20" s="208" customFormat="1">
      <c r="B160" s="1017"/>
      <c r="C160" s="922"/>
      <c r="D160" s="652"/>
      <c r="E160" s="881"/>
      <c r="F160" s="881"/>
      <c r="G160" s="881"/>
      <c r="H160" s="200"/>
      <c r="I160" s="602" t="s">
        <v>34</v>
      </c>
      <c r="J160" s="147"/>
      <c r="K160" s="627"/>
      <c r="L160" s="354"/>
      <c r="M160" s="1020"/>
      <c r="P160" s="877"/>
      <c r="Q160" s="225"/>
      <c r="R160" s="225"/>
      <c r="T160" s="337"/>
    </row>
    <row r="161" spans="2:20" s="208" customFormat="1">
      <c r="B161" s="1017"/>
      <c r="C161" s="922"/>
      <c r="D161" s="652"/>
      <c r="E161" s="881"/>
      <c r="F161" s="881"/>
      <c r="G161" s="881"/>
      <c r="H161" s="200"/>
      <c r="I161" s="602" t="s">
        <v>34</v>
      </c>
      <c r="J161" s="147"/>
      <c r="K161" s="627"/>
      <c r="L161" s="354"/>
      <c r="M161" s="1020"/>
      <c r="P161" s="877"/>
      <c r="Q161" s="225"/>
      <c r="R161" s="225"/>
      <c r="T161" s="337"/>
    </row>
    <row r="162" spans="2:20" s="208" customFormat="1">
      <c r="B162" s="1017"/>
      <c r="C162" s="922"/>
      <c r="D162" s="652"/>
      <c r="E162" s="881"/>
      <c r="F162" s="881"/>
      <c r="G162" s="881"/>
      <c r="H162" s="200"/>
      <c r="I162" s="602" t="s">
        <v>34</v>
      </c>
      <c r="J162" s="147"/>
      <c r="K162" s="627"/>
      <c r="L162" s="354"/>
      <c r="M162" s="1020"/>
      <c r="P162" s="877"/>
      <c r="Q162" s="225"/>
      <c r="R162" s="225"/>
      <c r="T162" s="337"/>
    </row>
    <row r="163" spans="2:20" s="208" customFormat="1">
      <c r="B163" s="1017"/>
      <c r="C163" s="922"/>
      <c r="D163" s="652"/>
      <c r="E163" s="881"/>
      <c r="F163" s="881"/>
      <c r="G163" s="881"/>
      <c r="H163" s="200"/>
      <c r="I163" s="602" t="s">
        <v>34</v>
      </c>
      <c r="J163" s="147"/>
      <c r="K163" s="627"/>
      <c r="L163" s="354"/>
      <c r="M163" s="1020"/>
      <c r="P163" s="877"/>
      <c r="Q163" s="225"/>
      <c r="R163" s="225"/>
      <c r="T163" s="337"/>
    </row>
    <row r="164" spans="2:20" s="208" customFormat="1">
      <c r="B164" s="1017"/>
      <c r="C164" s="922"/>
      <c r="D164" s="652"/>
      <c r="E164" s="881"/>
      <c r="F164" s="881"/>
      <c r="G164" s="881"/>
      <c r="H164" s="200"/>
      <c r="I164" s="602"/>
      <c r="J164" s="147"/>
      <c r="K164" s="627"/>
      <c r="L164" s="354"/>
      <c r="M164" s="1020"/>
      <c r="P164" s="877"/>
      <c r="Q164" s="225"/>
      <c r="R164" s="225"/>
      <c r="T164" s="337"/>
    </row>
    <row r="165" spans="2:20" s="208" customFormat="1">
      <c r="B165" s="1017"/>
      <c r="C165" s="922"/>
      <c r="D165" s="652"/>
      <c r="E165" s="881"/>
      <c r="F165" s="881"/>
      <c r="G165" s="881"/>
      <c r="H165" s="200"/>
      <c r="I165" s="602"/>
      <c r="J165" s="147"/>
      <c r="K165" s="627"/>
      <c r="L165" s="354"/>
      <c r="M165" s="1020"/>
      <c r="P165" s="877"/>
      <c r="Q165" s="225"/>
      <c r="R165" s="225"/>
      <c r="T165" s="337"/>
    </row>
    <row r="166" spans="2:20" s="208" customFormat="1">
      <c r="B166" s="1017"/>
      <c r="C166" s="922"/>
      <c r="D166" s="652"/>
      <c r="E166" s="881"/>
      <c r="F166" s="881"/>
      <c r="G166" s="881"/>
      <c r="H166" s="200"/>
      <c r="I166" s="602"/>
      <c r="J166" s="147"/>
      <c r="K166" s="627"/>
      <c r="L166" s="354"/>
      <c r="M166" s="1020"/>
      <c r="P166" s="877"/>
      <c r="Q166" s="225"/>
      <c r="R166" s="225"/>
      <c r="T166" s="337"/>
    </row>
    <row r="167" spans="2:20" s="208" customFormat="1">
      <c r="B167" s="1017"/>
      <c r="C167" s="922"/>
      <c r="D167" s="652"/>
      <c r="E167" s="881"/>
      <c r="F167" s="881"/>
      <c r="G167" s="881"/>
      <c r="H167" s="200"/>
      <c r="I167" s="602"/>
      <c r="J167" s="147"/>
      <c r="K167" s="627"/>
      <c r="L167" s="354"/>
      <c r="M167" s="1020"/>
      <c r="P167" s="877"/>
      <c r="Q167" s="225"/>
      <c r="R167" s="225"/>
      <c r="T167" s="337"/>
    </row>
    <row r="168" spans="2:20" s="208" customFormat="1">
      <c r="B168" s="1017"/>
      <c r="C168" s="922"/>
      <c r="D168" s="652"/>
      <c r="E168" s="881"/>
      <c r="F168" s="881"/>
      <c r="G168" s="881"/>
      <c r="H168" s="200"/>
      <c r="I168" s="602"/>
      <c r="J168" s="147"/>
      <c r="K168" s="627"/>
      <c r="L168" s="354"/>
      <c r="M168" s="1020"/>
      <c r="P168" s="877"/>
      <c r="Q168" s="225"/>
      <c r="R168" s="225"/>
      <c r="T168" s="337"/>
    </row>
    <row r="169" spans="2:20" s="208" customFormat="1">
      <c r="B169" s="1017"/>
      <c r="C169" s="922"/>
      <c r="D169" s="652"/>
      <c r="E169" s="881"/>
      <c r="F169" s="881"/>
      <c r="G169" s="881"/>
      <c r="H169" s="200"/>
      <c r="I169" s="602"/>
      <c r="J169" s="147"/>
      <c r="K169" s="627"/>
      <c r="L169" s="354"/>
      <c r="M169" s="1020"/>
      <c r="P169" s="877"/>
      <c r="Q169" s="225"/>
      <c r="R169" s="225"/>
      <c r="T169" s="337"/>
    </row>
    <row r="170" spans="2:20" s="208" customFormat="1">
      <c r="B170" s="1017"/>
      <c r="C170" s="922"/>
      <c r="D170" s="652"/>
      <c r="E170" s="881"/>
      <c r="F170" s="881"/>
      <c r="G170" s="881"/>
      <c r="H170" s="627" t="s">
        <v>34</v>
      </c>
      <c r="I170" s="602" t="s">
        <v>34</v>
      </c>
      <c r="J170" s="147" t="s">
        <v>34</v>
      </c>
      <c r="K170" s="627"/>
      <c r="L170" s="354"/>
      <c r="M170" s="1020"/>
      <c r="P170" s="877"/>
      <c r="Q170" s="225"/>
      <c r="R170" s="225"/>
      <c r="T170" s="337"/>
    </row>
    <row r="171" spans="2:20" s="208" customFormat="1">
      <c r="B171" s="1017"/>
      <c r="C171" s="922"/>
      <c r="D171" s="652"/>
      <c r="E171" s="881"/>
      <c r="F171" s="881"/>
      <c r="G171" s="881"/>
      <c r="H171" s="627"/>
      <c r="I171" s="602"/>
      <c r="J171" s="147"/>
      <c r="K171" s="627"/>
      <c r="L171" s="354"/>
      <c r="M171" s="1020"/>
      <c r="P171" s="877"/>
      <c r="Q171" s="225"/>
      <c r="R171" s="225"/>
      <c r="T171" s="337"/>
    </row>
    <row r="172" spans="2:20" s="208" customFormat="1">
      <c r="B172" s="1017"/>
      <c r="C172" s="922"/>
      <c r="D172" s="652"/>
      <c r="E172" s="881"/>
      <c r="F172" s="881"/>
      <c r="G172" s="881"/>
      <c r="H172" s="627"/>
      <c r="I172" s="602"/>
      <c r="J172" s="147"/>
      <c r="K172" s="627"/>
      <c r="L172" s="354"/>
      <c r="M172" s="1020"/>
      <c r="P172" s="877"/>
      <c r="Q172" s="225"/>
      <c r="R172" s="225"/>
      <c r="T172" s="337"/>
    </row>
    <row r="173" spans="2:20" s="208" customFormat="1">
      <c r="B173" s="1017"/>
      <c r="C173" s="922"/>
      <c r="D173" s="652"/>
      <c r="E173" s="881"/>
      <c r="F173" s="881"/>
      <c r="G173" s="881"/>
      <c r="H173" s="627" t="s">
        <v>34</v>
      </c>
      <c r="I173" s="602" t="s">
        <v>34</v>
      </c>
      <c r="J173" s="147" t="s">
        <v>34</v>
      </c>
      <c r="K173" s="627"/>
      <c r="L173" s="354"/>
      <c r="M173" s="1020"/>
      <c r="P173" s="877"/>
      <c r="Q173" s="225"/>
      <c r="R173" s="225"/>
      <c r="T173" s="337"/>
    </row>
    <row r="174" spans="2:20" s="208" customFormat="1">
      <c r="B174" s="1017"/>
      <c r="C174" s="922"/>
      <c r="D174" s="652"/>
      <c r="E174" s="881"/>
      <c r="F174" s="881"/>
      <c r="G174" s="881"/>
      <c r="H174" s="627" t="s">
        <v>34</v>
      </c>
      <c r="I174" s="604" t="s">
        <v>34</v>
      </c>
      <c r="J174" s="150" t="s">
        <v>34</v>
      </c>
      <c r="K174" s="627"/>
      <c r="L174" s="354"/>
      <c r="M174" s="1020"/>
      <c r="P174" s="877"/>
      <c r="Q174" s="225"/>
      <c r="R174" s="225"/>
      <c r="T174" s="337"/>
    </row>
    <row r="175" spans="2:20" s="208" customFormat="1">
      <c r="B175" s="1017"/>
      <c r="C175" s="922"/>
      <c r="D175" s="652"/>
      <c r="E175" s="881"/>
      <c r="F175" s="881"/>
      <c r="G175" s="881"/>
      <c r="H175" s="627" t="s">
        <v>34</v>
      </c>
      <c r="I175" s="604" t="s">
        <v>34</v>
      </c>
      <c r="J175" s="150" t="s">
        <v>34</v>
      </c>
      <c r="K175" s="627"/>
      <c r="L175" s="354"/>
      <c r="M175" s="1020"/>
      <c r="P175" s="877"/>
      <c r="Q175" s="225"/>
      <c r="R175" s="225"/>
      <c r="T175" s="337"/>
    </row>
    <row r="176" spans="2:20" s="208" customFormat="1">
      <c r="B176" s="1017"/>
      <c r="C176" s="922"/>
      <c r="D176" s="652"/>
      <c r="E176" s="881"/>
      <c r="F176" s="881"/>
      <c r="G176" s="881"/>
      <c r="H176" s="627" t="s">
        <v>34</v>
      </c>
      <c r="I176" s="604" t="s">
        <v>34</v>
      </c>
      <c r="J176" s="150" t="s">
        <v>34</v>
      </c>
      <c r="K176" s="627"/>
      <c r="L176" s="354"/>
      <c r="M176" s="1020"/>
      <c r="P176" s="877"/>
      <c r="Q176" s="225"/>
      <c r="R176" s="225"/>
      <c r="T176" s="337"/>
    </row>
    <row r="177" spans="2:20" s="208" customFormat="1">
      <c r="B177" s="1017"/>
      <c r="C177" s="922"/>
      <c r="D177" s="652"/>
      <c r="E177" s="881"/>
      <c r="F177" s="881"/>
      <c r="G177" s="881"/>
      <c r="H177" s="627" t="s">
        <v>34</v>
      </c>
      <c r="I177" s="604" t="s">
        <v>34</v>
      </c>
      <c r="J177" s="150" t="s">
        <v>34</v>
      </c>
      <c r="K177" s="627"/>
      <c r="L177" s="354"/>
      <c r="M177" s="1020"/>
      <c r="P177" s="877"/>
      <c r="Q177" s="225"/>
      <c r="R177" s="225"/>
      <c r="T177" s="337"/>
    </row>
    <row r="178" spans="2:20" s="208" customFormat="1" ht="13.5" thickBot="1">
      <c r="B178" s="1018"/>
      <c r="C178" s="923"/>
      <c r="D178" s="883"/>
      <c r="E178" s="651"/>
      <c r="F178" s="651"/>
      <c r="G178" s="651"/>
      <c r="H178" s="636" t="s">
        <v>34</v>
      </c>
      <c r="I178" s="605" t="s">
        <v>34</v>
      </c>
      <c r="J178" s="151" t="s">
        <v>34</v>
      </c>
      <c r="K178" s="636"/>
      <c r="L178" s="355"/>
      <c r="M178" s="1021"/>
      <c r="P178" s="877"/>
      <c r="Q178" s="225"/>
      <c r="R178" s="225"/>
      <c r="T178" s="337"/>
    </row>
    <row r="179" spans="2:20" s="208" customFormat="1" ht="13.5" thickBot="1">
      <c r="B179" s="334"/>
      <c r="C179" s="874"/>
      <c r="D179" s="336"/>
      <c r="E179" s="336"/>
      <c r="F179" s="336"/>
      <c r="G179" s="336"/>
      <c r="P179" s="877"/>
      <c r="Q179" s="225"/>
      <c r="R179" s="225"/>
      <c r="T179" s="337"/>
    </row>
    <row r="180" spans="2:20" s="208" customFormat="1" ht="26.25" thickBot="1">
      <c r="B180" s="884" t="s">
        <v>15</v>
      </c>
      <c r="C180" s="879" t="s">
        <v>128</v>
      </c>
      <c r="D180" s="674" t="s">
        <v>23</v>
      </c>
      <c r="E180" s="875" t="s">
        <v>24</v>
      </c>
      <c r="F180" s="876" t="s">
        <v>25</v>
      </c>
      <c r="G180" s="878" t="s">
        <v>26</v>
      </c>
      <c r="H180" s="625" t="s">
        <v>38</v>
      </c>
      <c r="I180" s="674" t="s">
        <v>161</v>
      </c>
      <c r="J180" s="674" t="s">
        <v>219</v>
      </c>
      <c r="K180" s="674" t="s">
        <v>683</v>
      </c>
      <c r="L180" s="465" t="s">
        <v>631</v>
      </c>
      <c r="M180" s="212" t="s">
        <v>975</v>
      </c>
      <c r="P180" s="877"/>
      <c r="Q180" s="225"/>
      <c r="R180" s="225"/>
      <c r="T180" s="337"/>
    </row>
    <row r="181" spans="2:20" s="208" customFormat="1">
      <c r="B181" s="1016"/>
      <c r="C181" s="921"/>
      <c r="D181" s="883"/>
      <c r="E181" s="881"/>
      <c r="F181" s="881"/>
      <c r="G181" s="881"/>
      <c r="H181" s="629"/>
      <c r="I181" s="600" t="s">
        <v>34</v>
      </c>
      <c r="J181" s="149"/>
      <c r="K181" s="629"/>
      <c r="L181" s="353" t="s">
        <v>34</v>
      </c>
      <c r="M181" s="1019"/>
      <c r="P181" s="877"/>
      <c r="Q181" s="225"/>
      <c r="R181" s="225"/>
      <c r="T181" s="337"/>
    </row>
    <row r="182" spans="2:20" s="208" customFormat="1">
      <c r="B182" s="1017"/>
      <c r="C182" s="922"/>
      <c r="D182" s="652"/>
      <c r="E182" s="881"/>
      <c r="F182" s="881"/>
      <c r="G182" s="881"/>
      <c r="H182" s="200"/>
      <c r="I182" s="602" t="s">
        <v>34</v>
      </c>
      <c r="J182" s="147"/>
      <c r="K182" s="627"/>
      <c r="L182" s="354"/>
      <c r="M182" s="1020"/>
      <c r="P182" s="877"/>
      <c r="Q182" s="225"/>
      <c r="R182" s="225"/>
      <c r="T182" s="337"/>
    </row>
    <row r="183" spans="2:20" s="208" customFormat="1">
      <c r="B183" s="1017"/>
      <c r="C183" s="922"/>
      <c r="D183" s="652"/>
      <c r="E183" s="881"/>
      <c r="F183" s="881"/>
      <c r="G183" s="881"/>
      <c r="H183" s="200"/>
      <c r="I183" s="602" t="s">
        <v>34</v>
      </c>
      <c r="J183" s="147"/>
      <c r="K183" s="627"/>
      <c r="L183" s="354"/>
      <c r="M183" s="1020"/>
      <c r="P183" s="877"/>
      <c r="Q183" s="225"/>
      <c r="R183" s="225"/>
      <c r="T183" s="337"/>
    </row>
    <row r="184" spans="2:20" s="208" customFormat="1">
      <c r="B184" s="1017"/>
      <c r="C184" s="922"/>
      <c r="D184" s="652"/>
      <c r="E184" s="881"/>
      <c r="F184" s="881"/>
      <c r="G184" s="881"/>
      <c r="H184" s="200"/>
      <c r="I184" s="602" t="s">
        <v>34</v>
      </c>
      <c r="J184" s="147"/>
      <c r="K184" s="627"/>
      <c r="L184" s="354"/>
      <c r="M184" s="1020"/>
      <c r="P184" s="877"/>
      <c r="Q184" s="225"/>
      <c r="R184" s="225"/>
      <c r="T184" s="337"/>
    </row>
    <row r="185" spans="2:20" s="208" customFormat="1">
      <c r="B185" s="1017"/>
      <c r="C185" s="922"/>
      <c r="D185" s="652"/>
      <c r="E185" s="881"/>
      <c r="F185" s="881"/>
      <c r="G185" s="881"/>
      <c r="H185" s="200"/>
      <c r="I185" s="602" t="s">
        <v>34</v>
      </c>
      <c r="J185" s="147"/>
      <c r="K185" s="627"/>
      <c r="L185" s="354"/>
      <c r="M185" s="1020"/>
      <c r="P185" s="877"/>
      <c r="Q185" s="225"/>
      <c r="R185" s="225"/>
      <c r="T185" s="337"/>
    </row>
    <row r="186" spans="2:20" s="208" customFormat="1">
      <c r="B186" s="1017"/>
      <c r="C186" s="922"/>
      <c r="D186" s="652"/>
      <c r="E186" s="881"/>
      <c r="F186" s="881"/>
      <c r="G186" s="881"/>
      <c r="H186" s="200"/>
      <c r="I186" s="602"/>
      <c r="J186" s="147"/>
      <c r="K186" s="627"/>
      <c r="L186" s="354"/>
      <c r="M186" s="1020"/>
      <c r="P186" s="877"/>
      <c r="Q186" s="225"/>
      <c r="R186" s="225"/>
      <c r="T186" s="337"/>
    </row>
    <row r="187" spans="2:20" s="208" customFormat="1">
      <c r="B187" s="1017"/>
      <c r="C187" s="922"/>
      <c r="D187" s="652"/>
      <c r="E187" s="881"/>
      <c r="F187" s="881"/>
      <c r="G187" s="881"/>
      <c r="H187" s="200"/>
      <c r="I187" s="602"/>
      <c r="J187" s="147"/>
      <c r="K187" s="627"/>
      <c r="L187" s="354"/>
      <c r="M187" s="1020"/>
      <c r="P187" s="877"/>
      <c r="Q187" s="225"/>
      <c r="R187" s="225"/>
      <c r="T187" s="337"/>
    </row>
    <row r="188" spans="2:20" s="208" customFormat="1">
      <c r="B188" s="1017"/>
      <c r="C188" s="922"/>
      <c r="D188" s="652"/>
      <c r="E188" s="881"/>
      <c r="F188" s="881"/>
      <c r="G188" s="881"/>
      <c r="H188" s="200"/>
      <c r="I188" s="602"/>
      <c r="J188" s="147"/>
      <c r="K188" s="627"/>
      <c r="L188" s="354"/>
      <c r="M188" s="1020"/>
      <c r="P188" s="877"/>
      <c r="Q188" s="225"/>
      <c r="R188" s="225"/>
      <c r="T188" s="337"/>
    </row>
    <row r="189" spans="2:20" s="208" customFormat="1">
      <c r="B189" s="1017"/>
      <c r="C189" s="922"/>
      <c r="D189" s="652"/>
      <c r="E189" s="881"/>
      <c r="F189" s="881"/>
      <c r="G189" s="881"/>
      <c r="H189" s="200"/>
      <c r="I189" s="602"/>
      <c r="J189" s="147"/>
      <c r="K189" s="627"/>
      <c r="L189" s="354"/>
      <c r="M189" s="1020"/>
      <c r="P189" s="877"/>
      <c r="Q189" s="225"/>
      <c r="R189" s="225"/>
      <c r="T189" s="337"/>
    </row>
    <row r="190" spans="2:20" s="208" customFormat="1">
      <c r="B190" s="1017"/>
      <c r="C190" s="922"/>
      <c r="D190" s="652"/>
      <c r="E190" s="881"/>
      <c r="F190" s="881"/>
      <c r="G190" s="881"/>
      <c r="H190" s="200"/>
      <c r="I190" s="602"/>
      <c r="J190" s="147"/>
      <c r="K190" s="627"/>
      <c r="L190" s="354"/>
      <c r="M190" s="1020"/>
      <c r="P190" s="877"/>
      <c r="Q190" s="225"/>
      <c r="R190" s="225"/>
      <c r="T190" s="337"/>
    </row>
    <row r="191" spans="2:20" s="208" customFormat="1">
      <c r="B191" s="1017"/>
      <c r="C191" s="922"/>
      <c r="D191" s="652"/>
      <c r="E191" s="881"/>
      <c r="F191" s="881"/>
      <c r="G191" s="881"/>
      <c r="H191" s="200"/>
      <c r="I191" s="602"/>
      <c r="J191" s="147"/>
      <c r="K191" s="627"/>
      <c r="L191" s="354"/>
      <c r="M191" s="1020"/>
      <c r="P191" s="877"/>
      <c r="Q191" s="225"/>
      <c r="R191" s="225"/>
      <c r="T191" s="337"/>
    </row>
    <row r="192" spans="2:20" s="208" customFormat="1">
      <c r="B192" s="1017"/>
      <c r="C192" s="922"/>
      <c r="D192" s="652"/>
      <c r="E192" s="881"/>
      <c r="F192" s="881"/>
      <c r="G192" s="881"/>
      <c r="H192" s="627" t="s">
        <v>34</v>
      </c>
      <c r="I192" s="602" t="s">
        <v>34</v>
      </c>
      <c r="J192" s="147" t="s">
        <v>34</v>
      </c>
      <c r="K192" s="627"/>
      <c r="L192" s="354"/>
      <c r="M192" s="1020"/>
      <c r="P192" s="877"/>
      <c r="Q192" s="225"/>
      <c r="R192" s="225"/>
      <c r="T192" s="337"/>
    </row>
    <row r="193" spans="2:20" s="208" customFormat="1">
      <c r="B193" s="1017"/>
      <c r="C193" s="922"/>
      <c r="D193" s="652"/>
      <c r="E193" s="881"/>
      <c r="F193" s="881"/>
      <c r="G193" s="881"/>
      <c r="H193" s="627"/>
      <c r="I193" s="602"/>
      <c r="J193" s="147"/>
      <c r="K193" s="627"/>
      <c r="L193" s="354"/>
      <c r="M193" s="1020"/>
      <c r="P193" s="877"/>
      <c r="Q193" s="225"/>
      <c r="R193" s="225"/>
      <c r="T193" s="337"/>
    </row>
    <row r="194" spans="2:20" s="208" customFormat="1">
      <c r="B194" s="1017"/>
      <c r="C194" s="922"/>
      <c r="D194" s="652"/>
      <c r="E194" s="881"/>
      <c r="F194" s="881"/>
      <c r="G194" s="881"/>
      <c r="H194" s="627"/>
      <c r="I194" s="602"/>
      <c r="J194" s="147"/>
      <c r="K194" s="627"/>
      <c r="L194" s="354"/>
      <c r="M194" s="1020"/>
      <c r="P194" s="877"/>
      <c r="Q194" s="225"/>
      <c r="R194" s="225"/>
      <c r="T194" s="337"/>
    </row>
    <row r="195" spans="2:20" s="208" customFormat="1">
      <c r="B195" s="1017"/>
      <c r="C195" s="922"/>
      <c r="D195" s="652"/>
      <c r="E195" s="881"/>
      <c r="F195" s="881"/>
      <c r="G195" s="881"/>
      <c r="H195" s="627" t="s">
        <v>34</v>
      </c>
      <c r="I195" s="602" t="s">
        <v>34</v>
      </c>
      <c r="J195" s="147" t="s">
        <v>34</v>
      </c>
      <c r="K195" s="627"/>
      <c r="L195" s="354"/>
      <c r="M195" s="1020"/>
      <c r="P195" s="877"/>
      <c r="Q195" s="225"/>
      <c r="R195" s="225"/>
      <c r="T195" s="337"/>
    </row>
    <row r="196" spans="2:20" s="208" customFormat="1">
      <c r="B196" s="1017"/>
      <c r="C196" s="922"/>
      <c r="D196" s="652"/>
      <c r="E196" s="881"/>
      <c r="F196" s="881"/>
      <c r="G196" s="881"/>
      <c r="H196" s="627" t="s">
        <v>34</v>
      </c>
      <c r="I196" s="604" t="s">
        <v>34</v>
      </c>
      <c r="J196" s="150" t="s">
        <v>34</v>
      </c>
      <c r="K196" s="627"/>
      <c r="L196" s="354"/>
      <c r="M196" s="1020"/>
      <c r="P196" s="877"/>
      <c r="Q196" s="225"/>
      <c r="R196" s="225"/>
      <c r="T196" s="337"/>
    </row>
    <row r="197" spans="2:20" s="208" customFormat="1">
      <c r="B197" s="1017"/>
      <c r="C197" s="922"/>
      <c r="D197" s="652"/>
      <c r="E197" s="881"/>
      <c r="F197" s="881"/>
      <c r="G197" s="881"/>
      <c r="H197" s="627" t="s">
        <v>34</v>
      </c>
      <c r="I197" s="604" t="s">
        <v>34</v>
      </c>
      <c r="J197" s="150" t="s">
        <v>34</v>
      </c>
      <c r="K197" s="627"/>
      <c r="L197" s="354"/>
      <c r="M197" s="1020"/>
      <c r="P197" s="877"/>
      <c r="Q197" s="225"/>
      <c r="R197" s="225"/>
      <c r="T197" s="337"/>
    </row>
    <row r="198" spans="2:20" s="208" customFormat="1">
      <c r="B198" s="1017"/>
      <c r="C198" s="922"/>
      <c r="D198" s="652"/>
      <c r="E198" s="881"/>
      <c r="F198" s="881"/>
      <c r="G198" s="881"/>
      <c r="H198" s="627" t="s">
        <v>34</v>
      </c>
      <c r="I198" s="604" t="s">
        <v>34</v>
      </c>
      <c r="J198" s="150" t="s">
        <v>34</v>
      </c>
      <c r="K198" s="627"/>
      <c r="L198" s="354"/>
      <c r="M198" s="1020"/>
      <c r="P198" s="877"/>
      <c r="Q198" s="225"/>
      <c r="R198" s="225"/>
      <c r="T198" s="337"/>
    </row>
    <row r="199" spans="2:20" s="208" customFormat="1">
      <c r="B199" s="1017"/>
      <c r="C199" s="922"/>
      <c r="D199" s="652"/>
      <c r="E199" s="881"/>
      <c r="F199" s="881"/>
      <c r="G199" s="881"/>
      <c r="H199" s="627" t="s">
        <v>34</v>
      </c>
      <c r="I199" s="604" t="s">
        <v>34</v>
      </c>
      <c r="J199" s="150" t="s">
        <v>34</v>
      </c>
      <c r="K199" s="627"/>
      <c r="L199" s="354"/>
      <c r="M199" s="1020"/>
      <c r="P199" s="877"/>
      <c r="Q199" s="225"/>
      <c r="R199" s="225"/>
      <c r="T199" s="337"/>
    </row>
    <row r="200" spans="2:20" s="208" customFormat="1" ht="13.5" thickBot="1">
      <c r="B200" s="1018"/>
      <c r="C200" s="923"/>
      <c r="D200" s="924"/>
      <c r="E200" s="651"/>
      <c r="F200" s="651"/>
      <c r="G200" s="651"/>
      <c r="H200" s="636" t="s">
        <v>34</v>
      </c>
      <c r="I200" s="605" t="s">
        <v>34</v>
      </c>
      <c r="J200" s="151" t="s">
        <v>34</v>
      </c>
      <c r="K200" s="636"/>
      <c r="L200" s="355"/>
      <c r="M200" s="1021"/>
      <c r="P200" s="877"/>
      <c r="Q200" s="225"/>
      <c r="R200" s="225"/>
      <c r="T200" s="337"/>
    </row>
    <row r="201" spans="2:20" s="208" customFormat="1" ht="13.5" thickBot="1">
      <c r="B201" s="334"/>
      <c r="C201" s="874"/>
      <c r="D201" s="336"/>
      <c r="E201" s="336"/>
      <c r="F201" s="336"/>
      <c r="G201" s="336"/>
      <c r="P201" s="877"/>
      <c r="Q201" s="225"/>
      <c r="R201" s="225"/>
      <c r="T201" s="337"/>
    </row>
    <row r="202" spans="2:20" s="208" customFormat="1" ht="26.25" thickBot="1">
      <c r="B202" s="884" t="s">
        <v>15</v>
      </c>
      <c r="C202" s="879" t="s">
        <v>128</v>
      </c>
      <c r="D202" s="674" t="s">
        <v>23</v>
      </c>
      <c r="E202" s="875" t="s">
        <v>24</v>
      </c>
      <c r="F202" s="876" t="s">
        <v>25</v>
      </c>
      <c r="G202" s="878" t="s">
        <v>26</v>
      </c>
      <c r="H202" s="625" t="s">
        <v>38</v>
      </c>
      <c r="I202" s="674" t="s">
        <v>161</v>
      </c>
      <c r="J202" s="674" t="s">
        <v>219</v>
      </c>
      <c r="K202" s="674" t="s">
        <v>683</v>
      </c>
      <c r="L202" s="465" t="s">
        <v>631</v>
      </c>
      <c r="M202" s="212" t="s">
        <v>975</v>
      </c>
      <c r="P202" s="877"/>
      <c r="Q202" s="225"/>
      <c r="R202" s="225"/>
      <c r="T202" s="337"/>
    </row>
    <row r="203" spans="2:20" s="208" customFormat="1">
      <c r="B203" s="1016"/>
      <c r="C203" s="921"/>
      <c r="D203" s="883"/>
      <c r="E203" s="881"/>
      <c r="F203" s="881"/>
      <c r="G203" s="881"/>
      <c r="H203" s="629"/>
      <c r="I203" s="600" t="s">
        <v>34</v>
      </c>
      <c r="J203" s="149"/>
      <c r="K203" s="629"/>
      <c r="L203" s="353" t="s">
        <v>34</v>
      </c>
      <c r="M203" s="1019"/>
      <c r="P203" s="877"/>
      <c r="Q203" s="225"/>
      <c r="R203" s="225"/>
      <c r="T203" s="337"/>
    </row>
    <row r="204" spans="2:20" s="208" customFormat="1">
      <c r="B204" s="1017"/>
      <c r="C204" s="922"/>
      <c r="D204" s="652"/>
      <c r="E204" s="881"/>
      <c r="F204" s="881"/>
      <c r="G204" s="881"/>
      <c r="H204" s="200"/>
      <c r="I204" s="602" t="s">
        <v>34</v>
      </c>
      <c r="J204" s="147"/>
      <c r="K204" s="627"/>
      <c r="L204" s="354"/>
      <c r="M204" s="1020"/>
      <c r="P204" s="877"/>
      <c r="Q204" s="225"/>
      <c r="R204" s="225"/>
      <c r="T204" s="337"/>
    </row>
    <row r="205" spans="2:20" s="208" customFormat="1">
      <c r="B205" s="1017"/>
      <c r="C205" s="922"/>
      <c r="D205" s="652"/>
      <c r="E205" s="881"/>
      <c r="F205" s="881"/>
      <c r="G205" s="881"/>
      <c r="H205" s="200"/>
      <c r="I205" s="602" t="s">
        <v>34</v>
      </c>
      <c r="J205" s="147"/>
      <c r="K205" s="627"/>
      <c r="L205" s="354"/>
      <c r="M205" s="1020"/>
      <c r="P205" s="877"/>
      <c r="Q205" s="225"/>
      <c r="R205" s="225"/>
      <c r="T205" s="337"/>
    </row>
    <row r="206" spans="2:20" s="208" customFormat="1">
      <c r="B206" s="1017"/>
      <c r="C206" s="922"/>
      <c r="D206" s="652"/>
      <c r="E206" s="881"/>
      <c r="F206" s="881"/>
      <c r="G206" s="881"/>
      <c r="H206" s="200"/>
      <c r="I206" s="602" t="s">
        <v>34</v>
      </c>
      <c r="J206" s="147"/>
      <c r="K206" s="627"/>
      <c r="L206" s="354"/>
      <c r="M206" s="1020"/>
      <c r="P206" s="877"/>
      <c r="Q206" s="225"/>
      <c r="R206" s="225"/>
      <c r="T206" s="337"/>
    </row>
    <row r="207" spans="2:20" s="208" customFormat="1">
      <c r="B207" s="1017"/>
      <c r="C207" s="922"/>
      <c r="D207" s="652"/>
      <c r="E207" s="881"/>
      <c r="F207" s="881"/>
      <c r="G207" s="881"/>
      <c r="H207" s="200"/>
      <c r="I207" s="602" t="s">
        <v>34</v>
      </c>
      <c r="J207" s="147"/>
      <c r="K207" s="627"/>
      <c r="L207" s="354"/>
      <c r="M207" s="1020"/>
      <c r="P207" s="877"/>
      <c r="Q207" s="225"/>
      <c r="R207" s="225"/>
      <c r="T207" s="337"/>
    </row>
    <row r="208" spans="2:20" s="208" customFormat="1">
      <c r="B208" s="1017"/>
      <c r="C208" s="922"/>
      <c r="D208" s="652"/>
      <c r="E208" s="881"/>
      <c r="F208" s="881"/>
      <c r="G208" s="881"/>
      <c r="H208" s="200"/>
      <c r="I208" s="602"/>
      <c r="J208" s="147"/>
      <c r="K208" s="627"/>
      <c r="L208" s="354"/>
      <c r="M208" s="1020"/>
      <c r="P208" s="877"/>
      <c r="Q208" s="225"/>
      <c r="R208" s="225"/>
      <c r="T208" s="337"/>
    </row>
    <row r="209" spans="2:20" s="208" customFormat="1">
      <c r="B209" s="1017"/>
      <c r="C209" s="922"/>
      <c r="D209" s="652"/>
      <c r="E209" s="881"/>
      <c r="F209" s="881"/>
      <c r="G209" s="881"/>
      <c r="H209" s="200"/>
      <c r="I209" s="602"/>
      <c r="J209" s="147"/>
      <c r="K209" s="627"/>
      <c r="L209" s="354"/>
      <c r="M209" s="1020"/>
      <c r="P209" s="877"/>
      <c r="Q209" s="225"/>
      <c r="R209" s="225"/>
      <c r="T209" s="337"/>
    </row>
    <row r="210" spans="2:20" s="208" customFormat="1">
      <c r="B210" s="1017"/>
      <c r="C210" s="922"/>
      <c r="D210" s="652"/>
      <c r="E210" s="881"/>
      <c r="F210" s="881"/>
      <c r="G210" s="881"/>
      <c r="H210" s="200"/>
      <c r="I210" s="602"/>
      <c r="J210" s="147"/>
      <c r="K210" s="627"/>
      <c r="L210" s="354"/>
      <c r="M210" s="1020"/>
      <c r="P210" s="877"/>
      <c r="Q210" s="225"/>
      <c r="R210" s="225"/>
      <c r="T210" s="337"/>
    </row>
    <row r="211" spans="2:20" s="208" customFormat="1">
      <c r="B211" s="1017"/>
      <c r="C211" s="922"/>
      <c r="D211" s="652"/>
      <c r="E211" s="881"/>
      <c r="F211" s="881"/>
      <c r="G211" s="881"/>
      <c r="H211" s="200"/>
      <c r="I211" s="602"/>
      <c r="J211" s="147"/>
      <c r="K211" s="627"/>
      <c r="L211" s="354"/>
      <c r="M211" s="1020"/>
      <c r="P211" s="877"/>
      <c r="Q211" s="225"/>
      <c r="R211" s="225"/>
      <c r="T211" s="337"/>
    </row>
    <row r="212" spans="2:20" s="208" customFormat="1">
      <c r="B212" s="1017"/>
      <c r="C212" s="922"/>
      <c r="D212" s="652"/>
      <c r="E212" s="881"/>
      <c r="F212" s="881"/>
      <c r="G212" s="881"/>
      <c r="H212" s="200"/>
      <c r="I212" s="602"/>
      <c r="J212" s="147"/>
      <c r="K212" s="627"/>
      <c r="L212" s="354"/>
      <c r="M212" s="1020"/>
      <c r="P212" s="877"/>
      <c r="Q212" s="225"/>
      <c r="R212" s="225"/>
      <c r="T212" s="337"/>
    </row>
    <row r="213" spans="2:20" s="208" customFormat="1">
      <c r="B213" s="1017"/>
      <c r="C213" s="922"/>
      <c r="D213" s="652"/>
      <c r="E213" s="881"/>
      <c r="F213" s="881"/>
      <c r="G213" s="881"/>
      <c r="H213" s="200"/>
      <c r="I213" s="602"/>
      <c r="J213" s="147"/>
      <c r="K213" s="627"/>
      <c r="L213" s="354"/>
      <c r="M213" s="1020"/>
      <c r="P213" s="877"/>
      <c r="Q213" s="225"/>
      <c r="R213" s="225"/>
      <c r="T213" s="337"/>
    </row>
    <row r="214" spans="2:20" s="208" customFormat="1">
      <c r="B214" s="1017"/>
      <c r="C214" s="922"/>
      <c r="D214" s="652"/>
      <c r="E214" s="881"/>
      <c r="F214" s="881"/>
      <c r="G214" s="881"/>
      <c r="H214" s="627" t="s">
        <v>34</v>
      </c>
      <c r="I214" s="602" t="s">
        <v>34</v>
      </c>
      <c r="J214" s="147" t="s">
        <v>34</v>
      </c>
      <c r="K214" s="627"/>
      <c r="L214" s="354"/>
      <c r="M214" s="1020"/>
      <c r="P214" s="877"/>
      <c r="Q214" s="225"/>
      <c r="R214" s="225"/>
      <c r="T214" s="337"/>
    </row>
    <row r="215" spans="2:20" s="208" customFormat="1">
      <c r="B215" s="1017"/>
      <c r="C215" s="922"/>
      <c r="D215" s="652"/>
      <c r="E215" s="881"/>
      <c r="F215" s="881"/>
      <c r="G215" s="881"/>
      <c r="H215" s="627"/>
      <c r="I215" s="602"/>
      <c r="J215" s="147"/>
      <c r="K215" s="627"/>
      <c r="L215" s="354"/>
      <c r="M215" s="1020"/>
      <c r="P215" s="877"/>
      <c r="Q215" s="225"/>
      <c r="R215" s="225"/>
      <c r="T215" s="337"/>
    </row>
    <row r="216" spans="2:20" s="208" customFormat="1">
      <c r="B216" s="1017"/>
      <c r="C216" s="922"/>
      <c r="D216" s="652"/>
      <c r="E216" s="881"/>
      <c r="F216" s="881"/>
      <c r="G216" s="881"/>
      <c r="H216" s="627"/>
      <c r="I216" s="602"/>
      <c r="J216" s="147"/>
      <c r="K216" s="627"/>
      <c r="L216" s="354"/>
      <c r="M216" s="1020"/>
      <c r="P216" s="877"/>
      <c r="Q216" s="225"/>
      <c r="R216" s="225"/>
      <c r="T216" s="337"/>
    </row>
    <row r="217" spans="2:20" s="208" customFormat="1">
      <c r="B217" s="1017"/>
      <c r="C217" s="922"/>
      <c r="D217" s="652"/>
      <c r="E217" s="881"/>
      <c r="F217" s="881"/>
      <c r="G217" s="881"/>
      <c r="H217" s="627" t="s">
        <v>34</v>
      </c>
      <c r="I217" s="602" t="s">
        <v>34</v>
      </c>
      <c r="J217" s="147" t="s">
        <v>34</v>
      </c>
      <c r="K217" s="627"/>
      <c r="L217" s="354"/>
      <c r="M217" s="1020"/>
      <c r="P217" s="877"/>
      <c r="Q217" s="225"/>
      <c r="R217" s="225"/>
      <c r="T217" s="337"/>
    </row>
    <row r="218" spans="2:20" s="208" customFormat="1">
      <c r="B218" s="1017"/>
      <c r="C218" s="922"/>
      <c r="D218" s="652"/>
      <c r="E218" s="881"/>
      <c r="F218" s="881"/>
      <c r="G218" s="881"/>
      <c r="H218" s="627" t="s">
        <v>34</v>
      </c>
      <c r="I218" s="604" t="s">
        <v>34</v>
      </c>
      <c r="J218" s="150" t="s">
        <v>34</v>
      </c>
      <c r="K218" s="627"/>
      <c r="L218" s="354"/>
      <c r="M218" s="1020"/>
      <c r="P218" s="877"/>
      <c r="Q218" s="225"/>
      <c r="R218" s="225"/>
      <c r="T218" s="337"/>
    </row>
    <row r="219" spans="2:20" s="208" customFormat="1">
      <c r="B219" s="1017"/>
      <c r="C219" s="922"/>
      <c r="D219" s="652"/>
      <c r="E219" s="881"/>
      <c r="F219" s="881"/>
      <c r="G219" s="881"/>
      <c r="H219" s="627" t="s">
        <v>34</v>
      </c>
      <c r="I219" s="604" t="s">
        <v>34</v>
      </c>
      <c r="J219" s="150" t="s">
        <v>34</v>
      </c>
      <c r="K219" s="627"/>
      <c r="L219" s="354"/>
      <c r="M219" s="1020"/>
      <c r="P219" s="877"/>
      <c r="Q219" s="225"/>
      <c r="R219" s="225"/>
      <c r="T219" s="337"/>
    </row>
    <row r="220" spans="2:20" s="208" customFormat="1">
      <c r="B220" s="1017"/>
      <c r="C220" s="922"/>
      <c r="D220" s="652"/>
      <c r="E220" s="881"/>
      <c r="F220" s="881"/>
      <c r="G220" s="881"/>
      <c r="H220" s="627" t="s">
        <v>34</v>
      </c>
      <c r="I220" s="604" t="s">
        <v>34</v>
      </c>
      <c r="J220" s="150" t="s">
        <v>34</v>
      </c>
      <c r="K220" s="627"/>
      <c r="L220" s="354"/>
      <c r="M220" s="1020"/>
      <c r="P220" s="877"/>
      <c r="Q220" s="225"/>
      <c r="R220" s="225"/>
      <c r="T220" s="337"/>
    </row>
    <row r="221" spans="2:20" s="208" customFormat="1">
      <c r="B221" s="1017"/>
      <c r="C221" s="922"/>
      <c r="D221" s="652"/>
      <c r="E221" s="881"/>
      <c r="F221" s="881"/>
      <c r="G221" s="881"/>
      <c r="H221" s="627" t="s">
        <v>34</v>
      </c>
      <c r="I221" s="604" t="s">
        <v>34</v>
      </c>
      <c r="J221" s="150" t="s">
        <v>34</v>
      </c>
      <c r="K221" s="627"/>
      <c r="L221" s="354"/>
      <c r="M221" s="1020"/>
      <c r="P221" s="877"/>
      <c r="Q221" s="225"/>
      <c r="R221" s="225"/>
      <c r="T221" s="337"/>
    </row>
    <row r="222" spans="2:20" s="208" customFormat="1" ht="13.5" thickBot="1">
      <c r="B222" s="1018"/>
      <c r="C222" s="923"/>
      <c r="D222" s="924"/>
      <c r="E222" s="651"/>
      <c r="F222" s="651"/>
      <c r="G222" s="651"/>
      <c r="H222" s="636" t="s">
        <v>34</v>
      </c>
      <c r="I222" s="605" t="s">
        <v>34</v>
      </c>
      <c r="J222" s="151" t="s">
        <v>34</v>
      </c>
      <c r="K222" s="636"/>
      <c r="L222" s="355"/>
      <c r="M222" s="1021"/>
      <c r="P222" s="877"/>
      <c r="Q222" s="225"/>
      <c r="R222" s="225"/>
      <c r="T222" s="337"/>
    </row>
    <row r="223" spans="2:20" s="208" customFormat="1" ht="13.5" thickBot="1">
      <c r="B223" s="334"/>
      <c r="C223" s="874"/>
      <c r="D223" s="336"/>
      <c r="E223" s="336"/>
      <c r="F223" s="336"/>
      <c r="G223" s="336"/>
      <c r="P223" s="877"/>
      <c r="Q223" s="225"/>
      <c r="R223" s="225"/>
      <c r="T223" s="337"/>
    </row>
    <row r="224" spans="2:20" s="208" customFormat="1" ht="26.25" thickBot="1">
      <c r="B224" s="884" t="s">
        <v>15</v>
      </c>
      <c r="C224" s="879" t="s">
        <v>128</v>
      </c>
      <c r="D224" s="674" t="s">
        <v>23</v>
      </c>
      <c r="E224" s="875" t="s">
        <v>24</v>
      </c>
      <c r="F224" s="876" t="s">
        <v>25</v>
      </c>
      <c r="G224" s="878" t="s">
        <v>26</v>
      </c>
      <c r="H224" s="625" t="s">
        <v>38</v>
      </c>
      <c r="I224" s="674" t="s">
        <v>161</v>
      </c>
      <c r="J224" s="674" t="s">
        <v>219</v>
      </c>
      <c r="K224" s="674" t="s">
        <v>683</v>
      </c>
      <c r="L224" s="465" t="s">
        <v>631</v>
      </c>
      <c r="M224" s="212" t="s">
        <v>975</v>
      </c>
      <c r="P224" s="877"/>
      <c r="Q224" s="225"/>
      <c r="R224" s="225"/>
      <c r="T224" s="337"/>
    </row>
    <row r="225" spans="2:20" s="208" customFormat="1">
      <c r="B225" s="1016"/>
      <c r="C225" s="921"/>
      <c r="D225" s="883"/>
      <c r="E225" s="881"/>
      <c r="F225" s="881"/>
      <c r="G225" s="881"/>
      <c r="H225" s="629"/>
      <c r="I225" s="600" t="s">
        <v>34</v>
      </c>
      <c r="J225" s="149"/>
      <c r="K225" s="629"/>
      <c r="L225" s="353" t="s">
        <v>34</v>
      </c>
      <c r="M225" s="1019"/>
      <c r="P225" s="877"/>
      <c r="Q225" s="225"/>
      <c r="R225" s="225"/>
      <c r="T225" s="337"/>
    </row>
    <row r="226" spans="2:20" s="208" customFormat="1">
      <c r="B226" s="1017"/>
      <c r="C226" s="922"/>
      <c r="D226" s="652"/>
      <c r="E226" s="881"/>
      <c r="F226" s="881"/>
      <c r="G226" s="881"/>
      <c r="H226" s="200"/>
      <c r="I226" s="602" t="s">
        <v>34</v>
      </c>
      <c r="J226" s="147"/>
      <c r="K226" s="627"/>
      <c r="L226" s="354"/>
      <c r="M226" s="1020"/>
      <c r="P226" s="877"/>
      <c r="Q226" s="225"/>
      <c r="R226" s="225"/>
      <c r="T226" s="337"/>
    </row>
    <row r="227" spans="2:20" s="208" customFormat="1">
      <c r="B227" s="1017"/>
      <c r="C227" s="922"/>
      <c r="D227" s="652"/>
      <c r="E227" s="881"/>
      <c r="F227" s="881"/>
      <c r="G227" s="881"/>
      <c r="H227" s="200"/>
      <c r="I227" s="602" t="s">
        <v>34</v>
      </c>
      <c r="J227" s="147"/>
      <c r="K227" s="627"/>
      <c r="L227" s="354"/>
      <c r="M227" s="1020"/>
      <c r="P227" s="877"/>
      <c r="Q227" s="225"/>
      <c r="R227" s="225"/>
      <c r="T227" s="337"/>
    </row>
    <row r="228" spans="2:20" s="208" customFormat="1">
      <c r="B228" s="1017"/>
      <c r="C228" s="922"/>
      <c r="D228" s="652"/>
      <c r="E228" s="881"/>
      <c r="F228" s="881"/>
      <c r="G228" s="881"/>
      <c r="H228" s="200"/>
      <c r="I228" s="602" t="s">
        <v>34</v>
      </c>
      <c r="J228" s="147"/>
      <c r="K228" s="627"/>
      <c r="L228" s="354"/>
      <c r="M228" s="1020"/>
      <c r="P228" s="877"/>
      <c r="Q228" s="225"/>
      <c r="R228" s="225"/>
      <c r="T228" s="337"/>
    </row>
    <row r="229" spans="2:20" s="208" customFormat="1">
      <c r="B229" s="1017"/>
      <c r="C229" s="922"/>
      <c r="D229" s="652"/>
      <c r="E229" s="881"/>
      <c r="F229" s="881"/>
      <c r="G229" s="881"/>
      <c r="H229" s="200"/>
      <c r="I229" s="602" t="s">
        <v>34</v>
      </c>
      <c r="J229" s="147"/>
      <c r="K229" s="627"/>
      <c r="L229" s="354"/>
      <c r="M229" s="1020"/>
      <c r="P229" s="877"/>
      <c r="Q229" s="225"/>
      <c r="R229" s="225"/>
      <c r="T229" s="337"/>
    </row>
    <row r="230" spans="2:20" s="208" customFormat="1">
      <c r="B230" s="1017"/>
      <c r="C230" s="922"/>
      <c r="D230" s="652"/>
      <c r="E230" s="881"/>
      <c r="F230" s="881"/>
      <c r="G230" s="881"/>
      <c r="H230" s="200"/>
      <c r="I230" s="602"/>
      <c r="J230" s="147"/>
      <c r="K230" s="627"/>
      <c r="L230" s="354"/>
      <c r="M230" s="1020"/>
      <c r="P230" s="877"/>
      <c r="Q230" s="225"/>
      <c r="R230" s="225"/>
      <c r="T230" s="337"/>
    </row>
    <row r="231" spans="2:20" s="208" customFormat="1">
      <c r="B231" s="1017"/>
      <c r="C231" s="922"/>
      <c r="D231" s="652"/>
      <c r="E231" s="881"/>
      <c r="F231" s="881"/>
      <c r="G231" s="881"/>
      <c r="H231" s="200"/>
      <c r="I231" s="602"/>
      <c r="J231" s="147"/>
      <c r="K231" s="627"/>
      <c r="L231" s="354"/>
      <c r="M231" s="1020"/>
      <c r="P231" s="877"/>
      <c r="Q231" s="225"/>
      <c r="R231" s="225"/>
      <c r="T231" s="337"/>
    </row>
    <row r="232" spans="2:20" s="208" customFormat="1">
      <c r="B232" s="1017"/>
      <c r="C232" s="922"/>
      <c r="D232" s="652"/>
      <c r="E232" s="881"/>
      <c r="F232" s="881"/>
      <c r="G232" s="881"/>
      <c r="H232" s="200"/>
      <c r="I232" s="602"/>
      <c r="J232" s="147"/>
      <c r="K232" s="627"/>
      <c r="L232" s="354"/>
      <c r="M232" s="1020"/>
      <c r="P232" s="877"/>
      <c r="Q232" s="225"/>
      <c r="R232" s="225"/>
      <c r="T232" s="337"/>
    </row>
    <row r="233" spans="2:20" s="208" customFormat="1">
      <c r="B233" s="1017"/>
      <c r="C233" s="922"/>
      <c r="D233" s="652"/>
      <c r="E233" s="881"/>
      <c r="F233" s="881"/>
      <c r="G233" s="881"/>
      <c r="H233" s="200"/>
      <c r="I233" s="602"/>
      <c r="J233" s="147"/>
      <c r="K233" s="627"/>
      <c r="L233" s="354"/>
      <c r="M233" s="1020"/>
      <c r="P233" s="877"/>
      <c r="Q233" s="225"/>
      <c r="R233" s="225"/>
      <c r="T233" s="337"/>
    </row>
    <row r="234" spans="2:20" s="208" customFormat="1">
      <c r="B234" s="1017"/>
      <c r="C234" s="922"/>
      <c r="D234" s="652"/>
      <c r="E234" s="881"/>
      <c r="F234" s="881"/>
      <c r="G234" s="881"/>
      <c r="H234" s="200"/>
      <c r="I234" s="602"/>
      <c r="J234" s="147"/>
      <c r="K234" s="627"/>
      <c r="L234" s="354"/>
      <c r="M234" s="1020"/>
      <c r="P234" s="877"/>
      <c r="Q234" s="225"/>
      <c r="R234" s="225"/>
      <c r="T234" s="337"/>
    </row>
    <row r="235" spans="2:20" s="208" customFormat="1">
      <c r="B235" s="1017"/>
      <c r="C235" s="922"/>
      <c r="D235" s="652"/>
      <c r="E235" s="881"/>
      <c r="F235" s="881"/>
      <c r="G235" s="881"/>
      <c r="H235" s="200"/>
      <c r="I235" s="602"/>
      <c r="J235" s="147"/>
      <c r="K235" s="627"/>
      <c r="L235" s="354"/>
      <c r="M235" s="1020"/>
      <c r="P235" s="877"/>
      <c r="Q235" s="225"/>
      <c r="R235" s="225"/>
      <c r="T235" s="337"/>
    </row>
    <row r="236" spans="2:20" s="208" customFormat="1">
      <c r="B236" s="1017"/>
      <c r="C236" s="922"/>
      <c r="D236" s="652"/>
      <c r="E236" s="881"/>
      <c r="F236" s="881"/>
      <c r="G236" s="881"/>
      <c r="H236" s="627" t="s">
        <v>34</v>
      </c>
      <c r="I236" s="602" t="s">
        <v>34</v>
      </c>
      <c r="J236" s="147" t="s">
        <v>34</v>
      </c>
      <c r="K236" s="627"/>
      <c r="L236" s="354"/>
      <c r="M236" s="1020"/>
      <c r="P236" s="877"/>
      <c r="Q236" s="225"/>
      <c r="R236" s="225"/>
      <c r="T236" s="337"/>
    </row>
    <row r="237" spans="2:20" s="208" customFormat="1">
      <c r="B237" s="1017"/>
      <c r="C237" s="922"/>
      <c r="D237" s="652"/>
      <c r="E237" s="881"/>
      <c r="F237" s="881"/>
      <c r="G237" s="881"/>
      <c r="H237" s="627"/>
      <c r="I237" s="602"/>
      <c r="J237" s="147"/>
      <c r="K237" s="627"/>
      <c r="L237" s="354"/>
      <c r="M237" s="1020"/>
      <c r="P237" s="877"/>
      <c r="Q237" s="225"/>
      <c r="R237" s="225"/>
      <c r="T237" s="337"/>
    </row>
    <row r="238" spans="2:20" s="208" customFormat="1">
      <c r="B238" s="1017"/>
      <c r="C238" s="922"/>
      <c r="D238" s="652"/>
      <c r="E238" s="881"/>
      <c r="F238" s="881"/>
      <c r="G238" s="881"/>
      <c r="H238" s="627"/>
      <c r="I238" s="602"/>
      <c r="J238" s="147"/>
      <c r="K238" s="627"/>
      <c r="L238" s="354"/>
      <c r="M238" s="1020"/>
      <c r="P238" s="877"/>
      <c r="Q238" s="225"/>
      <c r="R238" s="225"/>
      <c r="T238" s="337"/>
    </row>
    <row r="239" spans="2:20" s="208" customFormat="1">
      <c r="B239" s="1017"/>
      <c r="C239" s="922"/>
      <c r="D239" s="652"/>
      <c r="E239" s="881"/>
      <c r="F239" s="881"/>
      <c r="G239" s="881"/>
      <c r="H239" s="627" t="s">
        <v>34</v>
      </c>
      <c r="I239" s="602" t="s">
        <v>34</v>
      </c>
      <c r="J239" s="147" t="s">
        <v>34</v>
      </c>
      <c r="K239" s="627"/>
      <c r="L239" s="354"/>
      <c r="M239" s="1020"/>
      <c r="P239" s="877"/>
      <c r="Q239" s="225"/>
      <c r="R239" s="225"/>
      <c r="T239" s="337"/>
    </row>
    <row r="240" spans="2:20" s="208" customFormat="1">
      <c r="B240" s="1017"/>
      <c r="C240" s="922"/>
      <c r="D240" s="652"/>
      <c r="E240" s="881"/>
      <c r="F240" s="881"/>
      <c r="G240" s="881"/>
      <c r="H240" s="627" t="s">
        <v>34</v>
      </c>
      <c r="I240" s="604" t="s">
        <v>34</v>
      </c>
      <c r="J240" s="150" t="s">
        <v>34</v>
      </c>
      <c r="K240" s="627"/>
      <c r="L240" s="354"/>
      <c r="M240" s="1020"/>
      <c r="P240" s="877"/>
      <c r="Q240" s="225"/>
      <c r="R240" s="225"/>
      <c r="T240" s="337"/>
    </row>
    <row r="241" spans="2:20" s="208" customFormat="1">
      <c r="B241" s="1017"/>
      <c r="C241" s="922"/>
      <c r="D241" s="652"/>
      <c r="E241" s="881"/>
      <c r="F241" s="881"/>
      <c r="G241" s="881"/>
      <c r="H241" s="627" t="s">
        <v>34</v>
      </c>
      <c r="I241" s="604" t="s">
        <v>34</v>
      </c>
      <c r="J241" s="150" t="s">
        <v>34</v>
      </c>
      <c r="K241" s="627"/>
      <c r="L241" s="354"/>
      <c r="M241" s="1020"/>
      <c r="P241" s="877"/>
      <c r="Q241" s="225"/>
      <c r="R241" s="225"/>
      <c r="T241" s="337"/>
    </row>
    <row r="242" spans="2:20" s="208" customFormat="1">
      <c r="B242" s="1017"/>
      <c r="C242" s="922"/>
      <c r="D242" s="652"/>
      <c r="E242" s="881"/>
      <c r="F242" s="881"/>
      <c r="G242" s="881"/>
      <c r="H242" s="627" t="s">
        <v>34</v>
      </c>
      <c r="I242" s="604" t="s">
        <v>34</v>
      </c>
      <c r="J242" s="150" t="s">
        <v>34</v>
      </c>
      <c r="K242" s="627"/>
      <c r="L242" s="354"/>
      <c r="M242" s="1020"/>
      <c r="P242" s="877"/>
      <c r="Q242" s="225"/>
      <c r="R242" s="225"/>
      <c r="T242" s="337"/>
    </row>
    <row r="243" spans="2:20" s="208" customFormat="1">
      <c r="B243" s="1017"/>
      <c r="C243" s="922"/>
      <c r="D243" s="652"/>
      <c r="E243" s="881"/>
      <c r="F243" s="881"/>
      <c r="G243" s="881"/>
      <c r="H243" s="627" t="s">
        <v>34</v>
      </c>
      <c r="I243" s="604" t="s">
        <v>34</v>
      </c>
      <c r="J243" s="150" t="s">
        <v>34</v>
      </c>
      <c r="K243" s="627"/>
      <c r="L243" s="354"/>
      <c r="M243" s="1020"/>
      <c r="P243" s="877"/>
      <c r="Q243" s="225"/>
      <c r="R243" s="225"/>
      <c r="T243" s="337"/>
    </row>
    <row r="244" spans="2:20" s="208" customFormat="1" ht="13.5" thickBot="1">
      <c r="B244" s="1018"/>
      <c r="C244" s="923"/>
      <c r="D244" s="924"/>
      <c r="E244" s="651"/>
      <c r="F244" s="651"/>
      <c r="G244" s="651"/>
      <c r="H244" s="636" t="s">
        <v>34</v>
      </c>
      <c r="I244" s="605" t="s">
        <v>34</v>
      </c>
      <c r="J244" s="151" t="s">
        <v>34</v>
      </c>
      <c r="K244" s="636"/>
      <c r="L244" s="355"/>
      <c r="M244" s="1021"/>
      <c r="P244" s="877"/>
      <c r="Q244" s="225"/>
      <c r="R244" s="225"/>
      <c r="T244" s="337"/>
    </row>
    <row r="245" spans="2:20" s="208" customFormat="1" ht="13.5" thickBot="1">
      <c r="B245" s="334"/>
      <c r="C245" s="874"/>
      <c r="D245" s="336"/>
      <c r="E245" s="336"/>
      <c r="F245" s="336"/>
      <c r="G245" s="336"/>
      <c r="P245" s="877"/>
      <c r="Q245" s="225"/>
      <c r="R245" s="225"/>
      <c r="T245" s="337"/>
    </row>
    <row r="246" spans="2:20" s="208" customFormat="1" ht="26.25" thickBot="1">
      <c r="B246" s="884" t="s">
        <v>15</v>
      </c>
      <c r="C246" s="879" t="s">
        <v>128</v>
      </c>
      <c r="D246" s="674" t="s">
        <v>23</v>
      </c>
      <c r="E246" s="875" t="s">
        <v>24</v>
      </c>
      <c r="F246" s="876" t="s">
        <v>25</v>
      </c>
      <c r="G246" s="878" t="s">
        <v>26</v>
      </c>
      <c r="H246" s="625" t="s">
        <v>38</v>
      </c>
      <c r="I246" s="674" t="s">
        <v>161</v>
      </c>
      <c r="J246" s="674" t="s">
        <v>219</v>
      </c>
      <c r="K246" s="674" t="s">
        <v>683</v>
      </c>
      <c r="L246" s="465" t="s">
        <v>631</v>
      </c>
      <c r="M246" s="212" t="s">
        <v>975</v>
      </c>
      <c r="P246" s="877"/>
      <c r="Q246" s="225"/>
      <c r="R246" s="225"/>
      <c r="T246" s="337"/>
    </row>
    <row r="247" spans="2:20" s="208" customFormat="1">
      <c r="B247" s="1016"/>
      <c r="C247" s="921"/>
      <c r="D247" s="883"/>
      <c r="E247" s="881"/>
      <c r="F247" s="881"/>
      <c r="G247" s="881"/>
      <c r="H247" s="629"/>
      <c r="I247" s="600" t="s">
        <v>34</v>
      </c>
      <c r="J247" s="149"/>
      <c r="K247" s="629"/>
      <c r="L247" s="353" t="s">
        <v>34</v>
      </c>
      <c r="M247" s="1019"/>
      <c r="P247" s="877"/>
      <c r="Q247" s="225"/>
      <c r="R247" s="225"/>
      <c r="T247" s="337"/>
    </row>
    <row r="248" spans="2:20" s="208" customFormat="1">
      <c r="B248" s="1017"/>
      <c r="C248" s="922"/>
      <c r="D248" s="652"/>
      <c r="E248" s="881"/>
      <c r="F248" s="881"/>
      <c r="G248" s="881"/>
      <c r="H248" s="200"/>
      <c r="I248" s="602" t="s">
        <v>34</v>
      </c>
      <c r="J248" s="147"/>
      <c r="K248" s="627"/>
      <c r="L248" s="354"/>
      <c r="M248" s="1020"/>
      <c r="P248" s="877"/>
      <c r="Q248" s="225"/>
      <c r="R248" s="225"/>
      <c r="T248" s="337"/>
    </row>
    <row r="249" spans="2:20" s="208" customFormat="1">
      <c r="B249" s="1017"/>
      <c r="C249" s="922"/>
      <c r="D249" s="652"/>
      <c r="E249" s="881"/>
      <c r="F249" s="881"/>
      <c r="G249" s="881"/>
      <c r="H249" s="200"/>
      <c r="I249" s="602" t="s">
        <v>34</v>
      </c>
      <c r="J249" s="147"/>
      <c r="K249" s="627"/>
      <c r="L249" s="354"/>
      <c r="M249" s="1020"/>
      <c r="P249" s="877"/>
      <c r="Q249" s="225"/>
      <c r="R249" s="225"/>
      <c r="T249" s="337"/>
    </row>
    <row r="250" spans="2:20" s="208" customFormat="1">
      <c r="B250" s="1017"/>
      <c r="C250" s="922"/>
      <c r="D250" s="652"/>
      <c r="E250" s="881"/>
      <c r="F250" s="881"/>
      <c r="G250" s="881"/>
      <c r="H250" s="200"/>
      <c r="I250" s="602" t="s">
        <v>34</v>
      </c>
      <c r="J250" s="147"/>
      <c r="K250" s="627"/>
      <c r="L250" s="354"/>
      <c r="M250" s="1020"/>
      <c r="P250" s="877"/>
      <c r="Q250" s="225"/>
      <c r="R250" s="225"/>
      <c r="T250" s="337"/>
    </row>
    <row r="251" spans="2:20" s="208" customFormat="1">
      <c r="B251" s="1017"/>
      <c r="C251" s="922"/>
      <c r="D251" s="652"/>
      <c r="E251" s="881"/>
      <c r="F251" s="881"/>
      <c r="G251" s="881"/>
      <c r="H251" s="200"/>
      <c r="I251" s="602" t="s">
        <v>34</v>
      </c>
      <c r="J251" s="147"/>
      <c r="K251" s="627"/>
      <c r="L251" s="354"/>
      <c r="M251" s="1020"/>
      <c r="P251" s="877"/>
      <c r="Q251" s="225"/>
      <c r="R251" s="225"/>
      <c r="T251" s="337"/>
    </row>
    <row r="252" spans="2:20" s="208" customFormat="1">
      <c r="B252" s="1017"/>
      <c r="C252" s="922"/>
      <c r="D252" s="652"/>
      <c r="E252" s="881"/>
      <c r="F252" s="881"/>
      <c r="G252" s="881"/>
      <c r="H252" s="200"/>
      <c r="I252" s="602"/>
      <c r="J252" s="147"/>
      <c r="K252" s="627"/>
      <c r="L252" s="354"/>
      <c r="M252" s="1020"/>
      <c r="P252" s="877"/>
      <c r="Q252" s="225"/>
      <c r="R252" s="225"/>
      <c r="T252" s="337"/>
    </row>
    <row r="253" spans="2:20" s="208" customFormat="1">
      <c r="B253" s="1017"/>
      <c r="C253" s="922"/>
      <c r="D253" s="652"/>
      <c r="E253" s="881"/>
      <c r="F253" s="881"/>
      <c r="G253" s="881"/>
      <c r="H253" s="200"/>
      <c r="I253" s="602"/>
      <c r="J253" s="147"/>
      <c r="K253" s="627"/>
      <c r="L253" s="354"/>
      <c r="M253" s="1020"/>
      <c r="P253" s="877"/>
      <c r="Q253" s="225"/>
      <c r="R253" s="225"/>
      <c r="T253" s="337"/>
    </row>
    <row r="254" spans="2:20" s="208" customFormat="1">
      <c r="B254" s="1017"/>
      <c r="C254" s="922"/>
      <c r="D254" s="652"/>
      <c r="E254" s="881"/>
      <c r="F254" s="881"/>
      <c r="G254" s="881"/>
      <c r="H254" s="200"/>
      <c r="I254" s="602"/>
      <c r="J254" s="147"/>
      <c r="K254" s="627"/>
      <c r="L254" s="354"/>
      <c r="M254" s="1020"/>
      <c r="P254" s="877"/>
      <c r="Q254" s="225"/>
      <c r="R254" s="225"/>
      <c r="T254" s="337"/>
    </row>
    <row r="255" spans="2:20" s="208" customFormat="1">
      <c r="B255" s="1017"/>
      <c r="C255" s="922"/>
      <c r="D255" s="652"/>
      <c r="E255" s="881"/>
      <c r="F255" s="881"/>
      <c r="G255" s="881"/>
      <c r="H255" s="200"/>
      <c r="I255" s="602"/>
      <c r="J255" s="147"/>
      <c r="K255" s="627"/>
      <c r="L255" s="354"/>
      <c r="M255" s="1020"/>
      <c r="P255" s="877"/>
      <c r="Q255" s="225"/>
      <c r="R255" s="225"/>
      <c r="T255" s="337"/>
    </row>
    <row r="256" spans="2:20" s="208" customFormat="1">
      <c r="B256" s="1017"/>
      <c r="C256" s="922"/>
      <c r="D256" s="652"/>
      <c r="E256" s="881"/>
      <c r="F256" s="881"/>
      <c r="G256" s="881"/>
      <c r="H256" s="200"/>
      <c r="I256" s="602"/>
      <c r="J256" s="147"/>
      <c r="K256" s="627"/>
      <c r="L256" s="354"/>
      <c r="M256" s="1020"/>
      <c r="P256" s="877"/>
      <c r="Q256" s="225"/>
      <c r="R256" s="225"/>
      <c r="T256" s="337"/>
    </row>
    <row r="257" spans="2:20" s="208" customFormat="1">
      <c r="B257" s="1017"/>
      <c r="C257" s="922"/>
      <c r="D257" s="652"/>
      <c r="E257" s="881"/>
      <c r="F257" s="881"/>
      <c r="G257" s="881"/>
      <c r="H257" s="200"/>
      <c r="I257" s="602"/>
      <c r="J257" s="147"/>
      <c r="K257" s="627"/>
      <c r="L257" s="354"/>
      <c r="M257" s="1020"/>
      <c r="P257" s="877"/>
      <c r="Q257" s="225"/>
      <c r="R257" s="225"/>
      <c r="T257" s="337"/>
    </row>
    <row r="258" spans="2:20" s="208" customFormat="1">
      <c r="B258" s="1017"/>
      <c r="C258" s="922"/>
      <c r="D258" s="652"/>
      <c r="E258" s="881"/>
      <c r="F258" s="881"/>
      <c r="G258" s="881"/>
      <c r="H258" s="627" t="s">
        <v>34</v>
      </c>
      <c r="I258" s="602" t="s">
        <v>34</v>
      </c>
      <c r="J258" s="147" t="s">
        <v>34</v>
      </c>
      <c r="K258" s="627"/>
      <c r="L258" s="354"/>
      <c r="M258" s="1020"/>
      <c r="P258" s="877"/>
      <c r="Q258" s="225"/>
      <c r="R258" s="225"/>
      <c r="T258" s="337"/>
    </row>
    <row r="259" spans="2:20" s="208" customFormat="1">
      <c r="B259" s="1017"/>
      <c r="C259" s="922"/>
      <c r="D259" s="883"/>
      <c r="E259" s="881"/>
      <c r="F259" s="881"/>
      <c r="G259" s="881"/>
      <c r="H259" s="627"/>
      <c r="I259" s="602"/>
      <c r="J259" s="147"/>
      <c r="K259" s="627"/>
      <c r="L259" s="354"/>
      <c r="M259" s="1020"/>
      <c r="P259" s="877"/>
      <c r="Q259" s="225"/>
      <c r="R259" s="225"/>
      <c r="T259" s="337"/>
    </row>
    <row r="260" spans="2:20" s="208" customFormat="1">
      <c r="B260" s="1017"/>
      <c r="C260" s="922"/>
      <c r="D260" s="652"/>
      <c r="E260" s="881"/>
      <c r="F260" s="881"/>
      <c r="G260" s="881"/>
      <c r="H260" s="627"/>
      <c r="I260" s="602"/>
      <c r="J260" s="147"/>
      <c r="K260" s="627"/>
      <c r="L260" s="354"/>
      <c r="M260" s="1020"/>
      <c r="P260" s="877"/>
      <c r="Q260" s="225"/>
      <c r="R260" s="225"/>
      <c r="T260" s="337"/>
    </row>
    <row r="261" spans="2:20" s="208" customFormat="1">
      <c r="B261" s="1017"/>
      <c r="C261" s="922"/>
      <c r="D261" s="652"/>
      <c r="E261" s="881"/>
      <c r="F261" s="881"/>
      <c r="G261" s="881"/>
      <c r="H261" s="627" t="s">
        <v>34</v>
      </c>
      <c r="I261" s="602" t="s">
        <v>34</v>
      </c>
      <c r="J261" s="147" t="s">
        <v>34</v>
      </c>
      <c r="K261" s="627"/>
      <c r="L261" s="354"/>
      <c r="M261" s="1020"/>
      <c r="P261" s="877"/>
      <c r="Q261" s="225"/>
      <c r="R261" s="225"/>
      <c r="T261" s="337"/>
    </row>
    <row r="262" spans="2:20" s="208" customFormat="1">
      <c r="B262" s="1017"/>
      <c r="C262" s="922"/>
      <c r="D262" s="652"/>
      <c r="E262" s="881"/>
      <c r="F262" s="881"/>
      <c r="G262" s="881"/>
      <c r="H262" s="627" t="s">
        <v>34</v>
      </c>
      <c r="I262" s="604" t="s">
        <v>34</v>
      </c>
      <c r="J262" s="150" t="s">
        <v>34</v>
      </c>
      <c r="K262" s="627"/>
      <c r="L262" s="354"/>
      <c r="M262" s="1020"/>
      <c r="P262" s="877"/>
      <c r="Q262" s="225"/>
      <c r="R262" s="225"/>
      <c r="T262" s="337"/>
    </row>
    <row r="263" spans="2:20" s="208" customFormat="1">
      <c r="B263" s="1017"/>
      <c r="C263" s="922"/>
      <c r="D263" s="652"/>
      <c r="E263" s="881"/>
      <c r="F263" s="881"/>
      <c r="G263" s="881"/>
      <c r="H263" s="627" t="s">
        <v>34</v>
      </c>
      <c r="I263" s="604" t="s">
        <v>34</v>
      </c>
      <c r="J263" s="150" t="s">
        <v>34</v>
      </c>
      <c r="K263" s="627"/>
      <c r="L263" s="354"/>
      <c r="M263" s="1020"/>
      <c r="P263" s="877"/>
      <c r="Q263" s="225"/>
      <c r="R263" s="225"/>
      <c r="T263" s="337"/>
    </row>
    <row r="264" spans="2:20" s="208" customFormat="1">
      <c r="B264" s="1017"/>
      <c r="C264" s="922"/>
      <c r="D264" s="652"/>
      <c r="E264" s="881"/>
      <c r="F264" s="881"/>
      <c r="G264" s="881"/>
      <c r="H264" s="627" t="s">
        <v>34</v>
      </c>
      <c r="I264" s="604" t="s">
        <v>34</v>
      </c>
      <c r="J264" s="150" t="s">
        <v>34</v>
      </c>
      <c r="K264" s="627"/>
      <c r="L264" s="354"/>
      <c r="M264" s="1020"/>
      <c r="P264" s="877"/>
      <c r="Q264" s="225"/>
      <c r="R264" s="225"/>
      <c r="T264" s="337"/>
    </row>
    <row r="265" spans="2:20" s="208" customFormat="1">
      <c r="B265" s="1017"/>
      <c r="C265" s="922"/>
      <c r="D265" s="652"/>
      <c r="E265" s="881"/>
      <c r="F265" s="881"/>
      <c r="G265" s="881"/>
      <c r="H265" s="627" t="s">
        <v>34</v>
      </c>
      <c r="I265" s="604" t="s">
        <v>34</v>
      </c>
      <c r="J265" s="150" t="s">
        <v>34</v>
      </c>
      <c r="K265" s="627"/>
      <c r="L265" s="354"/>
      <c r="M265" s="1020"/>
      <c r="P265" s="877"/>
      <c r="Q265" s="225"/>
      <c r="R265" s="225"/>
      <c r="T265" s="337"/>
    </row>
    <row r="266" spans="2:20" s="208" customFormat="1" ht="13.5" thickBot="1">
      <c r="B266" s="1018"/>
      <c r="C266" s="923"/>
      <c r="D266" s="924"/>
      <c r="E266" s="651"/>
      <c r="F266" s="651"/>
      <c r="G266" s="651"/>
      <c r="H266" s="636" t="s">
        <v>34</v>
      </c>
      <c r="I266" s="605" t="s">
        <v>34</v>
      </c>
      <c r="J266" s="151" t="s">
        <v>34</v>
      </c>
      <c r="K266" s="636"/>
      <c r="L266" s="355"/>
      <c r="M266" s="1021"/>
      <c r="P266" s="877"/>
      <c r="Q266" s="225"/>
      <c r="R266" s="225"/>
      <c r="T266" s="337"/>
    </row>
    <row r="267" spans="2:20" s="208" customFormat="1" ht="13.5" thickBot="1">
      <c r="B267" s="334"/>
      <c r="C267" s="874"/>
      <c r="D267" s="336"/>
      <c r="E267" s="336"/>
      <c r="F267" s="336"/>
      <c r="G267" s="336"/>
      <c r="P267" s="877"/>
      <c r="Q267" s="225"/>
      <c r="R267" s="225"/>
      <c r="T267" s="337"/>
    </row>
    <row r="268" spans="2:20" s="208" customFormat="1" ht="26.25" thickBot="1">
      <c r="B268" s="884" t="s">
        <v>15</v>
      </c>
      <c r="C268" s="879" t="s">
        <v>128</v>
      </c>
      <c r="D268" s="674" t="s">
        <v>23</v>
      </c>
      <c r="E268" s="879" t="s">
        <v>24</v>
      </c>
      <c r="F268" s="880" t="s">
        <v>25</v>
      </c>
      <c r="G268" s="465" t="s">
        <v>26</v>
      </c>
      <c r="H268" s="625" t="s">
        <v>38</v>
      </c>
      <c r="I268" s="674" t="s">
        <v>161</v>
      </c>
      <c r="J268" s="674" t="s">
        <v>219</v>
      </c>
      <c r="K268" s="674" t="s">
        <v>683</v>
      </c>
      <c r="L268" s="465" t="s">
        <v>631</v>
      </c>
      <c r="M268" s="925" t="s">
        <v>975</v>
      </c>
      <c r="P268" s="877"/>
      <c r="Q268" s="225"/>
      <c r="R268" s="225"/>
      <c r="T268" s="337"/>
    </row>
    <row r="269" spans="2:20" s="208" customFormat="1">
      <c r="B269" s="1016"/>
      <c r="C269" s="921"/>
      <c r="D269" s="885"/>
      <c r="E269" s="882"/>
      <c r="F269" s="882"/>
      <c r="G269" s="882"/>
      <c r="H269" s="629"/>
      <c r="I269" s="600" t="s">
        <v>34</v>
      </c>
      <c r="J269" s="149"/>
      <c r="K269" s="629"/>
      <c r="L269" s="353" t="s">
        <v>34</v>
      </c>
      <c r="M269" s="1019"/>
      <c r="P269" s="877"/>
      <c r="Q269" s="225"/>
      <c r="R269" s="225"/>
      <c r="T269" s="337"/>
    </row>
    <row r="270" spans="2:20" s="208" customFormat="1">
      <c r="B270" s="1017"/>
      <c r="C270" s="922"/>
      <c r="D270" s="652"/>
      <c r="E270" s="881"/>
      <c r="F270" s="881"/>
      <c r="G270" s="881"/>
      <c r="H270" s="200"/>
      <c r="I270" s="602" t="s">
        <v>34</v>
      </c>
      <c r="J270" s="147"/>
      <c r="K270" s="627"/>
      <c r="L270" s="354"/>
      <c r="M270" s="1020"/>
      <c r="P270" s="877"/>
      <c r="Q270" s="225"/>
      <c r="R270" s="225"/>
      <c r="T270" s="337"/>
    </row>
    <row r="271" spans="2:20" s="208" customFormat="1">
      <c r="B271" s="1017"/>
      <c r="C271" s="922"/>
      <c r="D271" s="652"/>
      <c r="E271" s="881"/>
      <c r="F271" s="881"/>
      <c r="G271" s="881"/>
      <c r="H271" s="200"/>
      <c r="I271" s="602" t="s">
        <v>34</v>
      </c>
      <c r="J271" s="147"/>
      <c r="K271" s="627"/>
      <c r="L271" s="354"/>
      <c r="M271" s="1020"/>
      <c r="P271" s="877"/>
      <c r="Q271" s="225"/>
      <c r="R271" s="225"/>
      <c r="T271" s="337"/>
    </row>
    <row r="272" spans="2:20" s="208" customFormat="1">
      <c r="B272" s="1017"/>
      <c r="C272" s="922"/>
      <c r="D272" s="652"/>
      <c r="E272" s="881"/>
      <c r="F272" s="881"/>
      <c r="G272" s="881"/>
      <c r="H272" s="200"/>
      <c r="I272" s="602" t="s">
        <v>34</v>
      </c>
      <c r="J272" s="147"/>
      <c r="K272" s="627"/>
      <c r="L272" s="354"/>
      <c r="M272" s="1020"/>
      <c r="P272" s="877"/>
      <c r="Q272" s="225"/>
      <c r="R272" s="225"/>
      <c r="T272" s="337"/>
    </row>
    <row r="273" spans="2:20" s="208" customFormat="1">
      <c r="B273" s="1017"/>
      <c r="C273" s="922"/>
      <c r="D273" s="652"/>
      <c r="E273" s="881"/>
      <c r="F273" s="881"/>
      <c r="G273" s="881"/>
      <c r="H273" s="200"/>
      <c r="I273" s="602" t="s">
        <v>34</v>
      </c>
      <c r="J273" s="147"/>
      <c r="K273" s="627"/>
      <c r="L273" s="354"/>
      <c r="M273" s="1020"/>
      <c r="P273" s="877"/>
      <c r="Q273" s="225"/>
      <c r="R273" s="225"/>
      <c r="T273" s="337"/>
    </row>
    <row r="274" spans="2:20" s="208" customFormat="1">
      <c r="B274" s="1017"/>
      <c r="C274" s="922"/>
      <c r="D274" s="652"/>
      <c r="E274" s="881"/>
      <c r="F274" s="881"/>
      <c r="G274" s="881"/>
      <c r="H274" s="200"/>
      <c r="I274" s="602"/>
      <c r="J274" s="147"/>
      <c r="K274" s="627"/>
      <c r="L274" s="354"/>
      <c r="M274" s="1020"/>
      <c r="P274" s="877"/>
      <c r="Q274" s="225"/>
      <c r="R274" s="225"/>
      <c r="T274" s="337"/>
    </row>
    <row r="275" spans="2:20" s="208" customFormat="1">
      <c r="B275" s="1017"/>
      <c r="C275" s="922"/>
      <c r="D275" s="652"/>
      <c r="E275" s="881"/>
      <c r="F275" s="881"/>
      <c r="G275" s="881"/>
      <c r="H275" s="200"/>
      <c r="I275" s="602"/>
      <c r="J275" s="147"/>
      <c r="K275" s="627"/>
      <c r="L275" s="354"/>
      <c r="M275" s="1020"/>
      <c r="P275" s="877"/>
      <c r="Q275" s="225"/>
      <c r="R275" s="225"/>
      <c r="T275" s="337"/>
    </row>
    <row r="276" spans="2:20" s="208" customFormat="1">
      <c r="B276" s="1017"/>
      <c r="C276" s="922"/>
      <c r="D276" s="652"/>
      <c r="E276" s="881"/>
      <c r="F276" s="881"/>
      <c r="G276" s="881"/>
      <c r="H276" s="200"/>
      <c r="I276" s="602"/>
      <c r="J276" s="147"/>
      <c r="K276" s="627"/>
      <c r="L276" s="354"/>
      <c r="M276" s="1020"/>
      <c r="P276" s="877"/>
      <c r="Q276" s="225"/>
      <c r="R276" s="225"/>
      <c r="T276" s="337"/>
    </row>
    <row r="277" spans="2:20" s="208" customFormat="1">
      <c r="B277" s="1017"/>
      <c r="C277" s="922"/>
      <c r="D277" s="652"/>
      <c r="E277" s="881"/>
      <c r="F277" s="881"/>
      <c r="G277" s="881"/>
      <c r="H277" s="200"/>
      <c r="I277" s="602"/>
      <c r="J277" s="147"/>
      <c r="K277" s="627"/>
      <c r="L277" s="354"/>
      <c r="M277" s="1020"/>
      <c r="P277" s="877"/>
      <c r="Q277" s="225"/>
      <c r="R277" s="225"/>
      <c r="T277" s="337"/>
    </row>
    <row r="278" spans="2:20" s="208" customFormat="1">
      <c r="B278" s="1017"/>
      <c r="C278" s="922"/>
      <c r="D278" s="652"/>
      <c r="E278" s="881"/>
      <c r="F278" s="881"/>
      <c r="G278" s="881"/>
      <c r="H278" s="200"/>
      <c r="I278" s="602"/>
      <c r="J278" s="147"/>
      <c r="K278" s="627"/>
      <c r="L278" s="354"/>
      <c r="M278" s="1020"/>
      <c r="P278" s="877"/>
      <c r="Q278" s="225"/>
      <c r="R278" s="225"/>
      <c r="T278" s="337"/>
    </row>
    <row r="279" spans="2:20" s="208" customFormat="1">
      <c r="B279" s="1017"/>
      <c r="C279" s="922"/>
      <c r="D279" s="652"/>
      <c r="E279" s="881"/>
      <c r="F279" s="881"/>
      <c r="G279" s="881"/>
      <c r="H279" s="200"/>
      <c r="I279" s="602"/>
      <c r="J279" s="147"/>
      <c r="K279" s="627"/>
      <c r="L279" s="354"/>
      <c r="M279" s="1020"/>
      <c r="P279" s="877"/>
      <c r="Q279" s="225"/>
      <c r="R279" s="225"/>
      <c r="T279" s="337"/>
    </row>
    <row r="280" spans="2:20" s="208" customFormat="1">
      <c r="B280" s="1017"/>
      <c r="C280" s="922"/>
      <c r="D280" s="652"/>
      <c r="E280" s="881"/>
      <c r="F280" s="881"/>
      <c r="G280" s="881"/>
      <c r="H280" s="627" t="s">
        <v>34</v>
      </c>
      <c r="I280" s="602" t="s">
        <v>34</v>
      </c>
      <c r="J280" s="147" t="s">
        <v>34</v>
      </c>
      <c r="K280" s="627"/>
      <c r="L280" s="354"/>
      <c r="M280" s="1020"/>
      <c r="P280" s="877"/>
      <c r="Q280" s="225"/>
      <c r="R280" s="225"/>
      <c r="T280" s="337"/>
    </row>
    <row r="281" spans="2:20" s="208" customFormat="1">
      <c r="B281" s="1017"/>
      <c r="C281" s="922"/>
      <c r="D281" s="652"/>
      <c r="E281" s="881"/>
      <c r="F281" s="881"/>
      <c r="G281" s="881"/>
      <c r="H281" s="627"/>
      <c r="I281" s="602"/>
      <c r="J281" s="147"/>
      <c r="K281" s="627"/>
      <c r="L281" s="354"/>
      <c r="M281" s="1020"/>
      <c r="P281" s="877"/>
      <c r="Q281" s="225"/>
      <c r="R281" s="225"/>
      <c r="T281" s="337"/>
    </row>
    <row r="282" spans="2:20" s="208" customFormat="1">
      <c r="B282" s="1017"/>
      <c r="C282" s="922"/>
      <c r="D282" s="652"/>
      <c r="E282" s="881"/>
      <c r="F282" s="881"/>
      <c r="G282" s="881"/>
      <c r="H282" s="627"/>
      <c r="I282" s="602"/>
      <c r="J282" s="147"/>
      <c r="K282" s="627"/>
      <c r="L282" s="354"/>
      <c r="M282" s="1020"/>
      <c r="P282" s="877"/>
      <c r="Q282" s="225"/>
      <c r="R282" s="225"/>
      <c r="T282" s="337"/>
    </row>
    <row r="283" spans="2:20" s="208" customFormat="1">
      <c r="B283" s="1017"/>
      <c r="C283" s="922"/>
      <c r="D283" s="652"/>
      <c r="E283" s="881"/>
      <c r="F283" s="881"/>
      <c r="G283" s="881"/>
      <c r="H283" s="627" t="s">
        <v>34</v>
      </c>
      <c r="I283" s="602" t="s">
        <v>34</v>
      </c>
      <c r="J283" s="147" t="s">
        <v>34</v>
      </c>
      <c r="K283" s="627"/>
      <c r="L283" s="354"/>
      <c r="M283" s="1020"/>
      <c r="P283" s="877"/>
      <c r="Q283" s="225"/>
      <c r="R283" s="225"/>
      <c r="T283" s="337"/>
    </row>
    <row r="284" spans="2:20" s="208" customFormat="1">
      <c r="B284" s="1017"/>
      <c r="C284" s="922"/>
      <c r="D284" s="652"/>
      <c r="E284" s="881"/>
      <c r="F284" s="881"/>
      <c r="G284" s="881"/>
      <c r="H284" s="627" t="s">
        <v>34</v>
      </c>
      <c r="I284" s="604" t="s">
        <v>34</v>
      </c>
      <c r="J284" s="150" t="s">
        <v>34</v>
      </c>
      <c r="K284" s="627"/>
      <c r="L284" s="354"/>
      <c r="M284" s="1020"/>
      <c r="P284" s="877"/>
      <c r="Q284" s="225"/>
      <c r="R284" s="225"/>
      <c r="T284" s="337"/>
    </row>
    <row r="285" spans="2:20" s="208" customFormat="1">
      <c r="B285" s="1017"/>
      <c r="C285" s="922"/>
      <c r="D285" s="652"/>
      <c r="E285" s="881"/>
      <c r="F285" s="881"/>
      <c r="G285" s="881"/>
      <c r="H285" s="627" t="s">
        <v>34</v>
      </c>
      <c r="I285" s="604" t="s">
        <v>34</v>
      </c>
      <c r="J285" s="150" t="s">
        <v>34</v>
      </c>
      <c r="K285" s="627"/>
      <c r="L285" s="354"/>
      <c r="M285" s="1020"/>
      <c r="P285" s="877"/>
      <c r="Q285" s="225"/>
      <c r="R285" s="225"/>
      <c r="T285" s="337"/>
    </row>
    <row r="286" spans="2:20" s="208" customFormat="1">
      <c r="B286" s="1017"/>
      <c r="C286" s="922"/>
      <c r="D286" s="652"/>
      <c r="E286" s="881"/>
      <c r="F286" s="881"/>
      <c r="G286" s="881"/>
      <c r="H286" s="627" t="s">
        <v>34</v>
      </c>
      <c r="I286" s="604" t="s">
        <v>34</v>
      </c>
      <c r="J286" s="150" t="s">
        <v>34</v>
      </c>
      <c r="K286" s="627"/>
      <c r="L286" s="354"/>
      <c r="M286" s="1020"/>
      <c r="P286" s="877"/>
      <c r="Q286" s="225"/>
      <c r="R286" s="225"/>
      <c r="T286" s="337"/>
    </row>
    <row r="287" spans="2:20" s="208" customFormat="1">
      <c r="B287" s="1017"/>
      <c r="C287" s="922"/>
      <c r="D287" s="652"/>
      <c r="E287" s="881"/>
      <c r="F287" s="881"/>
      <c r="G287" s="881"/>
      <c r="H287" s="627" t="s">
        <v>34</v>
      </c>
      <c r="I287" s="604" t="s">
        <v>34</v>
      </c>
      <c r="J287" s="150" t="s">
        <v>34</v>
      </c>
      <c r="K287" s="627"/>
      <c r="L287" s="354"/>
      <c r="M287" s="1020"/>
      <c r="P287" s="877"/>
      <c r="Q287" s="225"/>
      <c r="R287" s="225"/>
      <c r="T287" s="337"/>
    </row>
    <row r="288" spans="2:20" s="208" customFormat="1" ht="13.5" thickBot="1">
      <c r="B288" s="1018"/>
      <c r="C288" s="923"/>
      <c r="D288" s="887"/>
      <c r="E288" s="651"/>
      <c r="F288" s="651"/>
      <c r="G288" s="651"/>
      <c r="H288" s="636" t="s">
        <v>34</v>
      </c>
      <c r="I288" s="605" t="s">
        <v>34</v>
      </c>
      <c r="J288" s="151" t="s">
        <v>34</v>
      </c>
      <c r="K288" s="636"/>
      <c r="L288" s="355"/>
      <c r="M288" s="1021"/>
      <c r="P288" s="877"/>
      <c r="Q288" s="225"/>
      <c r="R288" s="225"/>
      <c r="T288" s="337"/>
    </row>
    <row r="289" spans="2:20" s="208" customFormat="1" ht="13.5" thickBot="1">
      <c r="B289" s="334"/>
      <c r="C289" s="874"/>
      <c r="D289" s="336"/>
      <c r="E289" s="336"/>
      <c r="F289" s="336"/>
      <c r="G289" s="336"/>
      <c r="P289" s="877"/>
      <c r="Q289" s="225"/>
      <c r="R289" s="225"/>
      <c r="T289" s="337"/>
    </row>
    <row r="290" spans="2:20" s="208" customFormat="1" ht="26.25" thickBot="1">
      <c r="B290" s="884" t="s">
        <v>15</v>
      </c>
      <c r="C290" s="879" t="s">
        <v>128</v>
      </c>
      <c r="D290" s="674" t="s">
        <v>23</v>
      </c>
      <c r="E290" s="879" t="s">
        <v>24</v>
      </c>
      <c r="F290" s="880" t="s">
        <v>25</v>
      </c>
      <c r="G290" s="465" t="s">
        <v>26</v>
      </c>
      <c r="H290" s="625" t="s">
        <v>38</v>
      </c>
      <c r="I290" s="674" t="s">
        <v>161</v>
      </c>
      <c r="J290" s="674" t="s">
        <v>219</v>
      </c>
      <c r="K290" s="674" t="s">
        <v>683</v>
      </c>
      <c r="L290" s="465" t="s">
        <v>631</v>
      </c>
      <c r="M290" s="925" t="s">
        <v>975</v>
      </c>
      <c r="P290" s="877"/>
      <c r="Q290" s="225"/>
      <c r="R290" s="225"/>
      <c r="T290" s="337"/>
    </row>
    <row r="291" spans="2:20" s="208" customFormat="1">
      <c r="B291" s="1016"/>
      <c r="C291" s="921"/>
      <c r="D291" s="885"/>
      <c r="E291" s="882"/>
      <c r="F291" s="882"/>
      <c r="G291" s="882"/>
      <c r="H291" s="629"/>
      <c r="I291" s="600" t="s">
        <v>34</v>
      </c>
      <c r="J291" s="149"/>
      <c r="K291" s="629"/>
      <c r="L291" s="353" t="s">
        <v>34</v>
      </c>
      <c r="M291" s="1019"/>
      <c r="P291" s="877"/>
      <c r="Q291" s="225"/>
      <c r="R291" s="225"/>
      <c r="T291" s="337"/>
    </row>
    <row r="292" spans="2:20" s="208" customFormat="1">
      <c r="B292" s="1017"/>
      <c r="C292" s="922"/>
      <c r="D292" s="652"/>
      <c r="E292" s="881"/>
      <c r="F292" s="881"/>
      <c r="G292" s="881"/>
      <c r="H292" s="200"/>
      <c r="I292" s="602" t="s">
        <v>34</v>
      </c>
      <c r="J292" s="147"/>
      <c r="K292" s="627"/>
      <c r="L292" s="354"/>
      <c r="M292" s="1020"/>
      <c r="P292" s="877"/>
      <c r="Q292" s="225"/>
      <c r="R292" s="225"/>
      <c r="T292" s="337"/>
    </row>
    <row r="293" spans="2:20" s="208" customFormat="1">
      <c r="B293" s="1017"/>
      <c r="C293" s="922"/>
      <c r="D293" s="652"/>
      <c r="E293" s="881"/>
      <c r="F293" s="881"/>
      <c r="G293" s="881"/>
      <c r="H293" s="200"/>
      <c r="I293" s="602" t="s">
        <v>34</v>
      </c>
      <c r="J293" s="147"/>
      <c r="K293" s="627"/>
      <c r="L293" s="354"/>
      <c r="M293" s="1020"/>
      <c r="P293" s="877"/>
      <c r="Q293" s="225"/>
      <c r="R293" s="225"/>
      <c r="T293" s="337"/>
    </row>
    <row r="294" spans="2:20" s="208" customFormat="1">
      <c r="B294" s="1017"/>
      <c r="C294" s="922"/>
      <c r="D294" s="652"/>
      <c r="E294" s="881"/>
      <c r="F294" s="881"/>
      <c r="G294" s="881"/>
      <c r="H294" s="200"/>
      <c r="I294" s="602" t="s">
        <v>34</v>
      </c>
      <c r="J294" s="147"/>
      <c r="K294" s="627"/>
      <c r="L294" s="354"/>
      <c r="M294" s="1020"/>
      <c r="P294" s="877"/>
      <c r="Q294" s="225"/>
      <c r="R294" s="225"/>
      <c r="T294" s="337"/>
    </row>
    <row r="295" spans="2:20" s="208" customFormat="1">
      <c r="B295" s="1017"/>
      <c r="C295" s="922"/>
      <c r="D295" s="652"/>
      <c r="E295" s="881"/>
      <c r="F295" s="881"/>
      <c r="G295" s="881"/>
      <c r="H295" s="200"/>
      <c r="I295" s="602" t="s">
        <v>34</v>
      </c>
      <c r="J295" s="147"/>
      <c r="K295" s="627"/>
      <c r="L295" s="354"/>
      <c r="M295" s="1020"/>
      <c r="P295" s="877"/>
      <c r="Q295" s="225"/>
      <c r="R295" s="225"/>
      <c r="T295" s="337"/>
    </row>
    <row r="296" spans="2:20" s="208" customFormat="1">
      <c r="B296" s="1017"/>
      <c r="C296" s="922"/>
      <c r="D296" s="652"/>
      <c r="E296" s="881"/>
      <c r="F296" s="881"/>
      <c r="G296" s="881"/>
      <c r="H296" s="200"/>
      <c r="I296" s="602"/>
      <c r="J296" s="147"/>
      <c r="K296" s="627"/>
      <c r="L296" s="354"/>
      <c r="M296" s="1020"/>
      <c r="P296" s="877"/>
      <c r="Q296" s="225"/>
      <c r="R296" s="225"/>
      <c r="T296" s="337"/>
    </row>
    <row r="297" spans="2:20" s="208" customFormat="1">
      <c r="B297" s="1017"/>
      <c r="C297" s="922"/>
      <c r="D297" s="652"/>
      <c r="E297" s="881"/>
      <c r="F297" s="881"/>
      <c r="G297" s="881"/>
      <c r="H297" s="200"/>
      <c r="I297" s="602"/>
      <c r="J297" s="147"/>
      <c r="K297" s="627"/>
      <c r="L297" s="354"/>
      <c r="M297" s="1020"/>
      <c r="P297" s="877"/>
      <c r="Q297" s="225"/>
      <c r="R297" s="225"/>
      <c r="T297" s="337"/>
    </row>
    <row r="298" spans="2:20" s="208" customFormat="1">
      <c r="B298" s="1017"/>
      <c r="C298" s="922"/>
      <c r="D298" s="652"/>
      <c r="E298" s="881"/>
      <c r="F298" s="881"/>
      <c r="G298" s="881"/>
      <c r="H298" s="200"/>
      <c r="I298" s="602"/>
      <c r="J298" s="147"/>
      <c r="K298" s="627"/>
      <c r="L298" s="354"/>
      <c r="M298" s="1020"/>
      <c r="P298" s="877"/>
      <c r="Q298" s="225"/>
      <c r="R298" s="225"/>
      <c r="T298" s="337"/>
    </row>
    <row r="299" spans="2:20" s="208" customFormat="1">
      <c r="B299" s="1017"/>
      <c r="C299" s="922"/>
      <c r="D299" s="652"/>
      <c r="E299" s="881"/>
      <c r="F299" s="881"/>
      <c r="G299" s="881"/>
      <c r="H299" s="200"/>
      <c r="I299" s="602"/>
      <c r="J299" s="147"/>
      <c r="K299" s="627"/>
      <c r="L299" s="354"/>
      <c r="M299" s="1020"/>
      <c r="P299" s="877"/>
      <c r="Q299" s="225"/>
      <c r="R299" s="225"/>
      <c r="T299" s="337"/>
    </row>
    <row r="300" spans="2:20" s="208" customFormat="1">
      <c r="B300" s="1017"/>
      <c r="C300" s="922"/>
      <c r="D300" s="652"/>
      <c r="E300" s="881"/>
      <c r="F300" s="881"/>
      <c r="G300" s="881"/>
      <c r="H300" s="200"/>
      <c r="I300" s="602"/>
      <c r="J300" s="147"/>
      <c r="K300" s="627"/>
      <c r="L300" s="354"/>
      <c r="M300" s="1020"/>
      <c r="P300" s="877"/>
      <c r="Q300" s="225"/>
      <c r="R300" s="225"/>
      <c r="T300" s="337"/>
    </row>
    <row r="301" spans="2:20" s="208" customFormat="1">
      <c r="B301" s="1017"/>
      <c r="C301" s="922"/>
      <c r="D301" s="652"/>
      <c r="E301" s="881"/>
      <c r="F301" s="881"/>
      <c r="G301" s="881"/>
      <c r="H301" s="200"/>
      <c r="I301" s="602"/>
      <c r="J301" s="147"/>
      <c r="K301" s="627"/>
      <c r="L301" s="354"/>
      <c r="M301" s="1020"/>
      <c r="P301" s="877"/>
      <c r="Q301" s="225"/>
      <c r="R301" s="225"/>
      <c r="T301" s="337"/>
    </row>
    <row r="302" spans="2:20" s="208" customFormat="1">
      <c r="B302" s="1017"/>
      <c r="C302" s="922"/>
      <c r="D302" s="652"/>
      <c r="E302" s="881"/>
      <c r="F302" s="881"/>
      <c r="G302" s="881"/>
      <c r="H302" s="627" t="s">
        <v>34</v>
      </c>
      <c r="I302" s="602" t="s">
        <v>34</v>
      </c>
      <c r="J302" s="147" t="s">
        <v>34</v>
      </c>
      <c r="K302" s="627"/>
      <c r="L302" s="354"/>
      <c r="M302" s="1020"/>
      <c r="P302" s="877"/>
      <c r="Q302" s="225"/>
      <c r="R302" s="225"/>
      <c r="T302" s="337"/>
    </row>
    <row r="303" spans="2:20" s="208" customFormat="1">
      <c r="B303" s="1017"/>
      <c r="C303" s="922"/>
      <c r="D303" s="652"/>
      <c r="E303" s="881"/>
      <c r="F303" s="881"/>
      <c r="G303" s="881"/>
      <c r="H303" s="627"/>
      <c r="I303" s="602"/>
      <c r="J303" s="147"/>
      <c r="K303" s="627"/>
      <c r="L303" s="354"/>
      <c r="M303" s="1020"/>
      <c r="P303" s="877"/>
      <c r="Q303" s="225"/>
      <c r="R303" s="225"/>
      <c r="T303" s="337"/>
    </row>
    <row r="304" spans="2:20" s="208" customFormat="1">
      <c r="B304" s="1017"/>
      <c r="C304" s="922"/>
      <c r="D304" s="652"/>
      <c r="E304" s="881"/>
      <c r="F304" s="881"/>
      <c r="G304" s="881"/>
      <c r="H304" s="627"/>
      <c r="I304" s="602"/>
      <c r="J304" s="147"/>
      <c r="K304" s="627"/>
      <c r="L304" s="354"/>
      <c r="M304" s="1020"/>
      <c r="P304" s="877"/>
      <c r="Q304" s="225"/>
      <c r="R304" s="225"/>
      <c r="T304" s="337"/>
    </row>
    <row r="305" spans="1:41" s="208" customFormat="1">
      <c r="B305" s="1017"/>
      <c r="C305" s="922"/>
      <c r="D305" s="652"/>
      <c r="E305" s="881"/>
      <c r="F305" s="881"/>
      <c r="G305" s="881"/>
      <c r="H305" s="627" t="s">
        <v>34</v>
      </c>
      <c r="I305" s="602" t="s">
        <v>34</v>
      </c>
      <c r="J305" s="147" t="s">
        <v>34</v>
      </c>
      <c r="K305" s="627"/>
      <c r="L305" s="354"/>
      <c r="M305" s="1020"/>
      <c r="P305" s="877"/>
      <c r="Q305" s="225"/>
      <c r="R305" s="225"/>
      <c r="T305" s="337"/>
    </row>
    <row r="306" spans="1:41" s="208" customFormat="1">
      <c r="B306" s="1017"/>
      <c r="C306" s="922"/>
      <c r="D306" s="652"/>
      <c r="E306" s="881"/>
      <c r="F306" s="881"/>
      <c r="G306" s="881"/>
      <c r="H306" s="627" t="s">
        <v>34</v>
      </c>
      <c r="I306" s="604" t="s">
        <v>34</v>
      </c>
      <c r="J306" s="150" t="s">
        <v>34</v>
      </c>
      <c r="K306" s="627"/>
      <c r="L306" s="354"/>
      <c r="M306" s="1020"/>
      <c r="P306" s="877"/>
      <c r="Q306" s="225"/>
      <c r="R306" s="225"/>
      <c r="T306" s="337"/>
    </row>
    <row r="307" spans="1:41" s="208" customFormat="1">
      <c r="B307" s="1017"/>
      <c r="C307" s="922"/>
      <c r="D307" s="652"/>
      <c r="E307" s="881"/>
      <c r="F307" s="881"/>
      <c r="G307" s="881"/>
      <c r="H307" s="627" t="s">
        <v>34</v>
      </c>
      <c r="I307" s="604" t="s">
        <v>34</v>
      </c>
      <c r="J307" s="150" t="s">
        <v>34</v>
      </c>
      <c r="K307" s="627"/>
      <c r="L307" s="354"/>
      <c r="M307" s="1020"/>
      <c r="P307" s="877"/>
      <c r="Q307" s="225"/>
      <c r="R307" s="225"/>
      <c r="T307" s="337"/>
    </row>
    <row r="308" spans="1:41" s="208" customFormat="1">
      <c r="B308" s="1017"/>
      <c r="C308" s="922"/>
      <c r="D308" s="652"/>
      <c r="E308" s="881"/>
      <c r="F308" s="881"/>
      <c r="G308" s="881"/>
      <c r="H308" s="627" t="s">
        <v>34</v>
      </c>
      <c r="I308" s="604" t="s">
        <v>34</v>
      </c>
      <c r="J308" s="150" t="s">
        <v>34</v>
      </c>
      <c r="K308" s="627"/>
      <c r="L308" s="354"/>
      <c r="M308" s="1020"/>
      <c r="P308" s="877"/>
      <c r="Q308" s="225"/>
      <c r="R308" s="225"/>
      <c r="T308" s="337"/>
    </row>
    <row r="309" spans="1:41" s="208" customFormat="1">
      <c r="B309" s="1017"/>
      <c r="C309" s="922"/>
      <c r="D309" s="652"/>
      <c r="E309" s="881"/>
      <c r="F309" s="881"/>
      <c r="G309" s="881"/>
      <c r="H309" s="627" t="s">
        <v>34</v>
      </c>
      <c r="I309" s="604" t="s">
        <v>34</v>
      </c>
      <c r="J309" s="150" t="s">
        <v>34</v>
      </c>
      <c r="K309" s="627"/>
      <c r="L309" s="354"/>
      <c r="M309" s="1020"/>
      <c r="P309" s="877"/>
      <c r="Q309" s="225"/>
      <c r="R309" s="225"/>
      <c r="T309" s="337"/>
    </row>
    <row r="310" spans="1:41" s="208" customFormat="1" ht="13.5" thickBot="1">
      <c r="B310" s="1018"/>
      <c r="C310" s="923"/>
      <c r="D310" s="887"/>
      <c r="E310" s="651"/>
      <c r="F310" s="651"/>
      <c r="G310" s="651"/>
      <c r="H310" s="636" t="s">
        <v>34</v>
      </c>
      <c r="I310" s="605" t="s">
        <v>34</v>
      </c>
      <c r="J310" s="151" t="s">
        <v>34</v>
      </c>
      <c r="K310" s="636"/>
      <c r="L310" s="355"/>
      <c r="M310" s="1021"/>
      <c r="P310" s="877"/>
      <c r="Q310" s="225"/>
      <c r="R310" s="225"/>
      <c r="T310" s="337"/>
    </row>
    <row r="311" spans="1:41" s="208" customFormat="1">
      <c r="B311" s="334"/>
      <c r="C311" s="874"/>
      <c r="D311" s="336"/>
      <c r="E311" s="336"/>
      <c r="F311" s="336"/>
      <c r="G311" s="336"/>
      <c r="H311" s="336"/>
      <c r="I311" s="336"/>
      <c r="R311" s="877"/>
      <c r="S311" s="225"/>
      <c r="T311" s="225"/>
      <c r="V311" s="337"/>
    </row>
    <row r="312" spans="1:41" s="208" customFormat="1">
      <c r="B312" s="205" t="s">
        <v>130</v>
      </c>
      <c r="C312" s="268"/>
      <c r="D312" s="205"/>
      <c r="E312" s="205"/>
      <c r="F312" s="205"/>
      <c r="G312" s="205"/>
      <c r="H312" s="205"/>
      <c r="I312" s="205"/>
      <c r="J312" s="205"/>
      <c r="K312" s="205"/>
      <c r="L312" s="205"/>
      <c r="M312" s="205"/>
      <c r="N312" s="205"/>
      <c r="O312" s="228"/>
      <c r="P312" s="228"/>
      <c r="Q312" s="236"/>
      <c r="R312" s="228"/>
      <c r="S312" s="228"/>
      <c r="T312" s="221"/>
      <c r="U312" s="221"/>
      <c r="V312" s="221"/>
      <c r="W312" s="221"/>
      <c r="X312" s="221"/>
      <c r="Y312" s="221"/>
      <c r="Z312" s="221"/>
      <c r="AA312" s="221"/>
      <c r="AB312" s="221"/>
      <c r="AC312" s="221"/>
      <c r="AD312" s="221"/>
      <c r="AE312" s="221"/>
      <c r="AF312" s="221"/>
      <c r="AG312" s="221"/>
      <c r="AH312" s="221"/>
      <c r="AI312" s="221"/>
    </row>
    <row r="313" spans="1:41" s="208" customFormat="1" ht="13.5" thickBot="1">
      <c r="B313" s="205"/>
      <c r="C313" s="268"/>
      <c r="D313" s="205"/>
      <c r="E313" s="205"/>
      <c r="F313" s="205"/>
      <c r="G313" s="205"/>
      <c r="H313" s="205"/>
      <c r="I313" s="205"/>
      <c r="J313" s="205"/>
      <c r="K313" s="205"/>
      <c r="L313" s="205"/>
      <c r="M313" s="205"/>
      <c r="N313" s="205"/>
      <c r="O313" s="228"/>
      <c r="P313" s="228"/>
      <c r="Q313" s="236"/>
      <c r="R313" s="228"/>
      <c r="S313" s="228"/>
      <c r="T313" s="221"/>
      <c r="U313" s="221"/>
      <c r="V313" s="221"/>
      <c r="W313" s="221"/>
      <c r="X313" s="221"/>
      <c r="Y313" s="221"/>
      <c r="Z313" s="221"/>
      <c r="AA313" s="221"/>
      <c r="AB313" s="221"/>
      <c r="AC313" s="221"/>
      <c r="AD313" s="221"/>
      <c r="AE313" s="221"/>
      <c r="AF313" s="221"/>
      <c r="AG313" s="221"/>
      <c r="AH313" s="221"/>
      <c r="AI313" s="221"/>
    </row>
    <row r="314" spans="1:41" s="208" customFormat="1" ht="200.1" customHeight="1" thickBot="1">
      <c r="B314" s="1003"/>
      <c r="C314" s="1004"/>
      <c r="D314" s="1004"/>
      <c r="E314" s="1004"/>
      <c r="F314" s="1004"/>
      <c r="G314" s="1004"/>
      <c r="H314" s="1004"/>
      <c r="I314" s="1004"/>
      <c r="J314" s="1004"/>
      <c r="K314" s="1004"/>
      <c r="L314" s="1004"/>
      <c r="M314" s="1004"/>
      <c r="N314" s="1005"/>
      <c r="O314" s="1090"/>
      <c r="P314" s="1089"/>
      <c r="Q314" s="1089"/>
      <c r="R314" s="1089"/>
      <c r="S314" s="1089"/>
      <c r="T314" s="1089"/>
      <c r="U314" s="1089"/>
      <c r="V314" s="1089"/>
      <c r="W314" s="1089"/>
      <c r="X314" s="1089"/>
      <c r="Y314" s="1089"/>
      <c r="Z314" s="1089"/>
      <c r="AA314" s="1089"/>
      <c r="AB314" s="1089"/>
      <c r="AC314" s="1089"/>
      <c r="AD314" s="1089"/>
      <c r="AE314" s="1089"/>
      <c r="AF314" s="1089"/>
      <c r="AG314" s="1089"/>
      <c r="AH314" s="1089"/>
      <c r="AI314" s="1089"/>
      <c r="AJ314" s="18"/>
      <c r="AK314" s="18"/>
      <c r="AL314" s="18"/>
      <c r="AM314" s="18"/>
      <c r="AN314" s="18"/>
      <c r="AO314" s="18"/>
    </row>
    <row r="315" spans="1:41" s="208" customFormat="1">
      <c r="B315" s="334"/>
      <c r="C315" s="274"/>
      <c r="Q315" s="268"/>
      <c r="R315" s="225"/>
      <c r="S315" s="221"/>
      <c r="T315" s="225"/>
    </row>
    <row r="316" spans="1:41" s="208" customFormat="1" ht="15">
      <c r="A316" s="210"/>
      <c r="B316" s="211" t="s">
        <v>135</v>
      </c>
      <c r="C316" s="318"/>
      <c r="Q316" s="268"/>
      <c r="R316" s="225"/>
      <c r="S316" s="225"/>
      <c r="T316" s="225"/>
    </row>
    <row r="317" spans="1:41" s="208" customFormat="1" ht="9" customHeight="1">
      <c r="A317" s="210"/>
      <c r="B317" s="211"/>
      <c r="C317" s="318"/>
      <c r="Q317" s="268"/>
      <c r="R317" s="225"/>
      <c r="S317" s="225"/>
      <c r="T317" s="225"/>
    </row>
    <row r="318" spans="1:41" s="208" customFormat="1" ht="15" customHeight="1">
      <c r="A318" s="210"/>
      <c r="B318" s="982" t="s">
        <v>136</v>
      </c>
      <c r="C318" s="982"/>
      <c r="D318" s="982"/>
      <c r="E318" s="982"/>
      <c r="F318" s="982"/>
      <c r="G318" s="982"/>
      <c r="H318" s="982"/>
      <c r="I318" s="982"/>
      <c r="J318" s="982"/>
      <c r="K318" s="982"/>
      <c r="L318" s="982"/>
      <c r="M318" s="982"/>
      <c r="Q318" s="268"/>
      <c r="R318" s="225"/>
      <c r="S318" s="225"/>
      <c r="T318" s="225"/>
    </row>
    <row r="319" spans="1:41" s="208" customFormat="1" ht="13.5" thickBot="1">
      <c r="C319" s="318"/>
      <c r="Q319" s="268"/>
    </row>
    <row r="320" spans="1:41" ht="13.5" thickBot="1">
      <c r="B320" s="259" t="s">
        <v>158</v>
      </c>
      <c r="C320" s="1075" t="s">
        <v>41</v>
      </c>
      <c r="D320" s="1076"/>
      <c r="E320" s="1060"/>
      <c r="F320" s="638"/>
      <c r="G320" s="638"/>
      <c r="H320" s="638"/>
      <c r="I320" s="638"/>
      <c r="J320" s="1061" t="s">
        <v>159</v>
      </c>
      <c r="K320" s="1061"/>
      <c r="L320" s="1061"/>
      <c r="M320" s="1077"/>
    </row>
    <row r="321" spans="2:13">
      <c r="B321" s="197"/>
      <c r="C321" s="1068"/>
      <c r="D321" s="1069"/>
      <c r="E321" s="1070"/>
      <c r="F321" s="645"/>
      <c r="G321" s="645"/>
      <c r="H321" s="645"/>
      <c r="I321" s="645"/>
      <c r="J321" s="1071"/>
      <c r="K321" s="1071"/>
      <c r="L321" s="1071"/>
      <c r="M321" s="1072"/>
    </row>
    <row r="322" spans="2:13">
      <c r="B322" s="197"/>
      <c r="C322" s="1049"/>
      <c r="D322" s="1050"/>
      <c r="E322" s="1051"/>
      <c r="F322" s="640"/>
      <c r="G322" s="640"/>
      <c r="H322" s="640"/>
      <c r="I322" s="640"/>
      <c r="J322" s="1052"/>
      <c r="K322" s="1052"/>
      <c r="L322" s="1052"/>
      <c r="M322" s="1053"/>
    </row>
    <row r="323" spans="2:13">
      <c r="B323" s="197"/>
      <c r="C323" s="1049"/>
      <c r="D323" s="1050"/>
      <c r="E323" s="1051"/>
      <c r="F323" s="640"/>
      <c r="G323" s="640"/>
      <c r="H323" s="640"/>
      <c r="I323" s="640"/>
      <c r="J323" s="1052"/>
      <c r="K323" s="1052"/>
      <c r="L323" s="1052"/>
      <c r="M323" s="1053"/>
    </row>
    <row r="324" spans="2:13">
      <c r="B324" s="197"/>
      <c r="C324" s="1049"/>
      <c r="D324" s="1050"/>
      <c r="E324" s="1051"/>
      <c r="F324" s="640"/>
      <c r="G324" s="640"/>
      <c r="H324" s="640"/>
      <c r="I324" s="640"/>
      <c r="J324" s="1052"/>
      <c r="K324" s="1052"/>
      <c r="L324" s="1052"/>
      <c r="M324" s="1053"/>
    </row>
    <row r="325" spans="2:13">
      <c r="B325" s="197"/>
      <c r="C325" s="1049"/>
      <c r="D325" s="1050"/>
      <c r="E325" s="1051"/>
      <c r="F325" s="640"/>
      <c r="G325" s="640"/>
      <c r="H325" s="640"/>
      <c r="I325" s="640"/>
      <c r="J325" s="1052"/>
      <c r="K325" s="1052"/>
      <c r="L325" s="1052"/>
      <c r="M325" s="1053"/>
    </row>
    <row r="326" spans="2:13">
      <c r="B326" s="197"/>
      <c r="C326" s="1049"/>
      <c r="D326" s="1050"/>
      <c r="E326" s="1051"/>
      <c r="F326" s="640"/>
      <c r="G326" s="640"/>
      <c r="H326" s="640"/>
      <c r="I326" s="640"/>
      <c r="J326" s="1052"/>
      <c r="K326" s="1052"/>
      <c r="L326" s="1052"/>
      <c r="M326" s="1053"/>
    </row>
    <row r="327" spans="2:13">
      <c r="B327" s="197"/>
      <c r="C327" s="1049"/>
      <c r="D327" s="1050"/>
      <c r="E327" s="1051"/>
      <c r="F327" s="640"/>
      <c r="G327" s="640"/>
      <c r="H327" s="640"/>
      <c r="I327" s="640"/>
      <c r="J327" s="1052"/>
      <c r="K327" s="1052"/>
      <c r="L327" s="1052"/>
      <c r="M327" s="1053"/>
    </row>
    <row r="328" spans="2:13">
      <c r="B328" s="197"/>
      <c r="C328" s="1049"/>
      <c r="D328" s="1050"/>
      <c r="E328" s="1051"/>
      <c r="F328" s="640"/>
      <c r="G328" s="640"/>
      <c r="H328" s="640"/>
      <c r="I328" s="640"/>
      <c r="J328" s="1052"/>
      <c r="K328" s="1052"/>
      <c r="L328" s="1052"/>
      <c r="M328" s="1053"/>
    </row>
    <row r="329" spans="2:13">
      <c r="B329" s="197"/>
      <c r="C329" s="1049"/>
      <c r="D329" s="1050"/>
      <c r="E329" s="1051"/>
      <c r="F329" s="640"/>
      <c r="G329" s="640"/>
      <c r="H329" s="640"/>
      <c r="I329" s="640"/>
      <c r="J329" s="1052"/>
      <c r="K329" s="1052"/>
      <c r="L329" s="1052"/>
      <c r="M329" s="1053"/>
    </row>
    <row r="330" spans="2:13">
      <c r="B330" s="197"/>
      <c r="C330" s="1049"/>
      <c r="D330" s="1050"/>
      <c r="E330" s="1051"/>
      <c r="F330" s="640"/>
      <c r="G330" s="640"/>
      <c r="H330" s="640"/>
      <c r="I330" s="640"/>
      <c r="J330" s="1052"/>
      <c r="K330" s="1052"/>
      <c r="L330" s="1052"/>
      <c r="M330" s="1053"/>
    </row>
    <row r="331" spans="2:13">
      <c r="B331" s="197"/>
      <c r="C331" s="1049"/>
      <c r="D331" s="1050"/>
      <c r="E331" s="1051"/>
      <c r="F331" s="640"/>
      <c r="G331" s="640"/>
      <c r="H331" s="640"/>
      <c r="I331" s="640"/>
      <c r="J331" s="1052"/>
      <c r="K331" s="1052"/>
      <c r="L331" s="1052"/>
      <c r="M331" s="1053"/>
    </row>
    <row r="332" spans="2:13">
      <c r="B332" s="197"/>
      <c r="C332" s="1049"/>
      <c r="D332" s="1050"/>
      <c r="E332" s="1051"/>
      <c r="F332" s="640"/>
      <c r="G332" s="640"/>
      <c r="H332" s="640"/>
      <c r="I332" s="640"/>
      <c r="J332" s="1052"/>
      <c r="K332" s="1052"/>
      <c r="L332" s="1052"/>
      <c r="M332" s="1053"/>
    </row>
    <row r="333" spans="2:13">
      <c r="B333" s="197"/>
      <c r="C333" s="1049"/>
      <c r="D333" s="1050"/>
      <c r="E333" s="1051"/>
      <c r="F333" s="640"/>
      <c r="G333" s="640"/>
      <c r="H333" s="640"/>
      <c r="I333" s="640"/>
      <c r="J333" s="1052"/>
      <c r="K333" s="1052"/>
      <c r="L333" s="1052"/>
      <c r="M333" s="1053"/>
    </row>
    <row r="334" spans="2:13">
      <c r="B334" s="196"/>
      <c r="C334" s="1049"/>
      <c r="D334" s="1050"/>
      <c r="E334" s="1051"/>
      <c r="F334" s="640"/>
      <c r="G334" s="640"/>
      <c r="H334" s="640"/>
      <c r="I334" s="640"/>
      <c r="J334" s="1052"/>
      <c r="K334" s="1052"/>
      <c r="L334" s="1052"/>
      <c r="M334" s="1053"/>
    </row>
    <row r="335" spans="2:13">
      <c r="B335" s="196"/>
      <c r="C335" s="1049"/>
      <c r="D335" s="1050"/>
      <c r="E335" s="1051"/>
      <c r="F335" s="640"/>
      <c r="G335" s="640"/>
      <c r="H335" s="640"/>
      <c r="I335" s="640"/>
      <c r="J335" s="1052"/>
      <c r="K335" s="1052"/>
      <c r="L335" s="1052"/>
      <c r="M335" s="1053"/>
    </row>
    <row r="336" spans="2:13">
      <c r="B336" s="196"/>
      <c r="C336" s="1049"/>
      <c r="D336" s="1050"/>
      <c r="E336" s="1051"/>
      <c r="F336" s="640"/>
      <c r="G336" s="640"/>
      <c r="H336" s="640"/>
      <c r="I336" s="640"/>
      <c r="J336" s="1052"/>
      <c r="K336" s="1052"/>
      <c r="L336" s="1052"/>
      <c r="M336" s="1053"/>
    </row>
    <row r="337" spans="2:13">
      <c r="B337" s="196"/>
      <c r="C337" s="1049"/>
      <c r="D337" s="1050"/>
      <c r="E337" s="1051"/>
      <c r="F337" s="640"/>
      <c r="G337" s="640"/>
      <c r="H337" s="640"/>
      <c r="I337" s="640"/>
      <c r="J337" s="1052"/>
      <c r="K337" s="1052"/>
      <c r="L337" s="1052"/>
      <c r="M337" s="1053"/>
    </row>
    <row r="338" spans="2:13">
      <c r="B338" s="196"/>
      <c r="C338" s="1049"/>
      <c r="D338" s="1050"/>
      <c r="E338" s="1051"/>
      <c r="F338" s="640"/>
      <c r="G338" s="640"/>
      <c r="H338" s="640"/>
      <c r="I338" s="640"/>
      <c r="J338" s="1052"/>
      <c r="K338" s="1052"/>
      <c r="L338" s="1052"/>
      <c r="M338" s="1053"/>
    </row>
    <row r="339" spans="2:13">
      <c r="B339" s="196"/>
      <c r="C339" s="1049"/>
      <c r="D339" s="1050"/>
      <c r="E339" s="1051"/>
      <c r="F339" s="640"/>
      <c r="G339" s="640"/>
      <c r="H339" s="640"/>
      <c r="I339" s="640"/>
      <c r="J339" s="1052"/>
      <c r="K339" s="1052"/>
      <c r="L339" s="1052"/>
      <c r="M339" s="1053"/>
    </row>
    <row r="340" spans="2:13">
      <c r="B340" s="196"/>
      <c r="C340" s="1049"/>
      <c r="D340" s="1050"/>
      <c r="E340" s="1051"/>
      <c r="F340" s="640"/>
      <c r="G340" s="640"/>
      <c r="H340" s="640"/>
      <c r="I340" s="640"/>
      <c r="J340" s="1052"/>
      <c r="K340" s="1052"/>
      <c r="L340" s="1052"/>
      <c r="M340" s="1053"/>
    </row>
    <row r="341" spans="2:13">
      <c r="B341" s="196"/>
      <c r="C341" s="1049"/>
      <c r="D341" s="1050"/>
      <c r="E341" s="1051"/>
      <c r="F341" s="640"/>
      <c r="G341" s="640"/>
      <c r="H341" s="640"/>
      <c r="I341" s="640"/>
      <c r="J341" s="1052"/>
      <c r="K341" s="1052"/>
      <c r="L341" s="1052"/>
      <c r="M341" s="1053"/>
    </row>
    <row r="342" spans="2:13">
      <c r="B342" s="196"/>
      <c r="C342" s="1049"/>
      <c r="D342" s="1050"/>
      <c r="E342" s="1051"/>
      <c r="F342" s="640"/>
      <c r="G342" s="640"/>
      <c r="H342" s="640"/>
      <c r="I342" s="640"/>
      <c r="J342" s="1052"/>
      <c r="K342" s="1052"/>
      <c r="L342" s="1052"/>
      <c r="M342" s="1053"/>
    </row>
    <row r="343" spans="2:13">
      <c r="B343" s="196"/>
      <c r="C343" s="1049"/>
      <c r="D343" s="1050"/>
      <c r="E343" s="1051"/>
      <c r="F343" s="640"/>
      <c r="G343" s="640"/>
      <c r="H343" s="640"/>
      <c r="I343" s="640"/>
      <c r="J343" s="1052"/>
      <c r="K343" s="1052"/>
      <c r="L343" s="1052"/>
      <c r="M343" s="1053"/>
    </row>
    <row r="344" spans="2:13">
      <c r="B344" s="196"/>
      <c r="C344" s="1049"/>
      <c r="D344" s="1050"/>
      <c r="E344" s="1051"/>
      <c r="F344" s="640"/>
      <c r="G344" s="640"/>
      <c r="H344" s="640"/>
      <c r="I344" s="640"/>
      <c r="J344" s="1052"/>
      <c r="K344" s="1052"/>
      <c r="L344" s="1052"/>
      <c r="M344" s="1053"/>
    </row>
    <row r="345" spans="2:13">
      <c r="B345" s="196"/>
      <c r="C345" s="1049"/>
      <c r="D345" s="1050"/>
      <c r="E345" s="1051"/>
      <c r="F345" s="640"/>
      <c r="G345" s="640"/>
      <c r="H345" s="640"/>
      <c r="I345" s="640"/>
      <c r="J345" s="1052"/>
      <c r="K345" s="1052"/>
      <c r="L345" s="1052"/>
      <c r="M345" s="1053"/>
    </row>
    <row r="346" spans="2:13">
      <c r="B346" s="196"/>
      <c r="C346" s="1049"/>
      <c r="D346" s="1050"/>
      <c r="E346" s="1051"/>
      <c r="F346" s="640"/>
      <c r="G346" s="640"/>
      <c r="H346" s="640"/>
      <c r="I346" s="640"/>
      <c r="J346" s="1052"/>
      <c r="K346" s="1052"/>
      <c r="L346" s="1052"/>
      <c r="M346" s="1053"/>
    </row>
    <row r="347" spans="2:13">
      <c r="B347" s="196"/>
      <c r="C347" s="1049"/>
      <c r="D347" s="1050"/>
      <c r="E347" s="1051"/>
      <c r="F347" s="640"/>
      <c r="G347" s="640"/>
      <c r="H347" s="640"/>
      <c r="I347" s="640"/>
      <c r="J347" s="1052"/>
      <c r="K347" s="1052"/>
      <c r="L347" s="1052"/>
      <c r="M347" s="1053"/>
    </row>
    <row r="348" spans="2:13">
      <c r="B348" s="196"/>
      <c r="C348" s="1049"/>
      <c r="D348" s="1050"/>
      <c r="E348" s="1051"/>
      <c r="F348" s="640"/>
      <c r="G348" s="640"/>
      <c r="H348" s="640"/>
      <c r="I348" s="640"/>
      <c r="J348" s="1052"/>
      <c r="K348" s="1052"/>
      <c r="L348" s="1052"/>
      <c r="M348" s="1053"/>
    </row>
    <row r="349" spans="2:13">
      <c r="B349" s="196"/>
      <c r="C349" s="1049"/>
      <c r="D349" s="1050"/>
      <c r="E349" s="1051"/>
      <c r="F349" s="640"/>
      <c r="G349" s="640"/>
      <c r="H349" s="640"/>
      <c r="I349" s="640"/>
      <c r="J349" s="1052"/>
      <c r="K349" s="1052"/>
      <c r="L349" s="1052"/>
      <c r="M349" s="1053"/>
    </row>
    <row r="350" spans="2:13" ht="13.5" thickBot="1">
      <c r="B350" s="191"/>
      <c r="C350" s="1054"/>
      <c r="D350" s="1055"/>
      <c r="E350" s="1056"/>
      <c r="F350" s="642"/>
      <c r="G350" s="642"/>
      <c r="H350" s="642"/>
      <c r="I350" s="642"/>
      <c r="J350" s="1057"/>
      <c r="K350" s="1057"/>
      <c r="L350" s="1057"/>
      <c r="M350" s="1058"/>
    </row>
    <row r="351" spans="2:13">
      <c r="B351" s="261"/>
      <c r="C351" s="338"/>
    </row>
    <row r="353" spans="1:15" ht="15">
      <c r="A353" s="210"/>
      <c r="B353" s="339" t="s">
        <v>278</v>
      </c>
    </row>
    <row r="354" spans="1:15" ht="9" customHeight="1"/>
    <row r="355" spans="1:15" ht="15">
      <c r="B355" s="208" t="s">
        <v>162</v>
      </c>
      <c r="E355" s="208" t="s">
        <v>137</v>
      </c>
      <c r="F355" s="208"/>
      <c r="G355" s="208"/>
      <c r="H355" s="208"/>
      <c r="I355" s="208"/>
      <c r="J355" s="18"/>
    </row>
    <row r="356" spans="1:15" ht="15.75" thickBot="1">
      <c r="B356" s="208"/>
      <c r="E356" s="340"/>
      <c r="F356" s="340"/>
      <c r="G356" s="340"/>
      <c r="H356" s="340"/>
      <c r="I356" s="340"/>
      <c r="J356" s="18"/>
    </row>
    <row r="357" spans="1:15" ht="13.5" thickBot="1">
      <c r="B357" s="341" t="s">
        <v>277</v>
      </c>
      <c r="C357" s="342" t="s">
        <v>139</v>
      </c>
      <c r="E357" s="1059" t="s">
        <v>138</v>
      </c>
      <c r="F357" s="1060"/>
      <c r="G357" s="1060"/>
      <c r="H357" s="1060"/>
      <c r="I357" s="1060"/>
      <c r="J357" s="1061"/>
      <c r="K357" s="1061"/>
      <c r="L357" s="1061"/>
      <c r="M357" s="991" t="s">
        <v>139</v>
      </c>
      <c r="N357" s="991"/>
      <c r="O357" s="1065"/>
    </row>
    <row r="358" spans="1:15" ht="15" customHeight="1">
      <c r="B358" s="343" t="s">
        <v>239</v>
      </c>
      <c r="C358" s="344" t="s">
        <v>95</v>
      </c>
      <c r="D358" s="261"/>
      <c r="E358" s="1062"/>
      <c r="F358" s="1063"/>
      <c r="G358" s="1063"/>
      <c r="H358" s="1063"/>
      <c r="I358" s="1063"/>
      <c r="J358" s="1064"/>
      <c r="K358" s="1064"/>
      <c r="L358" s="1064"/>
      <c r="M358" s="1066"/>
      <c r="N358" s="1066"/>
      <c r="O358" s="1067"/>
    </row>
    <row r="359" spans="1:15">
      <c r="B359" s="345" t="s">
        <v>92</v>
      </c>
      <c r="C359" s="346" t="s">
        <v>95</v>
      </c>
      <c r="E359" s="1041"/>
      <c r="F359" s="1042"/>
      <c r="G359" s="1042"/>
      <c r="H359" s="1042"/>
      <c r="I359" s="1042"/>
      <c r="J359" s="1043"/>
      <c r="K359" s="1043"/>
      <c r="L359" s="1043"/>
      <c r="M359" s="1039"/>
      <c r="N359" s="1039"/>
      <c r="O359" s="1040"/>
    </row>
    <row r="360" spans="1:15">
      <c r="B360" s="345" t="s">
        <v>240</v>
      </c>
      <c r="C360" s="346" t="s">
        <v>95</v>
      </c>
      <c r="E360" s="1041"/>
      <c r="F360" s="1042"/>
      <c r="G360" s="1042"/>
      <c r="H360" s="1042"/>
      <c r="I360" s="1042"/>
      <c r="J360" s="1043"/>
      <c r="K360" s="1043"/>
      <c r="L360" s="1043"/>
      <c r="M360" s="1039"/>
      <c r="N360" s="1039"/>
      <c r="O360" s="1040"/>
    </row>
    <row r="361" spans="1:15">
      <c r="B361" s="345" t="s">
        <v>241</v>
      </c>
      <c r="C361" s="346" t="s">
        <v>95</v>
      </c>
      <c r="E361" s="1041"/>
      <c r="F361" s="1042"/>
      <c r="G361" s="1042"/>
      <c r="H361" s="1042"/>
      <c r="I361" s="1042"/>
      <c r="J361" s="1043"/>
      <c r="K361" s="1043"/>
      <c r="L361" s="1043"/>
      <c r="M361" s="1039"/>
      <c r="N361" s="1039"/>
      <c r="O361" s="1040"/>
    </row>
    <row r="362" spans="1:15">
      <c r="B362" s="345" t="s">
        <v>93</v>
      </c>
      <c r="C362" s="346" t="s">
        <v>95</v>
      </c>
      <c r="E362" s="1041"/>
      <c r="F362" s="1042"/>
      <c r="G362" s="1042"/>
      <c r="H362" s="1042"/>
      <c r="I362" s="1042"/>
      <c r="J362" s="1043"/>
      <c r="K362" s="1043"/>
      <c r="L362" s="1043"/>
      <c r="M362" s="1039"/>
      <c r="N362" s="1039"/>
      <c r="O362" s="1040"/>
    </row>
    <row r="363" spans="1:15">
      <c r="B363" s="345" t="s">
        <v>242</v>
      </c>
      <c r="C363" s="346" t="s">
        <v>95</v>
      </c>
      <c r="E363" s="1041"/>
      <c r="F363" s="1042"/>
      <c r="G363" s="1042"/>
      <c r="H363" s="1042"/>
      <c r="I363" s="1042"/>
      <c r="J363" s="1043"/>
      <c r="K363" s="1043"/>
      <c r="L363" s="1043"/>
      <c r="M363" s="1039"/>
      <c r="N363" s="1039"/>
      <c r="O363" s="1040"/>
    </row>
    <row r="364" spans="1:15">
      <c r="B364" s="345" t="s">
        <v>243</v>
      </c>
      <c r="C364" s="346" t="s">
        <v>95</v>
      </c>
      <c r="E364" s="1041"/>
      <c r="F364" s="1042"/>
      <c r="G364" s="1042"/>
      <c r="H364" s="1042"/>
      <c r="I364" s="1042"/>
      <c r="J364" s="1043"/>
      <c r="K364" s="1043"/>
      <c r="L364" s="1043"/>
      <c r="M364" s="1039"/>
      <c r="N364" s="1039"/>
      <c r="O364" s="1040"/>
    </row>
    <row r="365" spans="1:15">
      <c r="B365" s="345" t="s">
        <v>244</v>
      </c>
      <c r="C365" s="346" t="s">
        <v>95</v>
      </c>
      <c r="E365" s="1041"/>
      <c r="F365" s="1042"/>
      <c r="G365" s="1042"/>
      <c r="H365" s="1042"/>
      <c r="I365" s="1042"/>
      <c r="J365" s="1043"/>
      <c r="K365" s="1043"/>
      <c r="L365" s="1043"/>
      <c r="M365" s="1039"/>
      <c r="N365" s="1039"/>
      <c r="O365" s="1040"/>
    </row>
    <row r="366" spans="1:15">
      <c r="B366" s="345" t="s">
        <v>245</v>
      </c>
      <c r="C366" s="346" t="s">
        <v>95</v>
      </c>
      <c r="E366" s="1041"/>
      <c r="F366" s="1042"/>
      <c r="G366" s="1042"/>
      <c r="H366" s="1042"/>
      <c r="I366" s="1042"/>
      <c r="J366" s="1043"/>
      <c r="K366" s="1043"/>
      <c r="L366" s="1043"/>
      <c r="M366" s="1039"/>
      <c r="N366" s="1039"/>
      <c r="O366" s="1040"/>
    </row>
    <row r="367" spans="1:15">
      <c r="B367" s="345" t="s">
        <v>246</v>
      </c>
      <c r="C367" s="346" t="s">
        <v>95</v>
      </c>
      <c r="E367" s="1041"/>
      <c r="F367" s="1042"/>
      <c r="G367" s="1042"/>
      <c r="H367" s="1042"/>
      <c r="I367" s="1042"/>
      <c r="J367" s="1043"/>
      <c r="K367" s="1043"/>
      <c r="L367" s="1043"/>
      <c r="M367" s="1039"/>
      <c r="N367" s="1039"/>
      <c r="O367" s="1040"/>
    </row>
    <row r="368" spans="1:15">
      <c r="B368" s="345" t="s">
        <v>247</v>
      </c>
      <c r="C368" s="346" t="s">
        <v>95</v>
      </c>
      <c r="E368" s="1041"/>
      <c r="F368" s="1042"/>
      <c r="G368" s="1042"/>
      <c r="H368" s="1042"/>
      <c r="I368" s="1042"/>
      <c r="J368" s="1043"/>
      <c r="K368" s="1043"/>
      <c r="L368" s="1043"/>
      <c r="M368" s="1039"/>
      <c r="N368" s="1039"/>
      <c r="O368" s="1040"/>
    </row>
    <row r="369" spans="2:15">
      <c r="B369" s="345" t="s">
        <v>248</v>
      </c>
      <c r="C369" s="346" t="s">
        <v>95</v>
      </c>
      <c r="E369" s="1041"/>
      <c r="F369" s="1042"/>
      <c r="G369" s="1042"/>
      <c r="H369" s="1042"/>
      <c r="I369" s="1042"/>
      <c r="J369" s="1043"/>
      <c r="K369" s="1043"/>
      <c r="L369" s="1043"/>
      <c r="M369" s="1039"/>
      <c r="N369" s="1039"/>
      <c r="O369" s="1040"/>
    </row>
    <row r="370" spans="2:15">
      <c r="B370" s="345" t="s">
        <v>249</v>
      </c>
      <c r="C370" s="346" t="s">
        <v>95</v>
      </c>
      <c r="E370" s="1041"/>
      <c r="F370" s="1042"/>
      <c r="G370" s="1042"/>
      <c r="H370" s="1042"/>
      <c r="I370" s="1042"/>
      <c r="J370" s="1043"/>
      <c r="K370" s="1043"/>
      <c r="L370" s="1043"/>
      <c r="M370" s="1039"/>
      <c r="N370" s="1039"/>
      <c r="O370" s="1040"/>
    </row>
    <row r="371" spans="2:15">
      <c r="B371" s="345" t="s">
        <v>250</v>
      </c>
      <c r="C371" s="346" t="s">
        <v>95</v>
      </c>
      <c r="E371" s="1041"/>
      <c r="F371" s="1042"/>
      <c r="G371" s="1042"/>
      <c r="H371" s="1042"/>
      <c r="I371" s="1042"/>
      <c r="J371" s="1043"/>
      <c r="K371" s="1043"/>
      <c r="L371" s="1043"/>
      <c r="M371" s="1039"/>
      <c r="N371" s="1039"/>
      <c r="O371" s="1040"/>
    </row>
    <row r="372" spans="2:15">
      <c r="B372" s="345" t="s">
        <v>251</v>
      </c>
      <c r="C372" s="473" t="s">
        <v>684</v>
      </c>
      <c r="E372" s="1041"/>
      <c r="F372" s="1042"/>
      <c r="G372" s="1042"/>
      <c r="H372" s="1042"/>
      <c r="I372" s="1042"/>
      <c r="J372" s="1043"/>
      <c r="K372" s="1043"/>
      <c r="L372" s="1043"/>
      <c r="M372" s="1039"/>
      <c r="N372" s="1039"/>
      <c r="O372" s="1040"/>
    </row>
    <row r="373" spans="2:15">
      <c r="B373" s="345" t="s">
        <v>252</v>
      </c>
      <c r="C373" s="473" t="s">
        <v>684</v>
      </c>
      <c r="E373" s="1041"/>
      <c r="F373" s="1042"/>
      <c r="G373" s="1042"/>
      <c r="H373" s="1042"/>
      <c r="I373" s="1042"/>
      <c r="J373" s="1043"/>
      <c r="K373" s="1043"/>
      <c r="L373" s="1043"/>
      <c r="M373" s="1039"/>
      <c r="N373" s="1039"/>
      <c r="O373" s="1040"/>
    </row>
    <row r="374" spans="2:15">
      <c r="B374" s="345" t="s">
        <v>253</v>
      </c>
      <c r="C374" s="473" t="s">
        <v>684</v>
      </c>
      <c r="E374" s="1041"/>
      <c r="F374" s="1042"/>
      <c r="G374" s="1042"/>
      <c r="H374" s="1042"/>
      <c r="I374" s="1042"/>
      <c r="J374" s="1043"/>
      <c r="K374" s="1043"/>
      <c r="L374" s="1043"/>
      <c r="M374" s="1039"/>
      <c r="N374" s="1039"/>
      <c r="O374" s="1040"/>
    </row>
    <row r="375" spans="2:15">
      <c r="B375" s="345" t="s">
        <v>254</v>
      </c>
      <c r="C375" s="473" t="s">
        <v>684</v>
      </c>
      <c r="E375" s="1041"/>
      <c r="F375" s="1042"/>
      <c r="G375" s="1042"/>
      <c r="H375" s="1042"/>
      <c r="I375" s="1042"/>
      <c r="J375" s="1043"/>
      <c r="K375" s="1043"/>
      <c r="L375" s="1043"/>
      <c r="M375" s="1039"/>
      <c r="N375" s="1039"/>
      <c r="O375" s="1040"/>
    </row>
    <row r="376" spans="2:15">
      <c r="B376" s="345" t="s">
        <v>255</v>
      </c>
      <c r="C376" s="473" t="s">
        <v>684</v>
      </c>
      <c r="E376" s="1041"/>
      <c r="F376" s="1042"/>
      <c r="G376" s="1042"/>
      <c r="H376" s="1042"/>
      <c r="I376" s="1042"/>
      <c r="J376" s="1043"/>
      <c r="K376" s="1043"/>
      <c r="L376" s="1043"/>
      <c r="M376" s="1039"/>
      <c r="N376" s="1039"/>
      <c r="O376" s="1040"/>
    </row>
    <row r="377" spans="2:15">
      <c r="B377" s="345" t="s">
        <v>256</v>
      </c>
      <c r="C377" s="473" t="s">
        <v>684</v>
      </c>
      <c r="E377" s="1041"/>
      <c r="F377" s="1042"/>
      <c r="G377" s="1042"/>
      <c r="H377" s="1042"/>
      <c r="I377" s="1042"/>
      <c r="J377" s="1043"/>
      <c r="K377" s="1043"/>
      <c r="L377" s="1043"/>
      <c r="M377" s="1039"/>
      <c r="N377" s="1039"/>
      <c r="O377" s="1040"/>
    </row>
    <row r="378" spans="2:15">
      <c r="B378" s="345" t="s">
        <v>223</v>
      </c>
      <c r="C378" s="346">
        <v>1</v>
      </c>
      <c r="E378" s="1041"/>
      <c r="F378" s="1042"/>
      <c r="G378" s="1042"/>
      <c r="H378" s="1042"/>
      <c r="I378" s="1042"/>
      <c r="J378" s="1043"/>
      <c r="K378" s="1043"/>
      <c r="L378" s="1043"/>
      <c r="M378" s="1039"/>
      <c r="N378" s="1039"/>
      <c r="O378" s="1040"/>
    </row>
    <row r="379" spans="2:15">
      <c r="B379" s="345" t="s">
        <v>224</v>
      </c>
      <c r="C379" s="471">
        <v>1</v>
      </c>
      <c r="E379" s="1041"/>
      <c r="F379" s="1042"/>
      <c r="G379" s="1042"/>
      <c r="H379" s="1042"/>
      <c r="I379" s="1042"/>
      <c r="J379" s="1043"/>
      <c r="K379" s="1043"/>
      <c r="L379" s="1043"/>
      <c r="M379" s="1039"/>
      <c r="N379" s="1039"/>
      <c r="O379" s="1040"/>
    </row>
    <row r="380" spans="2:15">
      <c r="B380" s="345" t="s">
        <v>225</v>
      </c>
      <c r="C380" s="471">
        <v>1</v>
      </c>
      <c r="E380" s="1041"/>
      <c r="F380" s="1042"/>
      <c r="G380" s="1042"/>
      <c r="H380" s="1042"/>
      <c r="I380" s="1042"/>
      <c r="J380" s="1043"/>
      <c r="K380" s="1043"/>
      <c r="L380" s="1043"/>
      <c r="M380" s="1039"/>
      <c r="N380" s="1039"/>
      <c r="O380" s="1040"/>
    </row>
    <row r="381" spans="2:15">
      <c r="B381" s="345" t="s">
        <v>226</v>
      </c>
      <c r="C381" s="471">
        <v>1</v>
      </c>
      <c r="E381" s="1041"/>
      <c r="F381" s="1042"/>
      <c r="G381" s="1042"/>
      <c r="H381" s="1042"/>
      <c r="I381" s="1042"/>
      <c r="J381" s="1043"/>
      <c r="K381" s="1043"/>
      <c r="L381" s="1043"/>
      <c r="M381" s="1039"/>
      <c r="N381" s="1039"/>
      <c r="O381" s="1040"/>
    </row>
    <row r="382" spans="2:15">
      <c r="B382" s="345" t="s">
        <v>227</v>
      </c>
      <c r="C382" s="471">
        <v>1</v>
      </c>
      <c r="E382" s="1041"/>
      <c r="F382" s="1042"/>
      <c r="G382" s="1042"/>
      <c r="H382" s="1042"/>
      <c r="I382" s="1042"/>
      <c r="J382" s="1043"/>
      <c r="K382" s="1043"/>
      <c r="L382" s="1043"/>
      <c r="M382" s="1039"/>
      <c r="N382" s="1039"/>
      <c r="O382" s="1040"/>
    </row>
    <row r="383" spans="2:15">
      <c r="B383" s="345" t="s">
        <v>228</v>
      </c>
      <c r="C383" s="471">
        <v>1</v>
      </c>
      <c r="E383" s="1041"/>
      <c r="F383" s="1042"/>
      <c r="G383" s="1042"/>
      <c r="H383" s="1042"/>
      <c r="I383" s="1042"/>
      <c r="J383" s="1043"/>
      <c r="K383" s="1043"/>
      <c r="L383" s="1043"/>
      <c r="M383" s="1039"/>
      <c r="N383" s="1039"/>
      <c r="O383" s="1040"/>
    </row>
    <row r="384" spans="2:15">
      <c r="B384" s="347" t="s">
        <v>229</v>
      </c>
      <c r="C384" s="348">
        <v>1000</v>
      </c>
      <c r="E384" s="1041"/>
      <c r="F384" s="1042"/>
      <c r="G384" s="1042"/>
      <c r="H384" s="1042"/>
      <c r="I384" s="1042"/>
      <c r="J384" s="1043"/>
      <c r="K384" s="1043"/>
      <c r="L384" s="1043"/>
      <c r="M384" s="1039"/>
      <c r="N384" s="1039"/>
      <c r="O384" s="1040"/>
    </row>
    <row r="385" spans="2:15">
      <c r="B385" s="345" t="s">
        <v>230</v>
      </c>
      <c r="C385" s="348">
        <v>1000</v>
      </c>
      <c r="E385" s="1041"/>
      <c r="F385" s="1042"/>
      <c r="G385" s="1042"/>
      <c r="H385" s="1042"/>
      <c r="I385" s="1042"/>
      <c r="J385" s="1043"/>
      <c r="K385" s="1043"/>
      <c r="L385" s="1043"/>
      <c r="M385" s="1039"/>
      <c r="N385" s="1039"/>
      <c r="O385" s="1040"/>
    </row>
    <row r="386" spans="2:15">
      <c r="B386" s="345" t="s">
        <v>231</v>
      </c>
      <c r="C386" s="348">
        <v>1000</v>
      </c>
      <c r="E386" s="1041"/>
      <c r="F386" s="1042"/>
      <c r="G386" s="1042"/>
      <c r="H386" s="1042"/>
      <c r="I386" s="1042"/>
      <c r="J386" s="1043"/>
      <c r="K386" s="1043"/>
      <c r="L386" s="1043"/>
      <c r="M386" s="1039"/>
      <c r="N386" s="1039"/>
      <c r="O386" s="1040"/>
    </row>
    <row r="387" spans="2:15">
      <c r="B387" s="345" t="s">
        <v>622</v>
      </c>
      <c r="C387" s="348">
        <v>1000</v>
      </c>
      <c r="E387" s="1041"/>
      <c r="F387" s="1042"/>
      <c r="G387" s="1042"/>
      <c r="H387" s="1042"/>
      <c r="I387" s="1042"/>
      <c r="J387" s="1043"/>
      <c r="K387" s="1043"/>
      <c r="L387" s="1043"/>
      <c r="M387" s="1039"/>
      <c r="N387" s="1039"/>
      <c r="O387" s="1040"/>
    </row>
    <row r="388" spans="2:15">
      <c r="B388" s="345" t="s">
        <v>232</v>
      </c>
      <c r="C388" s="348">
        <v>1000</v>
      </c>
      <c r="E388" s="1041"/>
      <c r="F388" s="1042"/>
      <c r="G388" s="1042"/>
      <c r="H388" s="1042"/>
      <c r="I388" s="1042"/>
      <c r="J388" s="1043"/>
      <c r="K388" s="1043"/>
      <c r="L388" s="1043"/>
      <c r="M388" s="1039"/>
      <c r="N388" s="1039"/>
      <c r="O388" s="1040"/>
    </row>
    <row r="389" spans="2:15">
      <c r="B389" s="345" t="s">
        <v>233</v>
      </c>
      <c r="C389" s="348">
        <v>1000</v>
      </c>
      <c r="E389" s="1041"/>
      <c r="F389" s="1042"/>
      <c r="G389" s="1042"/>
      <c r="H389" s="1042"/>
      <c r="I389" s="1042"/>
      <c r="J389" s="1043"/>
      <c r="K389" s="1043"/>
      <c r="L389" s="1043"/>
      <c r="M389" s="1039"/>
      <c r="N389" s="1039"/>
      <c r="O389" s="1040"/>
    </row>
    <row r="390" spans="2:15">
      <c r="B390" s="345" t="s">
        <v>234</v>
      </c>
      <c r="C390" s="473" t="s">
        <v>684</v>
      </c>
      <c r="E390" s="1041"/>
      <c r="F390" s="1042"/>
      <c r="G390" s="1042"/>
      <c r="H390" s="1042"/>
      <c r="I390" s="1042"/>
      <c r="J390" s="1043"/>
      <c r="K390" s="1043"/>
      <c r="L390" s="1043"/>
      <c r="M390" s="1039"/>
      <c r="N390" s="1039"/>
      <c r="O390" s="1040"/>
    </row>
    <row r="391" spans="2:15">
      <c r="B391" s="345" t="s">
        <v>235</v>
      </c>
      <c r="C391" s="348">
        <v>1000</v>
      </c>
      <c r="E391" s="1041"/>
      <c r="F391" s="1042"/>
      <c r="G391" s="1042"/>
      <c r="H391" s="1042"/>
      <c r="I391" s="1042"/>
      <c r="J391" s="1043"/>
      <c r="K391" s="1043"/>
      <c r="L391" s="1043"/>
      <c r="M391" s="1039"/>
      <c r="N391" s="1039"/>
      <c r="O391" s="1040"/>
    </row>
    <row r="392" spans="2:15">
      <c r="B392" s="345" t="s">
        <v>236</v>
      </c>
      <c r="C392" s="348">
        <v>1000</v>
      </c>
      <c r="E392" s="1041"/>
      <c r="F392" s="1042"/>
      <c r="G392" s="1042"/>
      <c r="H392" s="1042"/>
      <c r="I392" s="1042"/>
      <c r="J392" s="1043"/>
      <c r="K392" s="1043"/>
      <c r="L392" s="1043"/>
      <c r="M392" s="1039"/>
      <c r="N392" s="1039"/>
      <c r="O392" s="1040"/>
    </row>
    <row r="393" spans="2:15">
      <c r="B393" s="345" t="s">
        <v>237</v>
      </c>
      <c r="C393" s="348">
        <v>1000</v>
      </c>
      <c r="E393" s="1041"/>
      <c r="F393" s="1042"/>
      <c r="G393" s="1042"/>
      <c r="H393" s="1042"/>
      <c r="I393" s="1042"/>
      <c r="J393" s="1043"/>
      <c r="K393" s="1043"/>
      <c r="L393" s="1043"/>
      <c r="M393" s="1039"/>
      <c r="N393" s="1039"/>
      <c r="O393" s="1040"/>
    </row>
    <row r="394" spans="2:15" ht="13.5" thickBot="1">
      <c r="B394" s="349" t="s">
        <v>238</v>
      </c>
      <c r="C394" s="350" t="s">
        <v>257</v>
      </c>
      <c r="E394" s="1046"/>
      <c r="F394" s="1047"/>
      <c r="G394" s="1047"/>
      <c r="H394" s="1047"/>
      <c r="I394" s="1047"/>
      <c r="J394" s="1048"/>
      <c r="K394" s="1048"/>
      <c r="L394" s="1048"/>
      <c r="M394" s="1044"/>
      <c r="N394" s="1044"/>
      <c r="O394" s="1045"/>
    </row>
  </sheetData>
  <sheetProtection formatCells="0" formatColumns="0" formatRows="0"/>
  <customSheetViews>
    <customSheetView guid="{B6007CFB-3D06-43CC-8EB0-042D40129E35}" scale="80" showPageBreaks="1" showGridLines="0" printArea="1" topLeftCell="A748">
      <selection activeCell="O203" sqref="O203"/>
      <rowBreaks count="3" manualBreakCount="3">
        <brk id="44" max="16383" man="1"/>
        <brk id="721" max="14" man="1"/>
        <brk id="758" max="14" man="1"/>
      </rowBreaks>
      <pageMargins left="0.11811023622047245" right="0.11811023622047245" top="0.74803149606299213" bottom="0.15748031496062992" header="0.31496062992125984" footer="0.31496062992125984"/>
      <pageSetup paperSize="9" scale="60" orientation="landscape" r:id="rId1"/>
    </customSheetView>
  </customSheetViews>
  <mergeCells count="277">
    <mergeCell ref="E68:F68"/>
    <mergeCell ref="E69:F69"/>
    <mergeCell ref="E70:F70"/>
    <mergeCell ref="E71:F71"/>
    <mergeCell ref="E72:F72"/>
    <mergeCell ref="E73:F73"/>
    <mergeCell ref="C45:D45"/>
    <mergeCell ref="C46:D46"/>
    <mergeCell ref="B24:N24"/>
    <mergeCell ref="B31:N31"/>
    <mergeCell ref="E61:F61"/>
    <mergeCell ref="E62:F62"/>
    <mergeCell ref="E63:F63"/>
    <mergeCell ref="E64:F64"/>
    <mergeCell ref="E65:F65"/>
    <mergeCell ref="E66:F66"/>
    <mergeCell ref="E67:F67"/>
    <mergeCell ref="AG314:AI314"/>
    <mergeCell ref="O314:Q314"/>
    <mergeCell ref="R314:T314"/>
    <mergeCell ref="U314:W314"/>
    <mergeCell ref="X314:Z314"/>
    <mergeCell ref="AA314:AC314"/>
    <mergeCell ref="AD314:AF314"/>
    <mergeCell ref="M115:M134"/>
    <mergeCell ref="C55:D55"/>
    <mergeCell ref="C56:D56"/>
    <mergeCell ref="C57:D57"/>
    <mergeCell ref="C58:D58"/>
    <mergeCell ref="C60:D60"/>
    <mergeCell ref="C61:D61"/>
    <mergeCell ref="C68:D68"/>
    <mergeCell ref="C69:D69"/>
    <mergeCell ref="C62:D62"/>
    <mergeCell ref="C63:D63"/>
    <mergeCell ref="C64:D64"/>
    <mergeCell ref="C65:D65"/>
    <mergeCell ref="C66:D66"/>
    <mergeCell ref="C67:D67"/>
    <mergeCell ref="C70:D70"/>
    <mergeCell ref="C71:D71"/>
    <mergeCell ref="C321:E321"/>
    <mergeCell ref="J321:M321"/>
    <mergeCell ref="B314:N314"/>
    <mergeCell ref="C74:D74"/>
    <mergeCell ref="C75:D75"/>
    <mergeCell ref="C76:D76"/>
    <mergeCell ref="C320:E320"/>
    <mergeCell ref="J320:M320"/>
    <mergeCell ref="B318:M318"/>
    <mergeCell ref="B86:C86"/>
    <mergeCell ref="D86:E86"/>
    <mergeCell ref="B115:B134"/>
    <mergeCell ref="M93:M112"/>
    <mergeCell ref="B80:J80"/>
    <mergeCell ref="E74:F74"/>
    <mergeCell ref="E75:F75"/>
    <mergeCell ref="E76:F76"/>
    <mergeCell ref="B93:B112"/>
    <mergeCell ref="B181:B200"/>
    <mergeCell ref="M181:M200"/>
    <mergeCell ref="B159:B178"/>
    <mergeCell ref="M159:M178"/>
    <mergeCell ref="B137:B156"/>
    <mergeCell ref="M137:M156"/>
    <mergeCell ref="C325:E325"/>
    <mergeCell ref="J325:M325"/>
    <mergeCell ref="C326:E326"/>
    <mergeCell ref="J326:M326"/>
    <mergeCell ref="C327:E327"/>
    <mergeCell ref="J327:M327"/>
    <mergeCell ref="C322:E322"/>
    <mergeCell ref="J322:M322"/>
    <mergeCell ref="C323:E323"/>
    <mergeCell ref="J323:M323"/>
    <mergeCell ref="C324:E324"/>
    <mergeCell ref="J324:M324"/>
    <mergeCell ref="C331:E331"/>
    <mergeCell ref="J331:M331"/>
    <mergeCell ref="C332:E332"/>
    <mergeCell ref="J332:M332"/>
    <mergeCell ref="C333:E333"/>
    <mergeCell ref="J333:M333"/>
    <mergeCell ref="C328:E328"/>
    <mergeCell ref="J328:M328"/>
    <mergeCell ref="C329:E329"/>
    <mergeCell ref="J329:M329"/>
    <mergeCell ref="C330:E330"/>
    <mergeCell ref="J330:M330"/>
    <mergeCell ref="C337:E337"/>
    <mergeCell ref="J337:M337"/>
    <mergeCell ref="C338:E338"/>
    <mergeCell ref="J338:M338"/>
    <mergeCell ref="C339:E339"/>
    <mergeCell ref="J339:M339"/>
    <mergeCell ref="C334:E334"/>
    <mergeCell ref="J334:M334"/>
    <mergeCell ref="C335:E335"/>
    <mergeCell ref="J335:M335"/>
    <mergeCell ref="C336:E336"/>
    <mergeCell ref="J336:M336"/>
    <mergeCell ref="C343:E343"/>
    <mergeCell ref="J343:M343"/>
    <mergeCell ref="C344:E344"/>
    <mergeCell ref="J344:M344"/>
    <mergeCell ref="C345:E345"/>
    <mergeCell ref="J345:M345"/>
    <mergeCell ref="C346:E346"/>
    <mergeCell ref="J346:M346"/>
    <mergeCell ref="C340:E340"/>
    <mergeCell ref="J340:M340"/>
    <mergeCell ref="C341:E341"/>
    <mergeCell ref="J341:M341"/>
    <mergeCell ref="C342:E342"/>
    <mergeCell ref="J342:M342"/>
    <mergeCell ref="C349:E349"/>
    <mergeCell ref="J349:M349"/>
    <mergeCell ref="C350:E350"/>
    <mergeCell ref="J350:M350"/>
    <mergeCell ref="E357:L357"/>
    <mergeCell ref="E358:L358"/>
    <mergeCell ref="C347:E347"/>
    <mergeCell ref="J347:M347"/>
    <mergeCell ref="C348:E348"/>
    <mergeCell ref="J348:M348"/>
    <mergeCell ref="M357:O357"/>
    <mergeCell ref="M358:O358"/>
    <mergeCell ref="E394:L394"/>
    <mergeCell ref="E371:L371"/>
    <mergeCell ref="E372:L372"/>
    <mergeCell ref="E373:L373"/>
    <mergeCell ref="E374:L374"/>
    <mergeCell ref="E375:L375"/>
    <mergeCell ref="E376:L376"/>
    <mergeCell ref="E377:L377"/>
    <mergeCell ref="E378:L378"/>
    <mergeCell ref="E379:L379"/>
    <mergeCell ref="E380:L380"/>
    <mergeCell ref="E381:L381"/>
    <mergeCell ref="E382:L382"/>
    <mergeCell ref="E383:L383"/>
    <mergeCell ref="E384:L384"/>
    <mergeCell ref="E385:L385"/>
    <mergeCell ref="E386:L386"/>
    <mergeCell ref="E387:L387"/>
    <mergeCell ref="E388:L388"/>
    <mergeCell ref="E389:L389"/>
    <mergeCell ref="E390:L390"/>
    <mergeCell ref="E391:L391"/>
    <mergeCell ref="E392:L392"/>
    <mergeCell ref="E393:L393"/>
    <mergeCell ref="M393:O393"/>
    <mergeCell ref="M394:O394"/>
    <mergeCell ref="M377:O377"/>
    <mergeCell ref="M378:O378"/>
    <mergeCell ref="M379:O379"/>
    <mergeCell ref="M380:O380"/>
    <mergeCell ref="M381:O381"/>
    <mergeCell ref="M382:O382"/>
    <mergeCell ref="M383:O383"/>
    <mergeCell ref="M384:O384"/>
    <mergeCell ref="M385:O385"/>
    <mergeCell ref="M386:O386"/>
    <mergeCell ref="M387:O387"/>
    <mergeCell ref="M388:O388"/>
    <mergeCell ref="M389:O389"/>
    <mergeCell ref="M390:O390"/>
    <mergeCell ref="M391:O391"/>
    <mergeCell ref="M392:O392"/>
    <mergeCell ref="M371:O371"/>
    <mergeCell ref="M372:O372"/>
    <mergeCell ref="M373:O373"/>
    <mergeCell ref="M374:O374"/>
    <mergeCell ref="M375:O375"/>
    <mergeCell ref="M365:O365"/>
    <mergeCell ref="M366:O366"/>
    <mergeCell ref="M367:O367"/>
    <mergeCell ref="M376:O376"/>
    <mergeCell ref="E369:L369"/>
    <mergeCell ref="E370:L370"/>
    <mergeCell ref="E365:L365"/>
    <mergeCell ref="E366:L366"/>
    <mergeCell ref="E363:L363"/>
    <mergeCell ref="E364:L364"/>
    <mergeCell ref="M368:O368"/>
    <mergeCell ref="M369:O369"/>
    <mergeCell ref="M370:O370"/>
    <mergeCell ref="M359:O359"/>
    <mergeCell ref="M360:O360"/>
    <mergeCell ref="M361:O361"/>
    <mergeCell ref="M362:O362"/>
    <mergeCell ref="M363:O363"/>
    <mergeCell ref="M364:O364"/>
    <mergeCell ref="E367:L367"/>
    <mergeCell ref="E368:L368"/>
    <mergeCell ref="E359:L359"/>
    <mergeCell ref="E360:L360"/>
    <mergeCell ref="E361:L361"/>
    <mergeCell ref="E362:L362"/>
    <mergeCell ref="I5:J5"/>
    <mergeCell ref="D6:E6"/>
    <mergeCell ref="I6:J6"/>
    <mergeCell ref="D7:E7"/>
    <mergeCell ref="I7:J7"/>
    <mergeCell ref="D8:E8"/>
    <mergeCell ref="I8:J8"/>
    <mergeCell ref="D9:E9"/>
    <mergeCell ref="I9:J9"/>
    <mergeCell ref="F5:H5"/>
    <mergeCell ref="F6:H6"/>
    <mergeCell ref="F7:H7"/>
    <mergeCell ref="F8:H8"/>
    <mergeCell ref="F9:H9"/>
    <mergeCell ref="D5:E5"/>
    <mergeCell ref="I10:J10"/>
    <mergeCell ref="D11:E11"/>
    <mergeCell ref="I11:J11"/>
    <mergeCell ref="D12:E12"/>
    <mergeCell ref="I12:J12"/>
    <mergeCell ref="D13:E13"/>
    <mergeCell ref="I13:J13"/>
    <mergeCell ref="D14:E14"/>
    <mergeCell ref="I14:J14"/>
    <mergeCell ref="F10:H10"/>
    <mergeCell ref="F11:H11"/>
    <mergeCell ref="F12:H12"/>
    <mergeCell ref="F13:H13"/>
    <mergeCell ref="F14:H14"/>
    <mergeCell ref="D10:E10"/>
    <mergeCell ref="I15:J15"/>
    <mergeCell ref="D16:E16"/>
    <mergeCell ref="I16:J16"/>
    <mergeCell ref="D17:E17"/>
    <mergeCell ref="I17:J17"/>
    <mergeCell ref="D18:E18"/>
    <mergeCell ref="I18:J18"/>
    <mergeCell ref="D19:E19"/>
    <mergeCell ref="I19:J19"/>
    <mergeCell ref="F15:H15"/>
    <mergeCell ref="F16:H16"/>
    <mergeCell ref="F17:H17"/>
    <mergeCell ref="F18:H18"/>
    <mergeCell ref="F19:H19"/>
    <mergeCell ref="D15:E15"/>
    <mergeCell ref="D20:E20"/>
    <mergeCell ref="I20:J20"/>
    <mergeCell ref="D21:E21"/>
    <mergeCell ref="I21:J21"/>
    <mergeCell ref="D22:E22"/>
    <mergeCell ref="I22:J22"/>
    <mergeCell ref="F20:H20"/>
    <mergeCell ref="F21:H21"/>
    <mergeCell ref="F22:H22"/>
    <mergeCell ref="C51:D51"/>
    <mergeCell ref="C52:D52"/>
    <mergeCell ref="C53:D53"/>
    <mergeCell ref="C54:D54"/>
    <mergeCell ref="C42:D42"/>
    <mergeCell ref="C43:D43"/>
    <mergeCell ref="C44:D44"/>
    <mergeCell ref="B291:B310"/>
    <mergeCell ref="M291:M310"/>
    <mergeCell ref="B269:B288"/>
    <mergeCell ref="M269:M288"/>
    <mergeCell ref="B247:B266"/>
    <mergeCell ref="M247:M266"/>
    <mergeCell ref="B225:B244"/>
    <mergeCell ref="M225:M244"/>
    <mergeCell ref="B203:B222"/>
    <mergeCell ref="M203:M222"/>
    <mergeCell ref="C47:D47"/>
    <mergeCell ref="C48:D48"/>
    <mergeCell ref="C49:D49"/>
    <mergeCell ref="C50:D50"/>
    <mergeCell ref="C72:D72"/>
    <mergeCell ref="C73:D73"/>
    <mergeCell ref="E60:F60"/>
  </mergeCells>
  <dataValidations count="3">
    <dataValidation type="list" allowBlank="1" showInputMessage="1" showErrorMessage="1" sqref="K93:K112 K291:K310 K269:K288 K247:K266 K225:K244 K203:K222 K181:K200 K159:K178 K137:K156 K115:K134">
      <formula1>"FPS1, FPS2, FPS3, FPS4, FPS5, FPS6, FPS7, FPS8, FPS9, FPS10, FPS11,FPS12,FPS13,FPS14,FPS15,FPS16,FPS17,FPS18,FPS19,FPS20"</formula1>
    </dataValidation>
    <dataValidation type="list" allowBlank="1" showInputMessage="1" showErrorMessage="1" sqref="B321:B350 G61:I76 E61:E76">
      <formula1>"Error, Warning"</formula1>
    </dataValidation>
    <dataValidation type="list" allowBlank="1" showInputMessage="1" showErrorMessage="1" sqref="D86:E86">
      <formula1>"Yes, No"</formula1>
    </dataValidation>
  </dataValidations>
  <hyperlinks>
    <hyperlink ref="B38" location="Historic_Benefits" display="Historic Benefits"/>
    <hyperlink ref="K37" location="Refund_of_Contribution_Calculations" display="Refund of Contribution Calculations"/>
    <hyperlink ref="K36" location="Children_s_Benefits" display="Children's Benefits"/>
    <hyperlink ref="K35" location="Death_Lump_Sums" display="Death Lump Sums"/>
    <hyperlink ref="K34" location="Additional_Cash" display="Additional Cash"/>
    <hyperlink ref="K33" location="Commutation_Residual_Pension" display="Commutation/Residual Pension"/>
    <hyperlink ref="K32" location="PCLS_Calculation" display="PCLS Calculation"/>
    <hyperlink ref="B37" location="Part_Time" display="Part Time"/>
    <hyperlink ref="B36" location="Pensionable_Service" display="Pensionable Service "/>
    <hyperlink ref="B35" location="Final_Pensionable_Salary" display="Final Pensionable Salary "/>
    <hyperlink ref="B34" location="Pensionable_Salary" display="Pensionable Salary "/>
    <hyperlink ref="B33" location="NRA" display="NRA"/>
    <hyperlink ref="B32" location="Contracted_Out" display="Contracted Out"/>
    <hyperlink ref="B25" location="Categories___Sections_of_Membership_Covered" display="Categories / Sections of Membership Covered"/>
    <hyperlink ref="B26" location="Accrued_Pension" display="Accrued Pension "/>
    <hyperlink ref="B27" location="Tranches" display="Tranches"/>
    <hyperlink ref="B28" location="Scheme_Specific_Errors___Warnings" display="Scheme Specific Errors &amp; Warnings"/>
    <hyperlink ref="B29" location="calculation_output" display="Calculation output"/>
  </hyperlinks>
  <pageMargins left="0.11811023622047245" right="0.11811023622047245" top="0.74803149606299213" bottom="0.15748031496062992" header="0.31496062992125984" footer="0.31496062992125984"/>
  <pageSetup paperSize="9" scale="60" orientation="landscape" r:id="rId2"/>
  <rowBreaks count="3" manualBreakCount="3">
    <brk id="81" max="16383" man="1"/>
    <brk id="315" max="14" man="1"/>
    <brk id="352" max="14" man="1"/>
  </rowBreaks>
  <legacyDrawing r:id="rId3"/>
</worksheet>
</file>

<file path=xl/worksheets/sheet5.xml><?xml version="1.0" encoding="utf-8"?>
<worksheet xmlns="http://schemas.openxmlformats.org/spreadsheetml/2006/main" xmlns:r="http://schemas.openxmlformats.org/officeDocument/2006/relationships">
  <sheetPr codeName="Sheet6"/>
  <dimension ref="A1:AI421"/>
  <sheetViews>
    <sheetView showGridLines="0" view="pageBreakPreview" topLeftCell="A336" zoomScale="85" zoomScaleNormal="80" zoomScaleSheetLayoutView="85" zoomScalePageLayoutView="75" workbookViewId="0">
      <selection activeCell="B377" sqref="B377"/>
    </sheetView>
  </sheetViews>
  <sheetFormatPr defaultRowHeight="15"/>
  <cols>
    <col min="1" max="1" width="2.28515625" style="360" customWidth="1"/>
    <col min="2" max="2" width="30.140625" style="18" customWidth="1"/>
    <col min="3" max="3" width="26.140625" style="18" customWidth="1"/>
    <col min="4" max="4" width="12" style="18" customWidth="1"/>
    <col min="5" max="5" width="13.85546875" style="18" customWidth="1"/>
    <col min="6" max="6" width="8.7109375" style="18" customWidth="1"/>
    <col min="7" max="7" width="11.7109375" style="356" customWidth="1"/>
    <col min="8" max="18" width="11.7109375" style="18" customWidth="1"/>
    <col min="19" max="21" width="11.7109375" style="357" customWidth="1"/>
    <col min="22" max="23" width="9.140625" style="357"/>
    <col min="24" max="24" width="13.42578125" style="357" customWidth="1"/>
    <col min="25" max="25" width="13.140625" style="357" customWidth="1"/>
    <col min="26" max="26" width="9.140625" style="357"/>
    <col min="27" max="27" width="15.42578125" style="358" customWidth="1"/>
    <col min="28" max="28" width="4.7109375" style="358" customWidth="1"/>
    <col min="29" max="30" width="8.7109375" style="18" customWidth="1"/>
    <col min="31" max="31" width="10.7109375" style="357" customWidth="1"/>
    <col min="32" max="32" width="12" style="359" customWidth="1"/>
    <col min="33" max="16384" width="9.140625" style="18"/>
  </cols>
  <sheetData>
    <row r="1" spans="1:14" ht="18.75">
      <c r="A1" s="317"/>
      <c r="B1" s="204" t="s">
        <v>21</v>
      </c>
      <c r="C1" s="209"/>
    </row>
    <row r="2" spans="1:14" ht="15" customHeight="1">
      <c r="A2" s="317"/>
      <c r="B2" s="204"/>
      <c r="C2" s="209"/>
    </row>
    <row r="3" spans="1:14" ht="15" customHeight="1">
      <c r="A3" s="317"/>
      <c r="B3" s="11" t="s">
        <v>121</v>
      </c>
      <c r="C3" s="209"/>
    </row>
    <row r="4" spans="1:14" ht="15" customHeight="1" thickBot="1">
      <c r="A4" s="317"/>
      <c r="B4" s="204"/>
      <c r="C4" s="209"/>
    </row>
    <row r="5" spans="1:14" ht="15" customHeight="1" thickBot="1">
      <c r="A5" s="317"/>
      <c r="B5" s="487" t="s">
        <v>94</v>
      </c>
      <c r="C5" s="488" t="s">
        <v>122</v>
      </c>
      <c r="D5" s="999" t="s">
        <v>163</v>
      </c>
      <c r="E5" s="999"/>
      <c r="F5" s="999" t="s">
        <v>123</v>
      </c>
      <c r="G5" s="999"/>
      <c r="H5" s="999"/>
      <c r="I5" s="1028" t="s">
        <v>738</v>
      </c>
      <c r="J5" s="1210"/>
      <c r="K5" s="1210"/>
      <c r="L5" s="1210"/>
      <c r="M5" s="1210"/>
      <c r="N5" s="1029"/>
    </row>
    <row r="6" spans="1:14" ht="15" customHeight="1">
      <c r="A6" s="317"/>
      <c r="B6" s="489"/>
      <c r="C6" s="490"/>
      <c r="D6" s="1000"/>
      <c r="E6" s="1000"/>
      <c r="F6" s="1000"/>
      <c r="G6" s="1000"/>
      <c r="H6" s="1000"/>
      <c r="I6" s="997"/>
      <c r="J6" s="1211"/>
      <c r="K6" s="1211"/>
      <c r="L6" s="1211"/>
      <c r="M6" s="1211"/>
      <c r="N6" s="998"/>
    </row>
    <row r="7" spans="1:14" ht="15" customHeight="1">
      <c r="A7" s="317"/>
      <c r="B7" s="491"/>
      <c r="C7" s="468"/>
      <c r="D7" s="1022"/>
      <c r="E7" s="1022"/>
      <c r="F7" s="1022"/>
      <c r="G7" s="1022"/>
      <c r="H7" s="1022"/>
      <c r="I7" s="1023"/>
      <c r="J7" s="1038"/>
      <c r="K7" s="1038"/>
      <c r="L7" s="1038"/>
      <c r="M7" s="1038"/>
      <c r="N7" s="1024"/>
    </row>
    <row r="8" spans="1:14" ht="15" customHeight="1">
      <c r="A8" s="317"/>
      <c r="B8" s="491"/>
      <c r="C8" s="468"/>
      <c r="D8" s="1022"/>
      <c r="E8" s="1022"/>
      <c r="F8" s="1022"/>
      <c r="G8" s="1022"/>
      <c r="H8" s="1022"/>
      <c r="I8" s="1023"/>
      <c r="J8" s="1038"/>
      <c r="K8" s="1038"/>
      <c r="L8" s="1038"/>
      <c r="M8" s="1038"/>
      <c r="N8" s="1024"/>
    </row>
    <row r="9" spans="1:14" ht="15" customHeight="1">
      <c r="A9" s="317"/>
      <c r="B9" s="491"/>
      <c r="C9" s="468"/>
      <c r="D9" s="1022"/>
      <c r="E9" s="1022"/>
      <c r="F9" s="1022"/>
      <c r="G9" s="1022"/>
      <c r="H9" s="1022"/>
      <c r="I9" s="1023"/>
      <c r="J9" s="1038"/>
      <c r="K9" s="1038"/>
      <c r="L9" s="1038"/>
      <c r="M9" s="1038"/>
      <c r="N9" s="1024"/>
    </row>
    <row r="10" spans="1:14" ht="15" customHeight="1">
      <c r="A10" s="317"/>
      <c r="B10" s="491"/>
      <c r="C10" s="468"/>
      <c r="D10" s="1022"/>
      <c r="E10" s="1022"/>
      <c r="F10" s="1022"/>
      <c r="G10" s="1022"/>
      <c r="H10" s="1022"/>
      <c r="I10" s="1023"/>
      <c r="J10" s="1038"/>
      <c r="K10" s="1038"/>
      <c r="L10" s="1038"/>
      <c r="M10" s="1038"/>
      <c r="N10" s="1024"/>
    </row>
    <row r="11" spans="1:14" ht="15" customHeight="1">
      <c r="A11" s="317"/>
      <c r="B11" s="491"/>
      <c r="C11" s="468"/>
      <c r="D11" s="1022"/>
      <c r="E11" s="1022"/>
      <c r="F11" s="1022"/>
      <c r="G11" s="1022"/>
      <c r="H11" s="1022"/>
      <c r="I11" s="1023"/>
      <c r="J11" s="1038"/>
      <c r="K11" s="1038"/>
      <c r="L11" s="1038"/>
      <c r="M11" s="1038"/>
      <c r="N11" s="1024"/>
    </row>
    <row r="12" spans="1:14" ht="15" customHeight="1">
      <c r="A12" s="317"/>
      <c r="B12" s="491"/>
      <c r="C12" s="468"/>
      <c r="D12" s="1022"/>
      <c r="E12" s="1022"/>
      <c r="F12" s="1022"/>
      <c r="G12" s="1022"/>
      <c r="H12" s="1022"/>
      <c r="I12" s="1023"/>
      <c r="J12" s="1038"/>
      <c r="K12" s="1038"/>
      <c r="L12" s="1038"/>
      <c r="M12" s="1038"/>
      <c r="N12" s="1024"/>
    </row>
    <row r="13" spans="1:14" ht="15" customHeight="1">
      <c r="A13" s="317"/>
      <c r="B13" s="491"/>
      <c r="C13" s="468"/>
      <c r="D13" s="1022"/>
      <c r="E13" s="1022"/>
      <c r="F13" s="1022"/>
      <c r="G13" s="1022"/>
      <c r="H13" s="1022"/>
      <c r="I13" s="1023"/>
      <c r="J13" s="1038"/>
      <c r="K13" s="1038"/>
      <c r="L13" s="1038"/>
      <c r="M13" s="1038"/>
      <c r="N13" s="1024"/>
    </row>
    <row r="14" spans="1:14" ht="15" customHeight="1">
      <c r="A14" s="317"/>
      <c r="B14" s="491"/>
      <c r="C14" s="468"/>
      <c r="D14" s="1022"/>
      <c r="E14" s="1022"/>
      <c r="F14" s="1022"/>
      <c r="G14" s="1022"/>
      <c r="H14" s="1022"/>
      <c r="I14" s="1023"/>
      <c r="J14" s="1038"/>
      <c r="K14" s="1038"/>
      <c r="L14" s="1038"/>
      <c r="M14" s="1038"/>
      <c r="N14" s="1024"/>
    </row>
    <row r="15" spans="1:14" ht="15" customHeight="1">
      <c r="A15" s="317"/>
      <c r="B15" s="491"/>
      <c r="C15" s="468"/>
      <c r="D15" s="1022"/>
      <c r="E15" s="1022"/>
      <c r="F15" s="1022"/>
      <c r="G15" s="1022"/>
      <c r="H15" s="1022"/>
      <c r="I15" s="1023"/>
      <c r="J15" s="1038"/>
      <c r="K15" s="1038"/>
      <c r="L15" s="1038"/>
      <c r="M15" s="1038"/>
      <c r="N15" s="1024"/>
    </row>
    <row r="16" spans="1:14" ht="15" customHeight="1">
      <c r="A16" s="317"/>
      <c r="B16" s="491"/>
      <c r="C16" s="468"/>
      <c r="D16" s="1022"/>
      <c r="E16" s="1022"/>
      <c r="F16" s="1022"/>
      <c r="G16" s="1022"/>
      <c r="H16" s="1022"/>
      <c r="I16" s="1023"/>
      <c r="J16" s="1038"/>
      <c r="K16" s="1038"/>
      <c r="L16" s="1038"/>
      <c r="M16" s="1038"/>
      <c r="N16" s="1024"/>
    </row>
    <row r="17" spans="1:32" ht="15" customHeight="1">
      <c r="A17" s="317"/>
      <c r="B17" s="491"/>
      <c r="C17" s="468"/>
      <c r="D17" s="1022"/>
      <c r="E17" s="1022"/>
      <c r="F17" s="1022"/>
      <c r="G17" s="1022"/>
      <c r="H17" s="1022"/>
      <c r="I17" s="1023"/>
      <c r="J17" s="1038"/>
      <c r="K17" s="1038"/>
      <c r="L17" s="1038"/>
      <c r="M17" s="1038"/>
      <c r="N17" s="1024"/>
    </row>
    <row r="18" spans="1:32" ht="15" customHeight="1">
      <c r="A18" s="317"/>
      <c r="B18" s="491"/>
      <c r="C18" s="468"/>
      <c r="D18" s="1022"/>
      <c r="E18" s="1022"/>
      <c r="F18" s="1022"/>
      <c r="G18" s="1022"/>
      <c r="H18" s="1022"/>
      <c r="I18" s="1023"/>
      <c r="J18" s="1038"/>
      <c r="K18" s="1038"/>
      <c r="L18" s="1038"/>
      <c r="M18" s="1038"/>
      <c r="N18" s="1024"/>
    </row>
    <row r="19" spans="1:32" ht="15" customHeight="1">
      <c r="A19" s="317"/>
      <c r="B19" s="491"/>
      <c r="C19" s="468"/>
      <c r="D19" s="1022"/>
      <c r="E19" s="1022"/>
      <c r="F19" s="1022"/>
      <c r="G19" s="1022"/>
      <c r="H19" s="1022"/>
      <c r="I19" s="1023"/>
      <c r="J19" s="1038"/>
      <c r="K19" s="1038"/>
      <c r="L19" s="1038"/>
      <c r="M19" s="1038"/>
      <c r="N19" s="1024"/>
    </row>
    <row r="20" spans="1:32" ht="15" customHeight="1">
      <c r="A20" s="317"/>
      <c r="B20" s="491"/>
      <c r="C20" s="468"/>
      <c r="D20" s="1022"/>
      <c r="E20" s="1022"/>
      <c r="F20" s="1022"/>
      <c r="G20" s="1022"/>
      <c r="H20" s="1022"/>
      <c r="I20" s="1023"/>
      <c r="J20" s="1038"/>
      <c r="K20" s="1038"/>
      <c r="L20" s="1038"/>
      <c r="M20" s="1038"/>
      <c r="N20" s="1024"/>
    </row>
    <row r="21" spans="1:32" ht="15" customHeight="1">
      <c r="A21" s="317"/>
      <c r="B21" s="491"/>
      <c r="C21" s="468"/>
      <c r="D21" s="1022"/>
      <c r="E21" s="1022"/>
      <c r="F21" s="1022"/>
      <c r="G21" s="1022"/>
      <c r="H21" s="1022"/>
      <c r="I21" s="1023"/>
      <c r="J21" s="1038"/>
      <c r="K21" s="1038"/>
      <c r="L21" s="1038"/>
      <c r="M21" s="1038"/>
      <c r="N21" s="1024"/>
    </row>
    <row r="22" spans="1:32" ht="15" customHeight="1" thickBot="1">
      <c r="A22" s="317"/>
      <c r="B22" s="492"/>
      <c r="C22" s="470"/>
      <c r="D22" s="1025"/>
      <c r="E22" s="1025"/>
      <c r="F22" s="1025"/>
      <c r="G22" s="1025"/>
      <c r="H22" s="1025"/>
      <c r="I22" s="1026"/>
      <c r="J22" s="1209"/>
      <c r="K22" s="1209"/>
      <c r="L22" s="1209"/>
      <c r="M22" s="1209"/>
      <c r="N22" s="1027"/>
    </row>
    <row r="23" spans="1:32" s="434" customFormat="1" ht="15" customHeight="1">
      <c r="A23" s="554"/>
      <c r="B23" s="493"/>
      <c r="C23" s="467"/>
      <c r="D23" s="494"/>
      <c r="E23" s="494"/>
      <c r="F23" s="494"/>
      <c r="G23" s="494"/>
      <c r="H23" s="494"/>
      <c r="I23" s="494"/>
      <c r="J23" s="494"/>
      <c r="K23" s="494"/>
      <c r="L23" s="494"/>
      <c r="M23" s="494"/>
      <c r="N23" s="494"/>
      <c r="S23" s="364"/>
      <c r="T23" s="364"/>
      <c r="U23" s="364"/>
      <c r="V23" s="364"/>
      <c r="W23" s="364"/>
      <c r="X23" s="364"/>
      <c r="Y23" s="364"/>
      <c r="Z23" s="364"/>
      <c r="AA23" s="555"/>
      <c r="AB23" s="555"/>
      <c r="AE23" s="364"/>
      <c r="AF23" s="556"/>
    </row>
    <row r="24" spans="1:32" s="434" customFormat="1" ht="15" customHeight="1">
      <c r="A24" s="554"/>
      <c r="B24" s="982" t="s">
        <v>872</v>
      </c>
      <c r="C24" s="982"/>
      <c r="D24" s="982"/>
      <c r="E24" s="982"/>
      <c r="F24" s="982"/>
      <c r="G24" s="982"/>
      <c r="H24" s="982"/>
      <c r="I24" s="982"/>
      <c r="J24" s="982"/>
      <c r="K24" s="982"/>
      <c r="L24" s="982"/>
      <c r="M24" s="982"/>
      <c r="N24" s="982"/>
      <c r="S24" s="364"/>
      <c r="T24" s="364"/>
      <c r="U24" s="364"/>
      <c r="V24" s="364"/>
      <c r="W24" s="364"/>
      <c r="X24" s="364"/>
      <c r="Y24" s="364"/>
      <c r="Z24" s="364"/>
      <c r="AA24" s="555"/>
      <c r="AB24" s="555"/>
      <c r="AE24" s="364"/>
      <c r="AF24" s="556"/>
    </row>
    <row r="25" spans="1:32" s="226" customFormat="1" ht="15" customHeight="1">
      <c r="A25" s="235"/>
      <c r="B25" s="549" t="s">
        <v>125</v>
      </c>
      <c r="C25" s="503"/>
      <c r="D25" s="503"/>
      <c r="E25" s="503"/>
      <c r="F25" s="503"/>
      <c r="G25" s="503"/>
      <c r="H25" s="503"/>
      <c r="I25" s="503"/>
      <c r="J25" s="630"/>
      <c r="K25" s="630"/>
      <c r="L25" s="630"/>
      <c r="M25" s="630"/>
      <c r="N25" s="503"/>
      <c r="S25" s="267"/>
      <c r="T25" s="267"/>
      <c r="U25" s="267"/>
      <c r="V25" s="267"/>
      <c r="W25" s="267"/>
      <c r="X25" s="267"/>
      <c r="Y25" s="267"/>
      <c r="Z25" s="267"/>
      <c r="AA25" s="559"/>
      <c r="AB25" s="559"/>
      <c r="AE25" s="267"/>
      <c r="AF25" s="277"/>
    </row>
    <row r="26" spans="1:32" s="226" customFormat="1" ht="15" customHeight="1">
      <c r="A26" s="235"/>
      <c r="B26" s="549" t="s">
        <v>13</v>
      </c>
      <c r="C26" s="503"/>
      <c r="D26" s="503"/>
      <c r="E26" s="503"/>
      <c r="F26" s="503"/>
      <c r="G26" s="503"/>
      <c r="H26" s="503"/>
      <c r="I26" s="503"/>
      <c r="J26" s="630"/>
      <c r="K26" s="630"/>
      <c r="L26" s="630"/>
      <c r="M26" s="630"/>
      <c r="N26" s="503"/>
      <c r="S26" s="267"/>
      <c r="T26" s="267"/>
      <c r="U26" s="267"/>
      <c r="V26" s="267"/>
      <c r="W26" s="267"/>
      <c r="X26" s="267"/>
      <c r="Y26" s="267"/>
      <c r="Z26" s="267"/>
      <c r="AA26" s="559"/>
      <c r="AB26" s="559"/>
      <c r="AE26" s="267"/>
      <c r="AF26" s="277"/>
    </row>
    <row r="27" spans="1:32" s="226" customFormat="1" ht="15" customHeight="1">
      <c r="A27" s="235"/>
      <c r="B27" s="549" t="s">
        <v>145</v>
      </c>
      <c r="C27" s="503"/>
      <c r="D27" s="503"/>
      <c r="E27" s="503"/>
      <c r="F27" s="503"/>
      <c r="G27" s="503"/>
      <c r="H27" s="503"/>
      <c r="I27" s="503"/>
      <c r="J27" s="630"/>
      <c r="K27" s="630"/>
      <c r="L27" s="630"/>
      <c r="M27" s="630"/>
      <c r="N27" s="503"/>
      <c r="S27" s="267"/>
      <c r="T27" s="267"/>
      <c r="U27" s="267"/>
      <c r="V27" s="267"/>
      <c r="W27" s="267"/>
      <c r="X27" s="267"/>
      <c r="Y27" s="267"/>
      <c r="Z27" s="267"/>
      <c r="AA27" s="559"/>
      <c r="AB27" s="559"/>
      <c r="AE27" s="267"/>
      <c r="AF27" s="277"/>
    </row>
    <row r="28" spans="1:32" s="226" customFormat="1" ht="15" customHeight="1">
      <c r="A28" s="235"/>
      <c r="B28" s="549" t="s">
        <v>890</v>
      </c>
      <c r="C28" s="505"/>
      <c r="D28" s="505"/>
      <c r="E28" s="505"/>
      <c r="F28" s="505"/>
      <c r="G28" s="505"/>
      <c r="H28" s="505"/>
      <c r="I28" s="505"/>
      <c r="J28" s="630"/>
      <c r="K28" s="630"/>
      <c r="L28" s="630"/>
      <c r="M28" s="630"/>
      <c r="N28" s="505"/>
      <c r="S28" s="267"/>
      <c r="T28" s="267"/>
      <c r="U28" s="267"/>
      <c r="V28" s="267"/>
      <c r="W28" s="267"/>
      <c r="X28" s="267"/>
      <c r="Y28" s="267"/>
      <c r="Z28" s="267"/>
      <c r="AA28" s="559"/>
      <c r="AB28" s="559"/>
      <c r="AE28" s="267"/>
      <c r="AF28" s="277"/>
    </row>
    <row r="29" spans="1:32" s="226" customFormat="1" ht="15" customHeight="1">
      <c r="A29" s="235"/>
      <c r="B29" s="549" t="s">
        <v>210</v>
      </c>
      <c r="C29" s="503"/>
      <c r="D29" s="503"/>
      <c r="E29" s="503"/>
      <c r="F29" s="503"/>
      <c r="G29" s="503"/>
      <c r="H29" s="503"/>
      <c r="I29" s="503"/>
      <c r="J29" s="630"/>
      <c r="K29" s="630"/>
      <c r="L29" s="630"/>
      <c r="M29" s="630"/>
      <c r="N29" s="503"/>
      <c r="S29" s="267"/>
      <c r="T29" s="267"/>
      <c r="U29" s="267"/>
      <c r="V29" s="267"/>
      <c r="W29" s="267"/>
      <c r="X29" s="267"/>
      <c r="Y29" s="267"/>
      <c r="Z29" s="267"/>
      <c r="AA29" s="559"/>
      <c r="AB29" s="559"/>
      <c r="AE29" s="267"/>
      <c r="AF29" s="277"/>
    </row>
    <row r="30" spans="1:32" s="226" customFormat="1" ht="15" customHeight="1">
      <c r="A30" s="235"/>
      <c r="B30" s="551" t="s">
        <v>143</v>
      </c>
      <c r="C30" s="503"/>
      <c r="D30" s="503"/>
      <c r="E30" s="503"/>
      <c r="F30" s="503"/>
      <c r="G30" s="503"/>
      <c r="H30" s="503"/>
      <c r="I30" s="503"/>
      <c r="J30" s="630"/>
      <c r="K30" s="630"/>
      <c r="L30" s="630"/>
      <c r="M30" s="630"/>
      <c r="N30" s="503"/>
      <c r="S30" s="267"/>
      <c r="T30" s="267"/>
      <c r="U30" s="267"/>
      <c r="V30" s="267"/>
      <c r="W30" s="267"/>
      <c r="X30" s="267"/>
      <c r="Y30" s="267"/>
      <c r="Z30" s="267"/>
      <c r="AA30" s="559"/>
      <c r="AB30" s="559"/>
      <c r="AE30" s="267"/>
      <c r="AF30" s="277"/>
    </row>
    <row r="31" spans="1:32" s="434" customFormat="1" ht="15" customHeight="1">
      <c r="A31" s="554"/>
      <c r="B31" s="503"/>
      <c r="C31" s="503"/>
      <c r="D31" s="503"/>
      <c r="E31" s="503"/>
      <c r="F31" s="503"/>
      <c r="G31" s="503"/>
      <c r="H31" s="503"/>
      <c r="I31" s="503"/>
      <c r="J31" s="630"/>
      <c r="K31" s="630"/>
      <c r="L31" s="630"/>
      <c r="M31" s="630"/>
      <c r="N31" s="503"/>
      <c r="S31" s="364"/>
      <c r="T31" s="364"/>
      <c r="U31" s="364"/>
      <c r="V31" s="364"/>
      <c r="W31" s="364"/>
      <c r="X31" s="364"/>
      <c r="Y31" s="364"/>
      <c r="Z31" s="364"/>
      <c r="AA31" s="555"/>
      <c r="AB31" s="555"/>
      <c r="AE31" s="364"/>
      <c r="AF31" s="556"/>
    </row>
    <row r="32" spans="1:32" s="434" customFormat="1" ht="15" customHeight="1">
      <c r="A32" s="554"/>
      <c r="B32" s="982" t="s">
        <v>870</v>
      </c>
      <c r="C32" s="982"/>
      <c r="D32" s="982"/>
      <c r="E32" s="982"/>
      <c r="F32" s="982"/>
      <c r="G32" s="982"/>
      <c r="H32" s="982"/>
      <c r="I32" s="982"/>
      <c r="J32" s="982"/>
      <c r="K32" s="982"/>
      <c r="L32" s="982"/>
      <c r="M32" s="982"/>
      <c r="N32" s="982"/>
      <c r="S32" s="364"/>
      <c r="T32" s="364"/>
      <c r="U32" s="364"/>
      <c r="V32" s="364"/>
      <c r="W32" s="364"/>
      <c r="X32" s="364"/>
      <c r="Y32" s="364"/>
      <c r="Z32" s="364"/>
      <c r="AA32" s="555"/>
      <c r="AB32" s="555"/>
      <c r="AE32" s="364"/>
      <c r="AF32" s="556"/>
    </row>
    <row r="33" spans="1:32" s="434" customFormat="1" ht="15" customHeight="1">
      <c r="A33" s="554"/>
      <c r="B33" s="549" t="s">
        <v>14</v>
      </c>
      <c r="C33" s="546"/>
      <c r="D33" s="547"/>
      <c r="E33" s="547"/>
      <c r="F33" s="547"/>
      <c r="G33" s="553" t="s">
        <v>132</v>
      </c>
      <c r="H33" s="325"/>
      <c r="I33" s="325"/>
      <c r="J33" s="325"/>
      <c r="K33" s="325"/>
      <c r="L33" s="325"/>
      <c r="M33" s="325"/>
      <c r="N33" s="325"/>
      <c r="S33" s="364"/>
      <c r="T33" s="364"/>
      <c r="U33" s="364"/>
      <c r="V33" s="364"/>
      <c r="W33" s="364"/>
      <c r="X33" s="364"/>
      <c r="Y33" s="364"/>
      <c r="Z33" s="364"/>
      <c r="AA33" s="555"/>
      <c r="AB33" s="555"/>
      <c r="AE33" s="364"/>
      <c r="AF33" s="556"/>
    </row>
    <row r="34" spans="1:32" s="434" customFormat="1" ht="15" customHeight="1">
      <c r="A34" s="554"/>
      <c r="B34" s="550" t="s">
        <v>22</v>
      </c>
      <c r="C34" s="546"/>
      <c r="D34" s="547"/>
      <c r="E34" s="547"/>
      <c r="F34" s="547"/>
      <c r="G34" s="549" t="s">
        <v>865</v>
      </c>
      <c r="H34" s="325"/>
      <c r="I34" s="325"/>
      <c r="J34" s="325"/>
      <c r="K34" s="325"/>
      <c r="L34" s="325"/>
      <c r="M34" s="325"/>
      <c r="N34" s="325"/>
      <c r="S34" s="364"/>
      <c r="T34" s="364"/>
      <c r="U34" s="364"/>
      <c r="V34" s="364"/>
      <c r="W34" s="364"/>
      <c r="X34" s="364"/>
      <c r="Y34" s="364"/>
      <c r="Z34" s="364"/>
      <c r="AA34" s="555"/>
      <c r="AB34" s="555"/>
      <c r="AE34" s="364"/>
      <c r="AF34" s="556"/>
    </row>
    <row r="35" spans="1:32" s="434" customFormat="1" ht="15" customHeight="1">
      <c r="A35" s="554"/>
      <c r="B35" s="550" t="s">
        <v>16</v>
      </c>
      <c r="C35" s="546"/>
      <c r="D35" s="547"/>
      <c r="E35" s="547"/>
      <c r="F35" s="547"/>
      <c r="G35" s="549" t="s">
        <v>681</v>
      </c>
      <c r="H35" s="325"/>
      <c r="I35" s="325"/>
      <c r="J35" s="325"/>
      <c r="K35" s="325"/>
      <c r="L35" s="325"/>
      <c r="M35" s="325"/>
      <c r="N35" s="325"/>
      <c r="S35" s="364"/>
      <c r="T35" s="364"/>
      <c r="U35" s="364"/>
      <c r="V35" s="364"/>
      <c r="W35" s="364"/>
      <c r="X35" s="364"/>
      <c r="Y35" s="364"/>
      <c r="Z35" s="364"/>
      <c r="AA35" s="555"/>
      <c r="AB35" s="555"/>
      <c r="AE35" s="364"/>
      <c r="AF35" s="556"/>
    </row>
    <row r="36" spans="1:32" s="434" customFormat="1" ht="15" customHeight="1">
      <c r="A36" s="554"/>
      <c r="B36" s="551" t="s">
        <v>864</v>
      </c>
      <c r="C36" s="546"/>
      <c r="D36" s="547"/>
      <c r="E36" s="547"/>
      <c r="F36" s="547"/>
      <c r="G36" s="549" t="s">
        <v>7</v>
      </c>
      <c r="H36" s="325"/>
      <c r="I36" s="325"/>
      <c r="J36" s="325"/>
      <c r="K36" s="325"/>
      <c r="L36" s="325"/>
      <c r="M36" s="325"/>
      <c r="N36" s="325"/>
      <c r="S36" s="364"/>
      <c r="T36" s="364"/>
      <c r="U36" s="364"/>
      <c r="V36" s="364"/>
      <c r="W36" s="364"/>
      <c r="X36" s="364"/>
      <c r="Y36" s="364"/>
      <c r="Z36" s="364"/>
      <c r="AA36" s="555"/>
      <c r="AB36" s="555"/>
      <c r="AE36" s="364"/>
      <c r="AF36" s="556"/>
    </row>
    <row r="37" spans="1:32" s="434" customFormat="1" ht="15" customHeight="1">
      <c r="A37" s="554"/>
      <c r="B37" s="552" t="s">
        <v>206</v>
      </c>
      <c r="C37" s="546"/>
      <c r="D37" s="547"/>
      <c r="E37" s="547"/>
      <c r="F37" s="547"/>
      <c r="G37" s="549" t="s">
        <v>8</v>
      </c>
      <c r="H37" s="325"/>
      <c r="I37" s="325"/>
      <c r="J37" s="325"/>
      <c r="K37" s="325"/>
      <c r="L37" s="325"/>
      <c r="M37" s="325"/>
      <c r="N37" s="325"/>
      <c r="S37" s="364"/>
      <c r="T37" s="364"/>
      <c r="U37" s="364"/>
      <c r="V37" s="364"/>
      <c r="W37" s="364"/>
      <c r="X37" s="364"/>
      <c r="Y37" s="364"/>
      <c r="Z37" s="364"/>
      <c r="AA37" s="555"/>
      <c r="AB37" s="555"/>
      <c r="AE37" s="364"/>
      <c r="AF37" s="556"/>
    </row>
    <row r="38" spans="1:32" s="434" customFormat="1" ht="15" customHeight="1">
      <c r="A38" s="554"/>
      <c r="B38" s="549" t="s">
        <v>866</v>
      </c>
      <c r="C38" s="546"/>
      <c r="D38" s="547"/>
      <c r="E38" s="547"/>
      <c r="F38" s="547"/>
      <c r="G38" s="549" t="s">
        <v>215</v>
      </c>
      <c r="H38" s="325"/>
      <c r="I38" s="325"/>
      <c r="J38" s="325"/>
      <c r="K38" s="325"/>
      <c r="L38" s="325"/>
      <c r="M38" s="325"/>
      <c r="N38" s="325"/>
      <c r="S38" s="364"/>
      <c r="T38" s="364"/>
      <c r="U38" s="364"/>
      <c r="V38" s="364"/>
      <c r="W38" s="364"/>
      <c r="X38" s="364"/>
      <c r="Y38" s="364"/>
      <c r="Z38" s="364"/>
      <c r="AA38" s="555"/>
      <c r="AB38" s="555"/>
      <c r="AE38" s="364"/>
      <c r="AF38" s="556"/>
    </row>
    <row r="39" spans="1:32" s="434" customFormat="1" ht="15" customHeight="1">
      <c r="A39" s="554"/>
      <c r="B39" s="549" t="s">
        <v>33</v>
      </c>
      <c r="C39" s="546"/>
      <c r="D39" s="547"/>
      <c r="E39" s="547"/>
      <c r="F39" s="547"/>
      <c r="G39" s="549" t="s">
        <v>597</v>
      </c>
      <c r="H39" s="325"/>
      <c r="I39" s="325"/>
      <c r="J39" s="325"/>
      <c r="K39" s="325"/>
      <c r="L39" s="325"/>
      <c r="M39" s="325"/>
      <c r="N39" s="325"/>
      <c r="S39" s="364"/>
      <c r="T39" s="364"/>
      <c r="U39" s="364"/>
      <c r="V39" s="364"/>
      <c r="W39" s="364"/>
      <c r="X39" s="364"/>
      <c r="Y39" s="364"/>
      <c r="Z39" s="364"/>
      <c r="AA39" s="555"/>
      <c r="AB39" s="555"/>
      <c r="AE39" s="364"/>
      <c r="AF39" s="556"/>
    </row>
    <row r="40" spans="1:32" s="434" customFormat="1" ht="15" customHeight="1">
      <c r="A40" s="554"/>
      <c r="B40" s="549" t="s">
        <v>3</v>
      </c>
      <c r="C40" s="546"/>
      <c r="D40" s="547"/>
      <c r="E40" s="547"/>
      <c r="F40" s="547"/>
      <c r="H40" s="494"/>
      <c r="I40" s="494"/>
      <c r="J40" s="494"/>
      <c r="K40" s="494"/>
      <c r="L40" s="494"/>
      <c r="M40" s="494"/>
      <c r="N40" s="494"/>
      <c r="S40" s="364"/>
      <c r="T40" s="364"/>
      <c r="U40" s="364"/>
      <c r="V40" s="364"/>
      <c r="W40" s="364"/>
      <c r="X40" s="364"/>
      <c r="Y40" s="364"/>
      <c r="Z40" s="364"/>
      <c r="AA40" s="555"/>
      <c r="AB40" s="555"/>
      <c r="AE40" s="364"/>
      <c r="AF40" s="556"/>
    </row>
    <row r="41" spans="1:32" s="434" customFormat="1" ht="15" customHeight="1">
      <c r="A41" s="554"/>
      <c r="C41" s="546"/>
      <c r="D41" s="547"/>
      <c r="E41" s="547"/>
      <c r="F41" s="547"/>
      <c r="G41" s="549"/>
      <c r="H41" s="494"/>
      <c r="I41" s="494"/>
      <c r="J41" s="494"/>
      <c r="K41" s="494"/>
      <c r="L41" s="494"/>
      <c r="M41" s="494"/>
      <c r="N41" s="494"/>
      <c r="S41" s="364"/>
      <c r="T41" s="364"/>
      <c r="U41" s="364"/>
      <c r="V41" s="364"/>
      <c r="W41" s="364"/>
      <c r="X41" s="364"/>
      <c r="Y41" s="364"/>
      <c r="Z41" s="364"/>
      <c r="AA41" s="555"/>
      <c r="AB41" s="555"/>
      <c r="AE41" s="364"/>
      <c r="AF41" s="556"/>
    </row>
    <row r="42" spans="1:32">
      <c r="A42" s="210"/>
      <c r="B42" s="211" t="s">
        <v>125</v>
      </c>
      <c r="C42" s="222"/>
      <c r="D42" s="222"/>
      <c r="E42" s="222"/>
      <c r="F42" s="222"/>
      <c r="G42" s="361"/>
      <c r="H42" s="362"/>
      <c r="I42" s="362"/>
      <c r="J42" s="362"/>
      <c r="K42" s="362"/>
      <c r="L42" s="362"/>
      <c r="M42" s="362"/>
      <c r="N42" s="362"/>
      <c r="O42" s="362"/>
      <c r="P42" s="362"/>
      <c r="Q42" s="362"/>
      <c r="R42" s="362"/>
      <c r="S42" s="363"/>
      <c r="T42" s="363"/>
      <c r="U42" s="363"/>
      <c r="V42" s="364"/>
      <c r="W42" s="364"/>
    </row>
    <row r="43" spans="1:32" ht="15.75" thickBot="1"/>
    <row r="44" spans="1:32" s="208" customFormat="1" ht="13.5" customHeight="1" thickBot="1">
      <c r="A44" s="217"/>
      <c r="B44" s="1201" t="s">
        <v>36</v>
      </c>
      <c r="C44" s="1202"/>
      <c r="D44" s="1202"/>
      <c r="E44" s="1202"/>
      <c r="F44" s="1202"/>
      <c r="G44" s="1202"/>
      <c r="H44" s="1202" t="s">
        <v>37</v>
      </c>
      <c r="I44" s="1202"/>
      <c r="J44" s="1202"/>
      <c r="K44" s="1202"/>
      <c r="L44" s="1202"/>
      <c r="M44" s="1202"/>
      <c r="N44" s="1202"/>
      <c r="O44" s="1202"/>
      <c r="P44" s="1202"/>
      <c r="Q44" s="1212"/>
      <c r="S44" s="365"/>
      <c r="T44" s="365"/>
      <c r="U44" s="365"/>
      <c r="V44" s="365"/>
      <c r="W44" s="365"/>
      <c r="X44" s="365"/>
      <c r="Y44" s="365"/>
      <c r="Z44" s="365"/>
      <c r="AA44" s="336"/>
      <c r="AB44" s="336"/>
      <c r="AE44" s="365"/>
      <c r="AF44" s="337"/>
    </row>
    <row r="45" spans="1:32" s="208" customFormat="1" ht="15" customHeight="1">
      <c r="A45" s="217"/>
      <c r="B45" s="1203"/>
      <c r="C45" s="1204"/>
      <c r="D45" s="1204"/>
      <c r="E45" s="1204"/>
      <c r="F45" s="1204"/>
      <c r="G45" s="1205"/>
      <c r="H45" s="1206"/>
      <c r="I45" s="1207"/>
      <c r="J45" s="1207"/>
      <c r="K45" s="1207"/>
      <c r="L45" s="1207"/>
      <c r="M45" s="1207"/>
      <c r="N45" s="1207"/>
      <c r="O45" s="1207"/>
      <c r="P45" s="1207"/>
      <c r="Q45" s="1208"/>
      <c r="S45" s="365"/>
      <c r="T45" s="365"/>
      <c r="U45" s="365"/>
      <c r="V45" s="365"/>
      <c r="W45" s="365"/>
      <c r="X45" s="365"/>
      <c r="Y45" s="365"/>
      <c r="Z45" s="365"/>
      <c r="AA45" s="336"/>
      <c r="AB45" s="336"/>
      <c r="AE45" s="365"/>
      <c r="AF45" s="337"/>
    </row>
    <row r="46" spans="1:32" s="208" customFormat="1" ht="12.75" customHeight="1">
      <c r="A46" s="217"/>
      <c r="B46" s="1137"/>
      <c r="C46" s="1138"/>
      <c r="D46" s="1138"/>
      <c r="E46" s="1138"/>
      <c r="F46" s="1138"/>
      <c r="G46" s="1139"/>
      <c r="H46" s="1183"/>
      <c r="I46" s="1184"/>
      <c r="J46" s="1184"/>
      <c r="K46" s="1184"/>
      <c r="L46" s="1184"/>
      <c r="M46" s="1184"/>
      <c r="N46" s="1184"/>
      <c r="O46" s="1184"/>
      <c r="P46" s="1184"/>
      <c r="Q46" s="1185"/>
      <c r="S46" s="365"/>
      <c r="T46" s="365"/>
      <c r="U46" s="365"/>
      <c r="V46" s="365"/>
      <c r="W46" s="365"/>
      <c r="X46" s="365"/>
      <c r="Y46" s="365"/>
      <c r="Z46" s="365"/>
      <c r="AA46" s="336"/>
      <c r="AB46" s="336"/>
      <c r="AE46" s="365"/>
      <c r="AF46" s="337"/>
    </row>
    <row r="47" spans="1:32" s="208" customFormat="1" ht="12.75" customHeight="1">
      <c r="A47" s="217"/>
      <c r="B47" s="1137"/>
      <c r="C47" s="1138"/>
      <c r="D47" s="1138"/>
      <c r="E47" s="1138"/>
      <c r="F47" s="1138"/>
      <c r="G47" s="1139"/>
      <c r="H47" s="1183"/>
      <c r="I47" s="1184"/>
      <c r="J47" s="1184"/>
      <c r="K47" s="1184"/>
      <c r="L47" s="1184"/>
      <c r="M47" s="1184"/>
      <c r="N47" s="1184"/>
      <c r="O47" s="1184"/>
      <c r="P47" s="1184"/>
      <c r="Q47" s="1185"/>
      <c r="S47" s="365"/>
      <c r="T47" s="365"/>
      <c r="U47" s="365"/>
      <c r="V47" s="365"/>
      <c r="W47" s="365"/>
      <c r="X47" s="365"/>
      <c r="Y47" s="365"/>
      <c r="Z47" s="365"/>
      <c r="AA47" s="336"/>
      <c r="AB47" s="336"/>
      <c r="AE47" s="365"/>
      <c r="AF47" s="337"/>
    </row>
    <row r="48" spans="1:32" s="208" customFormat="1" ht="12.75">
      <c r="A48" s="217"/>
      <c r="B48" s="1137"/>
      <c r="C48" s="1138"/>
      <c r="D48" s="1138"/>
      <c r="E48" s="1138"/>
      <c r="F48" s="1138"/>
      <c r="G48" s="1139"/>
      <c r="H48" s="1183"/>
      <c r="I48" s="1184"/>
      <c r="J48" s="1184"/>
      <c r="K48" s="1184"/>
      <c r="L48" s="1184"/>
      <c r="M48" s="1184"/>
      <c r="N48" s="1184"/>
      <c r="O48" s="1184"/>
      <c r="P48" s="1184"/>
      <c r="Q48" s="1185"/>
      <c r="S48" s="365"/>
      <c r="T48" s="365"/>
      <c r="U48" s="365"/>
      <c r="V48" s="365"/>
      <c r="W48" s="365"/>
      <c r="X48" s="365"/>
      <c r="Y48" s="365"/>
      <c r="Z48" s="365"/>
      <c r="AA48" s="336"/>
      <c r="AB48" s="336"/>
      <c r="AE48" s="365"/>
      <c r="AF48" s="337"/>
    </row>
    <row r="49" spans="1:32" s="208" customFormat="1" ht="12.75">
      <c r="A49" s="217"/>
      <c r="B49" s="1137"/>
      <c r="C49" s="1138"/>
      <c r="D49" s="1138"/>
      <c r="E49" s="1138"/>
      <c r="F49" s="1138"/>
      <c r="G49" s="1139"/>
      <c r="H49" s="1179"/>
      <c r="I49" s="1179"/>
      <c r="J49" s="1179"/>
      <c r="K49" s="1179"/>
      <c r="L49" s="1179"/>
      <c r="M49" s="1179"/>
      <c r="N49" s="1179"/>
      <c r="O49" s="1179"/>
      <c r="P49" s="1179"/>
      <c r="Q49" s="1182"/>
      <c r="S49" s="365"/>
      <c r="T49" s="365"/>
      <c r="U49" s="365"/>
      <c r="V49" s="365"/>
      <c r="W49" s="365"/>
      <c r="X49" s="365"/>
      <c r="Y49" s="365"/>
      <c r="Z49" s="365"/>
      <c r="AA49" s="336"/>
      <c r="AB49" s="336"/>
      <c r="AE49" s="365"/>
      <c r="AF49" s="337"/>
    </row>
    <row r="50" spans="1:32" s="208" customFormat="1" ht="12.75">
      <c r="A50" s="217"/>
      <c r="B50" s="1137"/>
      <c r="C50" s="1138"/>
      <c r="D50" s="1138"/>
      <c r="E50" s="1138"/>
      <c r="F50" s="1138"/>
      <c r="G50" s="1139"/>
      <c r="H50" s="1179"/>
      <c r="I50" s="1179"/>
      <c r="J50" s="1179"/>
      <c r="K50" s="1179"/>
      <c r="L50" s="1179"/>
      <c r="M50" s="1179"/>
      <c r="N50" s="1179"/>
      <c r="O50" s="1179"/>
      <c r="P50" s="1179"/>
      <c r="Q50" s="1182"/>
      <c r="S50" s="365"/>
      <c r="T50" s="365"/>
      <c r="U50" s="365"/>
      <c r="V50" s="365"/>
      <c r="W50" s="365"/>
      <c r="X50" s="365"/>
      <c r="Y50" s="365"/>
      <c r="Z50" s="365"/>
      <c r="AA50" s="336"/>
      <c r="AB50" s="336"/>
      <c r="AE50" s="365"/>
      <c r="AF50" s="337"/>
    </row>
    <row r="51" spans="1:32" s="208" customFormat="1" ht="12.75">
      <c r="A51" s="217"/>
      <c r="B51" s="1137"/>
      <c r="C51" s="1138"/>
      <c r="D51" s="1138"/>
      <c r="E51" s="1138"/>
      <c r="F51" s="1138"/>
      <c r="G51" s="1139"/>
      <c r="H51" s="1179"/>
      <c r="I51" s="1179"/>
      <c r="J51" s="1179"/>
      <c r="K51" s="1179"/>
      <c r="L51" s="1179"/>
      <c r="M51" s="1179"/>
      <c r="N51" s="1179"/>
      <c r="O51" s="1179"/>
      <c r="P51" s="1179"/>
      <c r="Q51" s="1182"/>
      <c r="S51" s="365"/>
      <c r="T51" s="365"/>
      <c r="U51" s="365"/>
      <c r="V51" s="365"/>
      <c r="W51" s="365"/>
      <c r="X51" s="365"/>
      <c r="Y51" s="365"/>
      <c r="Z51" s="365"/>
      <c r="AA51" s="336"/>
      <c r="AB51" s="336"/>
      <c r="AE51" s="365"/>
      <c r="AF51" s="337"/>
    </row>
    <row r="52" spans="1:32" s="208" customFormat="1" ht="12.75">
      <c r="A52" s="217"/>
      <c r="B52" s="1137"/>
      <c r="C52" s="1138"/>
      <c r="D52" s="1138"/>
      <c r="E52" s="1138"/>
      <c r="F52" s="1138"/>
      <c r="G52" s="1139"/>
      <c r="H52" s="1179"/>
      <c r="I52" s="1179"/>
      <c r="J52" s="1179"/>
      <c r="K52" s="1179"/>
      <c r="L52" s="1179"/>
      <c r="M52" s="1179"/>
      <c r="N52" s="1179"/>
      <c r="O52" s="1179"/>
      <c r="P52" s="1179"/>
      <c r="Q52" s="1182"/>
      <c r="S52" s="365"/>
      <c r="T52" s="365"/>
      <c r="U52" s="365"/>
      <c r="V52" s="365"/>
      <c r="W52" s="365"/>
      <c r="X52" s="365"/>
      <c r="Y52" s="365"/>
      <c r="Z52" s="365"/>
      <c r="AA52" s="336"/>
      <c r="AB52" s="336"/>
      <c r="AE52" s="365"/>
      <c r="AF52" s="337"/>
    </row>
    <row r="53" spans="1:32" s="208" customFormat="1" ht="12.75">
      <c r="A53" s="217"/>
      <c r="B53" s="1137"/>
      <c r="C53" s="1138"/>
      <c r="D53" s="1138"/>
      <c r="E53" s="1138"/>
      <c r="F53" s="1138"/>
      <c r="G53" s="1139"/>
      <c r="H53" s="1179"/>
      <c r="I53" s="1179"/>
      <c r="J53" s="1179"/>
      <c r="K53" s="1179"/>
      <c r="L53" s="1179"/>
      <c r="M53" s="1179"/>
      <c r="N53" s="1179"/>
      <c r="O53" s="1179"/>
      <c r="P53" s="1179"/>
      <c r="Q53" s="1182"/>
      <c r="S53" s="365"/>
      <c r="T53" s="365"/>
      <c r="U53" s="365"/>
      <c r="V53" s="365"/>
      <c r="W53" s="365"/>
      <c r="X53" s="365"/>
      <c r="Y53" s="365"/>
      <c r="Z53" s="365"/>
      <c r="AA53" s="336"/>
      <c r="AB53" s="336"/>
      <c r="AE53" s="365"/>
      <c r="AF53" s="337"/>
    </row>
    <row r="54" spans="1:32" s="208" customFormat="1" ht="12.75">
      <c r="A54" s="217"/>
      <c r="B54" s="1137"/>
      <c r="C54" s="1138"/>
      <c r="D54" s="1138"/>
      <c r="E54" s="1138"/>
      <c r="F54" s="1138"/>
      <c r="G54" s="1139"/>
      <c r="H54" s="1179"/>
      <c r="I54" s="1179"/>
      <c r="J54" s="1179"/>
      <c r="K54" s="1179"/>
      <c r="L54" s="1179"/>
      <c r="M54" s="1179"/>
      <c r="N54" s="1179"/>
      <c r="O54" s="1179"/>
      <c r="P54" s="1179"/>
      <c r="Q54" s="1182"/>
      <c r="S54" s="365"/>
      <c r="T54" s="365"/>
      <c r="U54" s="365"/>
      <c r="V54" s="365"/>
      <c r="W54" s="365"/>
      <c r="X54" s="365"/>
      <c r="Y54" s="365"/>
      <c r="Z54" s="365"/>
      <c r="AA54" s="336"/>
      <c r="AB54" s="336"/>
      <c r="AE54" s="365"/>
      <c r="AF54" s="337"/>
    </row>
    <row r="55" spans="1:32" s="208" customFormat="1" ht="12.75">
      <c r="A55" s="217"/>
      <c r="B55" s="1137"/>
      <c r="C55" s="1138"/>
      <c r="D55" s="1138"/>
      <c r="E55" s="1138"/>
      <c r="F55" s="1138"/>
      <c r="G55" s="1139"/>
      <c r="H55" s="1179"/>
      <c r="I55" s="1179"/>
      <c r="J55" s="1179"/>
      <c r="K55" s="1179"/>
      <c r="L55" s="1179"/>
      <c r="M55" s="1179"/>
      <c r="N55" s="1179"/>
      <c r="O55" s="1179"/>
      <c r="P55" s="1179"/>
      <c r="Q55" s="1182"/>
      <c r="S55" s="365"/>
      <c r="T55" s="365"/>
      <c r="U55" s="365"/>
      <c r="V55" s="365"/>
      <c r="W55" s="365"/>
      <c r="X55" s="365"/>
      <c r="Y55" s="365"/>
      <c r="Z55" s="365"/>
      <c r="AA55" s="336"/>
      <c r="AB55" s="336"/>
      <c r="AE55" s="365"/>
      <c r="AF55" s="337"/>
    </row>
    <row r="56" spans="1:32" s="208" customFormat="1" ht="12.75">
      <c r="A56" s="217"/>
      <c r="B56" s="1137"/>
      <c r="C56" s="1138"/>
      <c r="D56" s="1138"/>
      <c r="E56" s="1138"/>
      <c r="F56" s="1138"/>
      <c r="G56" s="1139"/>
      <c r="H56" s="1179"/>
      <c r="I56" s="1179"/>
      <c r="J56" s="1179"/>
      <c r="K56" s="1179"/>
      <c r="L56" s="1179"/>
      <c r="M56" s="1179"/>
      <c r="N56" s="1179"/>
      <c r="O56" s="1179"/>
      <c r="P56" s="1179"/>
      <c r="Q56" s="1182"/>
      <c r="S56" s="365"/>
      <c r="T56" s="365"/>
      <c r="U56" s="365"/>
      <c r="V56" s="365"/>
      <c r="W56" s="365"/>
      <c r="X56" s="365"/>
      <c r="Y56" s="365"/>
      <c r="Z56" s="365"/>
      <c r="AA56" s="336"/>
      <c r="AB56" s="336"/>
      <c r="AE56" s="365"/>
      <c r="AF56" s="337"/>
    </row>
    <row r="57" spans="1:32" s="208" customFormat="1" ht="12.75">
      <c r="A57" s="217"/>
      <c r="B57" s="1137"/>
      <c r="C57" s="1138"/>
      <c r="D57" s="1138"/>
      <c r="E57" s="1138"/>
      <c r="F57" s="1138"/>
      <c r="G57" s="1139"/>
      <c r="H57" s="1179"/>
      <c r="I57" s="1179"/>
      <c r="J57" s="1179"/>
      <c r="K57" s="1179"/>
      <c r="L57" s="1179"/>
      <c r="M57" s="1179"/>
      <c r="N57" s="1179"/>
      <c r="O57" s="1179"/>
      <c r="P57" s="1179"/>
      <c r="Q57" s="1182"/>
      <c r="S57" s="365"/>
      <c r="T57" s="365"/>
      <c r="U57" s="365"/>
      <c r="V57" s="365"/>
      <c r="W57" s="365"/>
      <c r="X57" s="365"/>
      <c r="Y57" s="365"/>
      <c r="Z57" s="365"/>
      <c r="AA57" s="336"/>
      <c r="AB57" s="336"/>
      <c r="AE57" s="365"/>
      <c r="AF57" s="337"/>
    </row>
    <row r="58" spans="1:32" s="208" customFormat="1" ht="12.75">
      <c r="A58" s="217"/>
      <c r="B58" s="1137"/>
      <c r="C58" s="1138"/>
      <c r="D58" s="1138"/>
      <c r="E58" s="1138"/>
      <c r="F58" s="1138"/>
      <c r="G58" s="1139"/>
      <c r="H58" s="1179"/>
      <c r="I58" s="1179"/>
      <c r="J58" s="1179"/>
      <c r="K58" s="1179"/>
      <c r="L58" s="1179"/>
      <c r="M58" s="1179"/>
      <c r="N58" s="1179"/>
      <c r="O58" s="1179"/>
      <c r="P58" s="1179"/>
      <c r="Q58" s="1182"/>
      <c r="S58" s="365"/>
      <c r="T58" s="365"/>
      <c r="U58" s="365"/>
      <c r="V58" s="365"/>
      <c r="W58" s="365"/>
      <c r="X58" s="365"/>
      <c r="Y58" s="365"/>
      <c r="Z58" s="365"/>
      <c r="AA58" s="336"/>
      <c r="AB58" s="336"/>
      <c r="AE58" s="365"/>
      <c r="AF58" s="337"/>
    </row>
    <row r="59" spans="1:32" s="208" customFormat="1" ht="13.5" thickBot="1">
      <c r="A59" s="217"/>
      <c r="B59" s="1193"/>
      <c r="C59" s="1194"/>
      <c r="D59" s="1194"/>
      <c r="E59" s="1194"/>
      <c r="F59" s="1194"/>
      <c r="G59" s="1195"/>
      <c r="H59" s="1132"/>
      <c r="I59" s="1132"/>
      <c r="J59" s="1132"/>
      <c r="K59" s="1132"/>
      <c r="L59" s="1132"/>
      <c r="M59" s="1132"/>
      <c r="N59" s="1132"/>
      <c r="O59" s="1132"/>
      <c r="P59" s="1132"/>
      <c r="Q59" s="1186"/>
      <c r="S59" s="365"/>
      <c r="T59" s="365"/>
      <c r="U59" s="365"/>
      <c r="V59" s="365"/>
      <c r="W59" s="365"/>
      <c r="X59" s="365"/>
      <c r="Y59" s="365"/>
      <c r="Z59" s="365"/>
      <c r="AA59" s="336"/>
      <c r="AB59" s="336"/>
      <c r="AE59" s="365"/>
      <c r="AF59" s="337"/>
    </row>
    <row r="60" spans="1:32" s="208" customFormat="1" ht="13.5" thickBot="1">
      <c r="A60" s="217"/>
      <c r="B60" s="338"/>
      <c r="C60" s="338"/>
      <c r="D60" s="338"/>
      <c r="E60" s="338"/>
      <c r="F60" s="268"/>
      <c r="G60" s="333"/>
      <c r="S60" s="365"/>
      <c r="T60" s="365"/>
      <c r="U60" s="365"/>
      <c r="V60" s="365"/>
      <c r="W60" s="365"/>
      <c r="X60" s="365"/>
      <c r="Y60" s="365"/>
      <c r="Z60" s="365"/>
      <c r="AA60" s="336"/>
      <c r="AB60" s="336"/>
      <c r="AE60" s="365"/>
      <c r="AF60" s="337"/>
    </row>
    <row r="61" spans="1:32" s="208" customFormat="1" ht="13.5" thickBot="1">
      <c r="A61" s="217"/>
      <c r="B61" s="1140" t="s">
        <v>578</v>
      </c>
      <c r="C61" s="1141"/>
      <c r="D61" s="1141"/>
      <c r="E61" s="1141"/>
      <c r="F61" s="1141"/>
      <c r="G61" s="1142"/>
      <c r="H61" s="1200" t="s">
        <v>37</v>
      </c>
      <c r="I61" s="1141"/>
      <c r="J61" s="1141"/>
      <c r="K61" s="1141"/>
      <c r="L61" s="1141"/>
      <c r="M61" s="1141"/>
      <c r="N61" s="1141"/>
      <c r="O61" s="1141"/>
      <c r="P61" s="1141"/>
      <c r="Q61" s="1142"/>
      <c r="R61" s="1189" t="s">
        <v>157</v>
      </c>
      <c r="S61" s="1190"/>
      <c r="T61" s="365"/>
      <c r="U61" s="365"/>
      <c r="V61" s="365"/>
      <c r="W61" s="365"/>
      <c r="X61" s="365"/>
      <c r="Y61" s="365"/>
      <c r="Z61" s="365"/>
      <c r="AA61" s="336"/>
      <c r="AB61" s="336"/>
      <c r="AE61" s="365"/>
      <c r="AF61" s="337"/>
    </row>
    <row r="62" spans="1:32" s="208" customFormat="1" ht="12.75">
      <c r="A62" s="217"/>
      <c r="B62" s="1187"/>
      <c r="C62" s="1188"/>
      <c r="D62" s="1188"/>
      <c r="E62" s="1188"/>
      <c r="F62" s="1188"/>
      <c r="G62" s="1188"/>
      <c r="H62" s="1188"/>
      <c r="I62" s="1188"/>
      <c r="J62" s="1188"/>
      <c r="K62" s="1188"/>
      <c r="L62" s="1188"/>
      <c r="M62" s="1188"/>
      <c r="N62" s="1188"/>
      <c r="O62" s="1188"/>
      <c r="P62" s="1188"/>
      <c r="Q62" s="1188"/>
      <c r="R62" s="1191"/>
      <c r="S62" s="1192"/>
      <c r="T62" s="365"/>
      <c r="U62" s="365"/>
      <c r="V62" s="365"/>
      <c r="W62" s="365"/>
      <c r="X62" s="365"/>
      <c r="Y62" s="365"/>
      <c r="Z62" s="365"/>
      <c r="AA62" s="336"/>
      <c r="AB62" s="336"/>
      <c r="AE62" s="365"/>
      <c r="AF62" s="337"/>
    </row>
    <row r="63" spans="1:32" s="208" customFormat="1" ht="12.75">
      <c r="A63" s="217"/>
      <c r="B63" s="1178"/>
      <c r="C63" s="1179"/>
      <c r="D63" s="1179"/>
      <c r="E63" s="1179"/>
      <c r="F63" s="1179"/>
      <c r="G63" s="1179"/>
      <c r="H63" s="1179"/>
      <c r="I63" s="1179"/>
      <c r="J63" s="1179"/>
      <c r="K63" s="1179"/>
      <c r="L63" s="1179"/>
      <c r="M63" s="1179"/>
      <c r="N63" s="1179"/>
      <c r="O63" s="1179"/>
      <c r="P63" s="1179"/>
      <c r="Q63" s="1179"/>
      <c r="R63" s="1176"/>
      <c r="S63" s="1177"/>
      <c r="T63" s="365"/>
      <c r="U63" s="365"/>
      <c r="V63" s="365"/>
      <c r="W63" s="365"/>
      <c r="X63" s="365"/>
      <c r="Y63" s="365"/>
      <c r="Z63" s="365"/>
      <c r="AA63" s="336"/>
      <c r="AB63" s="336"/>
      <c r="AE63" s="365"/>
      <c r="AF63" s="337"/>
    </row>
    <row r="64" spans="1:32" s="208" customFormat="1" ht="12.75">
      <c r="A64" s="217"/>
      <c r="B64" s="1178"/>
      <c r="C64" s="1179"/>
      <c r="D64" s="1179"/>
      <c r="E64" s="1179"/>
      <c r="F64" s="1179"/>
      <c r="G64" s="1179"/>
      <c r="H64" s="1179"/>
      <c r="I64" s="1179"/>
      <c r="J64" s="1179"/>
      <c r="K64" s="1179"/>
      <c r="L64" s="1179"/>
      <c r="M64" s="1179"/>
      <c r="N64" s="1179"/>
      <c r="O64" s="1179"/>
      <c r="P64" s="1179"/>
      <c r="Q64" s="1179"/>
      <c r="R64" s="1176"/>
      <c r="S64" s="1177"/>
      <c r="T64" s="365"/>
      <c r="U64" s="365"/>
      <c r="V64" s="365"/>
      <c r="W64" s="365"/>
      <c r="X64" s="365"/>
      <c r="Y64" s="365"/>
      <c r="Z64" s="365"/>
      <c r="AA64" s="336"/>
      <c r="AB64" s="336"/>
      <c r="AE64" s="365"/>
      <c r="AF64" s="337"/>
    </row>
    <row r="65" spans="1:32" s="208" customFormat="1" ht="12.75">
      <c r="A65" s="217"/>
      <c r="B65" s="1178"/>
      <c r="C65" s="1179"/>
      <c r="D65" s="1179"/>
      <c r="E65" s="1179"/>
      <c r="F65" s="1179"/>
      <c r="G65" s="1179"/>
      <c r="H65" s="1179"/>
      <c r="I65" s="1179"/>
      <c r="J65" s="1179"/>
      <c r="K65" s="1179"/>
      <c r="L65" s="1179"/>
      <c r="M65" s="1179"/>
      <c r="N65" s="1179"/>
      <c r="O65" s="1179"/>
      <c r="P65" s="1179"/>
      <c r="Q65" s="1179"/>
      <c r="R65" s="1176"/>
      <c r="S65" s="1177"/>
      <c r="T65" s="365"/>
      <c r="U65" s="365"/>
      <c r="V65" s="365"/>
      <c r="W65" s="365"/>
      <c r="X65" s="365"/>
      <c r="Y65" s="365"/>
      <c r="Z65" s="365"/>
      <c r="AA65" s="336"/>
      <c r="AB65" s="336"/>
      <c r="AE65" s="365"/>
      <c r="AF65" s="337"/>
    </row>
    <row r="66" spans="1:32" s="208" customFormat="1" ht="12.75">
      <c r="A66" s="217"/>
      <c r="B66" s="1178"/>
      <c r="C66" s="1179"/>
      <c r="D66" s="1179"/>
      <c r="E66" s="1179"/>
      <c r="F66" s="1179"/>
      <c r="G66" s="1179"/>
      <c r="H66" s="1179"/>
      <c r="I66" s="1179"/>
      <c r="J66" s="1179"/>
      <c r="K66" s="1179"/>
      <c r="L66" s="1179"/>
      <c r="M66" s="1179"/>
      <c r="N66" s="1179"/>
      <c r="O66" s="1179"/>
      <c r="P66" s="1179"/>
      <c r="Q66" s="1179"/>
      <c r="R66" s="1176"/>
      <c r="S66" s="1177"/>
      <c r="T66" s="365"/>
      <c r="U66" s="365"/>
      <c r="V66" s="365"/>
      <c r="W66" s="365"/>
      <c r="X66" s="365"/>
      <c r="Y66" s="365"/>
      <c r="Z66" s="365"/>
      <c r="AA66" s="336"/>
      <c r="AB66" s="336"/>
      <c r="AE66" s="365"/>
      <c r="AF66" s="337"/>
    </row>
    <row r="67" spans="1:32" s="208" customFormat="1" ht="12.75">
      <c r="A67" s="217"/>
      <c r="B67" s="1178"/>
      <c r="C67" s="1179"/>
      <c r="D67" s="1179"/>
      <c r="E67" s="1179"/>
      <c r="F67" s="1179"/>
      <c r="G67" s="1179"/>
      <c r="H67" s="1179"/>
      <c r="I67" s="1179"/>
      <c r="J67" s="1179"/>
      <c r="K67" s="1179"/>
      <c r="L67" s="1179"/>
      <c r="M67" s="1179"/>
      <c r="N67" s="1179"/>
      <c r="O67" s="1179"/>
      <c r="P67" s="1179"/>
      <c r="Q67" s="1179"/>
      <c r="R67" s="1176"/>
      <c r="S67" s="1177"/>
      <c r="T67" s="365"/>
      <c r="U67" s="365"/>
      <c r="V67" s="365"/>
      <c r="W67" s="365"/>
      <c r="X67" s="365"/>
      <c r="Y67" s="365"/>
      <c r="Z67" s="365"/>
      <c r="AA67" s="336"/>
      <c r="AB67" s="336"/>
      <c r="AE67" s="365"/>
      <c r="AF67" s="337"/>
    </row>
    <row r="68" spans="1:32" s="208" customFormat="1" ht="12.75">
      <c r="A68" s="217"/>
      <c r="B68" s="1178"/>
      <c r="C68" s="1179"/>
      <c r="D68" s="1179"/>
      <c r="E68" s="1179"/>
      <c r="F68" s="1179"/>
      <c r="G68" s="1179"/>
      <c r="H68" s="1179"/>
      <c r="I68" s="1179"/>
      <c r="J68" s="1179"/>
      <c r="K68" s="1179"/>
      <c r="L68" s="1179"/>
      <c r="M68" s="1179"/>
      <c r="N68" s="1179"/>
      <c r="O68" s="1179"/>
      <c r="P68" s="1179"/>
      <c r="Q68" s="1179"/>
      <c r="R68" s="1176"/>
      <c r="S68" s="1177"/>
      <c r="T68" s="365"/>
      <c r="U68" s="365"/>
      <c r="V68" s="365"/>
      <c r="W68" s="365"/>
      <c r="X68" s="365"/>
      <c r="Y68" s="365"/>
      <c r="Z68" s="365"/>
      <c r="AA68" s="336"/>
      <c r="AB68" s="336"/>
      <c r="AE68" s="365"/>
      <c r="AF68" s="337"/>
    </row>
    <row r="69" spans="1:32" s="208" customFormat="1" ht="12.75">
      <c r="A69" s="217"/>
      <c r="B69" s="1178"/>
      <c r="C69" s="1179"/>
      <c r="D69" s="1179"/>
      <c r="E69" s="1179"/>
      <c r="F69" s="1179"/>
      <c r="G69" s="1179"/>
      <c r="H69" s="1179"/>
      <c r="I69" s="1179"/>
      <c r="J69" s="1179"/>
      <c r="K69" s="1179"/>
      <c r="L69" s="1179"/>
      <c r="M69" s="1179"/>
      <c r="N69" s="1179"/>
      <c r="O69" s="1179"/>
      <c r="P69" s="1179"/>
      <c r="Q69" s="1179"/>
      <c r="R69" s="1176"/>
      <c r="S69" s="1177"/>
      <c r="T69" s="365"/>
      <c r="U69" s="365"/>
      <c r="V69" s="365"/>
      <c r="W69" s="365"/>
      <c r="X69" s="365"/>
      <c r="Y69" s="365"/>
      <c r="Z69" s="365"/>
      <c r="AA69" s="336"/>
      <c r="AB69" s="336"/>
      <c r="AE69" s="365"/>
      <c r="AF69" s="337"/>
    </row>
    <row r="70" spans="1:32" s="208" customFormat="1" ht="12.75">
      <c r="A70" s="217"/>
      <c r="B70" s="1178"/>
      <c r="C70" s="1179"/>
      <c r="D70" s="1179"/>
      <c r="E70" s="1179"/>
      <c r="F70" s="1179"/>
      <c r="G70" s="1179"/>
      <c r="H70" s="1179"/>
      <c r="I70" s="1179"/>
      <c r="J70" s="1179"/>
      <c r="K70" s="1179"/>
      <c r="L70" s="1179"/>
      <c r="M70" s="1179"/>
      <c r="N70" s="1179"/>
      <c r="O70" s="1179"/>
      <c r="P70" s="1179"/>
      <c r="Q70" s="1179"/>
      <c r="R70" s="1176"/>
      <c r="S70" s="1177"/>
      <c r="T70" s="365"/>
      <c r="U70" s="365"/>
      <c r="V70" s="365"/>
      <c r="W70" s="365"/>
      <c r="X70" s="365"/>
      <c r="Y70" s="365"/>
      <c r="Z70" s="365"/>
      <c r="AA70" s="336"/>
      <c r="AB70" s="336"/>
      <c r="AE70" s="365"/>
      <c r="AF70" s="337"/>
    </row>
    <row r="71" spans="1:32" s="208" customFormat="1" ht="12.75">
      <c r="A71" s="217"/>
      <c r="B71" s="1178"/>
      <c r="C71" s="1179"/>
      <c r="D71" s="1179"/>
      <c r="E71" s="1179"/>
      <c r="F71" s="1179"/>
      <c r="G71" s="1179"/>
      <c r="H71" s="1179"/>
      <c r="I71" s="1179"/>
      <c r="J71" s="1179"/>
      <c r="K71" s="1179"/>
      <c r="L71" s="1179"/>
      <c r="M71" s="1179"/>
      <c r="N71" s="1179"/>
      <c r="O71" s="1179"/>
      <c r="P71" s="1179"/>
      <c r="Q71" s="1179"/>
      <c r="R71" s="1176"/>
      <c r="S71" s="1177"/>
      <c r="T71" s="365"/>
      <c r="U71" s="365"/>
      <c r="V71" s="365"/>
      <c r="W71" s="365"/>
      <c r="X71" s="365"/>
      <c r="Y71" s="365"/>
      <c r="Z71" s="365"/>
      <c r="AA71" s="336"/>
      <c r="AB71" s="336"/>
      <c r="AE71" s="365"/>
      <c r="AF71" s="337"/>
    </row>
    <row r="72" spans="1:32" s="208" customFormat="1" ht="12.75">
      <c r="A72" s="217"/>
      <c r="B72" s="1178"/>
      <c r="C72" s="1179"/>
      <c r="D72" s="1179"/>
      <c r="E72" s="1179"/>
      <c r="F72" s="1179"/>
      <c r="G72" s="1179"/>
      <c r="H72" s="1179"/>
      <c r="I72" s="1179"/>
      <c r="J72" s="1179"/>
      <c r="K72" s="1179"/>
      <c r="L72" s="1179"/>
      <c r="M72" s="1179"/>
      <c r="N72" s="1179"/>
      <c r="O72" s="1179"/>
      <c r="P72" s="1179"/>
      <c r="Q72" s="1179"/>
      <c r="R72" s="1176"/>
      <c r="S72" s="1177"/>
      <c r="T72" s="365"/>
      <c r="U72" s="365"/>
      <c r="V72" s="365"/>
      <c r="W72" s="365"/>
      <c r="X72" s="365"/>
      <c r="Y72" s="365"/>
      <c r="Z72" s="365"/>
      <c r="AA72" s="336"/>
      <c r="AB72" s="336"/>
      <c r="AE72" s="365"/>
      <c r="AF72" s="337"/>
    </row>
    <row r="73" spans="1:32" s="208" customFormat="1" ht="12.75">
      <c r="A73" s="217"/>
      <c r="B73" s="1178"/>
      <c r="C73" s="1179"/>
      <c r="D73" s="1179"/>
      <c r="E73" s="1179"/>
      <c r="F73" s="1179"/>
      <c r="G73" s="1179"/>
      <c r="H73" s="1179"/>
      <c r="I73" s="1179"/>
      <c r="J73" s="1179"/>
      <c r="K73" s="1179"/>
      <c r="L73" s="1179"/>
      <c r="M73" s="1179"/>
      <c r="N73" s="1179"/>
      <c r="O73" s="1179"/>
      <c r="P73" s="1179"/>
      <c r="Q73" s="1179"/>
      <c r="R73" s="1176"/>
      <c r="S73" s="1177"/>
      <c r="T73" s="365"/>
      <c r="U73" s="365"/>
      <c r="V73" s="365"/>
      <c r="W73" s="365"/>
      <c r="X73" s="365"/>
      <c r="Y73" s="365"/>
      <c r="Z73" s="365"/>
      <c r="AA73" s="336"/>
      <c r="AB73" s="336"/>
      <c r="AE73" s="365"/>
      <c r="AF73" s="337"/>
    </row>
    <row r="74" spans="1:32" s="208" customFormat="1" ht="12.75">
      <c r="A74" s="217"/>
      <c r="B74" s="1178"/>
      <c r="C74" s="1179"/>
      <c r="D74" s="1179"/>
      <c r="E74" s="1179"/>
      <c r="F74" s="1179"/>
      <c r="G74" s="1179"/>
      <c r="H74" s="1179"/>
      <c r="I74" s="1179"/>
      <c r="J74" s="1179"/>
      <c r="K74" s="1179"/>
      <c r="L74" s="1179"/>
      <c r="M74" s="1179"/>
      <c r="N74" s="1179"/>
      <c r="O74" s="1179"/>
      <c r="P74" s="1179"/>
      <c r="Q74" s="1179"/>
      <c r="R74" s="1176"/>
      <c r="S74" s="1177"/>
      <c r="T74" s="365"/>
      <c r="U74" s="365"/>
      <c r="V74" s="365"/>
      <c r="W74" s="365"/>
      <c r="X74" s="365"/>
      <c r="Y74" s="365"/>
      <c r="Z74" s="365"/>
      <c r="AA74" s="336"/>
      <c r="AB74" s="336"/>
      <c r="AE74" s="365"/>
      <c r="AF74" s="337"/>
    </row>
    <row r="75" spans="1:32" s="208" customFormat="1" ht="12.75">
      <c r="A75" s="217"/>
      <c r="B75" s="1178"/>
      <c r="C75" s="1179"/>
      <c r="D75" s="1179"/>
      <c r="E75" s="1179"/>
      <c r="F75" s="1179"/>
      <c r="G75" s="1179"/>
      <c r="H75" s="1179"/>
      <c r="I75" s="1179"/>
      <c r="J75" s="1179"/>
      <c r="K75" s="1179"/>
      <c r="L75" s="1179"/>
      <c r="M75" s="1179"/>
      <c r="N75" s="1179"/>
      <c r="O75" s="1179"/>
      <c r="P75" s="1179"/>
      <c r="Q75" s="1179"/>
      <c r="R75" s="1176"/>
      <c r="S75" s="1177"/>
      <c r="T75" s="365"/>
      <c r="U75" s="365"/>
      <c r="V75" s="365"/>
      <c r="W75" s="365"/>
      <c r="X75" s="365"/>
      <c r="Y75" s="365"/>
      <c r="Z75" s="365"/>
      <c r="AA75" s="336"/>
      <c r="AB75" s="336"/>
      <c r="AE75" s="365"/>
      <c r="AF75" s="337"/>
    </row>
    <row r="76" spans="1:32" s="208" customFormat="1" ht="13.5" thickBot="1">
      <c r="A76" s="217"/>
      <c r="B76" s="1131"/>
      <c r="C76" s="1132"/>
      <c r="D76" s="1132"/>
      <c r="E76" s="1132"/>
      <c r="F76" s="1132"/>
      <c r="G76" s="1132"/>
      <c r="H76" s="1132"/>
      <c r="I76" s="1132"/>
      <c r="J76" s="1132"/>
      <c r="K76" s="1132"/>
      <c r="L76" s="1132"/>
      <c r="M76" s="1132"/>
      <c r="N76" s="1132"/>
      <c r="O76" s="1132"/>
      <c r="P76" s="1132"/>
      <c r="Q76" s="1132"/>
      <c r="R76" s="1180"/>
      <c r="S76" s="1181"/>
      <c r="T76" s="365"/>
      <c r="U76" s="365"/>
      <c r="V76" s="365"/>
      <c r="W76" s="365"/>
      <c r="X76" s="365"/>
      <c r="Y76" s="365"/>
      <c r="Z76" s="365"/>
      <c r="AA76" s="336"/>
      <c r="AB76" s="336"/>
      <c r="AE76" s="365"/>
      <c r="AF76" s="337"/>
    </row>
    <row r="77" spans="1:32" s="208" customFormat="1" ht="12.75">
      <c r="A77" s="217"/>
      <c r="B77" s="209"/>
      <c r="C77" s="209"/>
      <c r="G77" s="333"/>
      <c r="S77" s="365"/>
      <c r="T77" s="365"/>
      <c r="U77" s="365"/>
      <c r="V77" s="365"/>
      <c r="W77" s="365"/>
      <c r="X77" s="365"/>
      <c r="Y77" s="365"/>
      <c r="Z77" s="365"/>
      <c r="AA77" s="336"/>
      <c r="AB77" s="336"/>
      <c r="AE77" s="365"/>
      <c r="AF77" s="337"/>
    </row>
    <row r="78" spans="1:32" s="208" customFormat="1" ht="12.75">
      <c r="A78" s="217"/>
      <c r="B78" s="205" t="s">
        <v>130</v>
      </c>
      <c r="C78" s="205"/>
      <c r="G78" s="333"/>
      <c r="S78" s="365"/>
      <c r="T78" s="365"/>
      <c r="U78" s="365"/>
      <c r="V78" s="365"/>
      <c r="W78" s="365"/>
      <c r="X78" s="365"/>
      <c r="Y78" s="365"/>
      <c r="Z78" s="365"/>
      <c r="AA78" s="336"/>
      <c r="AB78" s="336"/>
      <c r="AE78" s="365"/>
      <c r="AF78" s="337"/>
    </row>
    <row r="79" spans="1:32" s="208" customFormat="1" ht="13.5" thickBot="1">
      <c r="A79" s="217"/>
      <c r="B79" s="205"/>
      <c r="C79" s="205"/>
      <c r="G79" s="333"/>
      <c r="S79" s="365"/>
      <c r="T79" s="365"/>
      <c r="U79" s="365"/>
      <c r="V79" s="365"/>
      <c r="W79" s="365"/>
      <c r="X79" s="365"/>
      <c r="Y79" s="365"/>
      <c r="Z79" s="365"/>
      <c r="AA79" s="336"/>
      <c r="AB79" s="336"/>
      <c r="AE79" s="365"/>
      <c r="AF79" s="337"/>
    </row>
    <row r="80" spans="1:32" s="208" customFormat="1" ht="200.1" customHeight="1" thickBot="1">
      <c r="A80" s="217"/>
      <c r="B80" s="1196"/>
      <c r="C80" s="1197"/>
      <c r="D80" s="1197"/>
      <c r="E80" s="1197"/>
      <c r="F80" s="1197"/>
      <c r="G80" s="1197"/>
      <c r="H80" s="1197"/>
      <c r="I80" s="1197"/>
      <c r="J80" s="1197"/>
      <c r="K80" s="1197"/>
      <c r="L80" s="1197"/>
      <c r="M80" s="1197"/>
      <c r="N80" s="1197"/>
      <c r="O80" s="1197"/>
      <c r="P80" s="1197"/>
      <c r="Q80" s="1198"/>
      <c r="S80" s="365"/>
      <c r="T80" s="365"/>
      <c r="U80" s="365"/>
      <c r="V80" s="365"/>
      <c r="W80" s="365"/>
      <c r="X80" s="365"/>
      <c r="Y80" s="365"/>
      <c r="Z80" s="365"/>
      <c r="AA80" s="336"/>
      <c r="AB80" s="336"/>
      <c r="AE80" s="365"/>
      <c r="AF80" s="337"/>
    </row>
    <row r="81" spans="1:35" s="208" customFormat="1" ht="12.75">
      <c r="A81" s="217"/>
      <c r="B81" s="209"/>
      <c r="C81" s="209"/>
      <c r="G81" s="333"/>
      <c r="S81" s="365"/>
      <c r="T81" s="365"/>
      <c r="U81" s="365"/>
      <c r="V81" s="365"/>
      <c r="W81" s="365"/>
      <c r="X81" s="365"/>
      <c r="Y81" s="365"/>
      <c r="Z81" s="365"/>
      <c r="AA81" s="336"/>
      <c r="AB81" s="336"/>
      <c r="AE81" s="365"/>
      <c r="AF81" s="337"/>
    </row>
    <row r="82" spans="1:35" s="208" customFormat="1">
      <c r="A82" s="210"/>
      <c r="B82" s="211" t="s">
        <v>13</v>
      </c>
      <c r="C82" s="209"/>
      <c r="G82" s="333"/>
      <c r="S82" s="365"/>
      <c r="T82" s="365"/>
      <c r="U82" s="365"/>
      <c r="V82" s="365"/>
      <c r="W82" s="365"/>
      <c r="X82" s="365"/>
      <c r="Y82" s="365"/>
      <c r="Z82" s="365"/>
      <c r="AA82" s="336"/>
      <c r="AB82" s="336"/>
      <c r="AE82" s="365"/>
      <c r="AF82" s="337"/>
    </row>
    <row r="83" spans="1:35" s="208" customFormat="1" ht="9" customHeight="1">
      <c r="A83" s="210"/>
      <c r="B83" s="211"/>
      <c r="C83" s="209"/>
      <c r="G83" s="333"/>
      <c r="S83" s="365"/>
      <c r="T83" s="365"/>
      <c r="U83" s="365"/>
      <c r="V83" s="365"/>
      <c r="W83" s="365"/>
      <c r="X83" s="365"/>
      <c r="Y83" s="365"/>
      <c r="Z83" s="365"/>
      <c r="AA83" s="336"/>
      <c r="AB83" s="336"/>
      <c r="AE83" s="365"/>
      <c r="AF83" s="337"/>
    </row>
    <row r="84" spans="1:35" s="208" customFormat="1">
      <c r="A84" s="210"/>
      <c r="B84" s="208" t="s">
        <v>886</v>
      </c>
      <c r="C84" s="209"/>
      <c r="G84" s="333"/>
      <c r="S84" s="365"/>
      <c r="T84" s="365"/>
      <c r="U84" s="365"/>
      <c r="V84" s="365"/>
      <c r="W84" s="365"/>
      <c r="X84" s="365"/>
      <c r="Y84" s="365"/>
      <c r="Z84" s="365"/>
      <c r="AA84" s="336"/>
      <c r="AB84" s="336"/>
      <c r="AE84" s="365"/>
      <c r="AF84" s="337"/>
    </row>
    <row r="85" spans="1:35" s="208" customFormat="1" ht="9" customHeight="1">
      <c r="A85" s="210"/>
      <c r="B85" s="211"/>
      <c r="C85" s="209"/>
      <c r="G85" s="333"/>
      <c r="S85" s="365"/>
      <c r="T85" s="365"/>
      <c r="U85" s="365"/>
      <c r="V85" s="365"/>
      <c r="W85" s="365"/>
      <c r="X85" s="365"/>
      <c r="Y85" s="365"/>
      <c r="Z85" s="365"/>
      <c r="AA85" s="336"/>
      <c r="AB85" s="336"/>
      <c r="AE85" s="365"/>
      <c r="AF85" s="337"/>
    </row>
    <row r="86" spans="1:35" s="208" customFormat="1">
      <c r="A86" s="210"/>
      <c r="B86" s="211" t="s">
        <v>145</v>
      </c>
      <c r="C86" s="209"/>
      <c r="G86" s="333"/>
      <c r="S86" s="365"/>
      <c r="T86" s="365"/>
      <c r="U86" s="365"/>
      <c r="V86" s="365"/>
      <c r="W86" s="365"/>
      <c r="X86" s="365"/>
      <c r="Y86" s="365"/>
      <c r="Z86" s="365"/>
      <c r="AA86" s="336"/>
      <c r="AB86" s="336"/>
      <c r="AE86" s="365"/>
      <c r="AF86" s="337"/>
    </row>
    <row r="87" spans="1:35" s="208" customFormat="1" ht="9" customHeight="1">
      <c r="A87" s="217"/>
      <c r="B87" s="209"/>
      <c r="C87" s="209"/>
      <c r="G87" s="333"/>
      <c r="S87" s="365"/>
      <c r="T87" s="365"/>
      <c r="U87" s="365"/>
      <c r="V87" s="365"/>
      <c r="W87" s="365"/>
      <c r="X87" s="365"/>
      <c r="Y87" s="365"/>
      <c r="Z87" s="365"/>
      <c r="AA87" s="336"/>
      <c r="AB87" s="336"/>
      <c r="AE87" s="365"/>
      <c r="AF87" s="337"/>
    </row>
    <row r="88" spans="1:35" s="208" customFormat="1" ht="18" customHeight="1">
      <c r="A88" s="217"/>
      <c r="B88" s="1199" t="s">
        <v>663</v>
      </c>
      <c r="C88" s="1199"/>
      <c r="D88" s="1199"/>
      <c r="E88" s="1199"/>
      <c r="F88" s="1199"/>
      <c r="G88" s="1199"/>
      <c r="H88" s="1199"/>
      <c r="I88" s="1199"/>
      <c r="J88" s="1199"/>
      <c r="K88" s="1199"/>
      <c r="L88" s="1199"/>
      <c r="M88" s="1199"/>
      <c r="N88" s="1199"/>
      <c r="O88" s="1199"/>
      <c r="P88" s="1199"/>
      <c r="Q88" s="1199"/>
      <c r="S88" s="365"/>
      <c r="T88" s="365"/>
      <c r="U88" s="365"/>
      <c r="V88" s="365"/>
      <c r="W88" s="365"/>
      <c r="X88" s="365"/>
      <c r="Y88" s="365"/>
      <c r="Z88" s="365"/>
      <c r="AA88" s="336"/>
      <c r="AB88" s="336"/>
      <c r="AE88" s="365"/>
      <c r="AF88" s="337"/>
      <c r="AG88" s="365"/>
      <c r="AH88" s="365"/>
      <c r="AI88" s="365"/>
    </row>
    <row r="89" spans="1:35" ht="15.75" thickBot="1">
      <c r="AG89" s="357"/>
      <c r="AH89" s="357"/>
      <c r="AI89" s="357"/>
    </row>
    <row r="90" spans="1:35" ht="40.5" customHeight="1" thickBot="1">
      <c r="B90" s="873" t="s">
        <v>15</v>
      </c>
      <c r="C90" s="884" t="s">
        <v>128</v>
      </c>
      <c r="D90" s="628" t="s">
        <v>23</v>
      </c>
      <c r="E90" s="212" t="s">
        <v>24</v>
      </c>
      <c r="F90" s="212" t="s">
        <v>25</v>
      </c>
      <c r="G90" s="212" t="s">
        <v>26</v>
      </c>
      <c r="H90" s="1104" t="s">
        <v>38</v>
      </c>
      <c r="I90" s="1105"/>
      <c r="J90" s="242" t="s">
        <v>222</v>
      </c>
      <c r="K90" s="357"/>
      <c r="L90" s="357"/>
      <c r="M90" s="357"/>
      <c r="S90" s="18"/>
      <c r="T90" s="18"/>
      <c r="U90" s="18"/>
      <c r="V90" s="18"/>
      <c r="W90" s="18"/>
      <c r="X90" s="18"/>
      <c r="Y90" s="18"/>
      <c r="Z90" s="18"/>
      <c r="AA90" s="18"/>
      <c r="AB90" s="18"/>
      <c r="AE90" s="18"/>
      <c r="AF90" s="18"/>
    </row>
    <row r="91" spans="1:35">
      <c r="B91" s="1101" t="str">
        <f>'Scheme Definitions'!B121</f>
        <v/>
      </c>
      <c r="C91" s="918"/>
      <c r="D91" s="652"/>
      <c r="E91" s="653"/>
      <c r="F91" s="653"/>
      <c r="G91" s="653"/>
      <c r="H91" s="1106"/>
      <c r="I91" s="1106"/>
      <c r="J91" s="596"/>
      <c r="K91" s="357"/>
      <c r="L91" s="357"/>
      <c r="M91" s="357"/>
      <c r="S91" s="18"/>
      <c r="T91" s="18"/>
      <c r="U91" s="18"/>
      <c r="V91" s="18"/>
      <c r="W91" s="18"/>
      <c r="X91" s="18"/>
      <c r="Y91" s="18"/>
      <c r="Z91" s="18"/>
      <c r="AA91" s="18"/>
      <c r="AB91" s="18"/>
      <c r="AE91" s="18"/>
      <c r="AF91" s="18"/>
    </row>
    <row r="92" spans="1:35">
      <c r="B92" s="1102"/>
      <c r="C92" s="919"/>
      <c r="D92" s="654"/>
      <c r="E92" s="654"/>
      <c r="F92" s="654"/>
      <c r="G92" s="654"/>
      <c r="H92" s="1099"/>
      <c r="I92" s="1099"/>
      <c r="J92" s="597"/>
      <c r="K92" s="357"/>
      <c r="L92" s="357"/>
      <c r="M92" s="357"/>
      <c r="S92" s="18"/>
      <c r="T92" s="18"/>
      <c r="U92" s="18"/>
      <c r="V92" s="18"/>
      <c r="W92" s="18"/>
      <c r="X92" s="18"/>
      <c r="Y92" s="18"/>
      <c r="Z92" s="18"/>
      <c r="AA92" s="18"/>
      <c r="AB92" s="18"/>
      <c r="AE92" s="18"/>
      <c r="AF92" s="18"/>
    </row>
    <row r="93" spans="1:35">
      <c r="B93" s="1102"/>
      <c r="C93" s="919"/>
      <c r="D93" s="654"/>
      <c r="E93" s="654"/>
      <c r="F93" s="654"/>
      <c r="G93" s="654"/>
      <c r="H93" s="1099"/>
      <c r="I93" s="1099"/>
      <c r="J93" s="597"/>
      <c r="K93" s="357"/>
      <c r="L93" s="357"/>
      <c r="M93" s="357"/>
      <c r="S93" s="18"/>
      <c r="T93" s="18"/>
      <c r="U93" s="18"/>
      <c r="V93" s="18"/>
      <c r="W93" s="18"/>
      <c r="X93" s="18"/>
      <c r="Y93" s="18"/>
      <c r="Z93" s="18"/>
      <c r="AA93" s="18"/>
      <c r="AB93" s="18"/>
      <c r="AE93" s="18"/>
      <c r="AF93" s="18"/>
    </row>
    <row r="94" spans="1:35">
      <c r="B94" s="1102"/>
      <c r="C94" s="919"/>
      <c r="D94" s="654"/>
      <c r="E94" s="654"/>
      <c r="F94" s="654"/>
      <c r="G94" s="654"/>
      <c r="H94" s="1099"/>
      <c r="I94" s="1099"/>
      <c r="J94" s="597"/>
      <c r="K94" s="357"/>
      <c r="L94" s="357"/>
      <c r="M94" s="357"/>
      <c r="S94" s="18"/>
      <c r="T94" s="18"/>
      <c r="U94" s="18"/>
      <c r="V94" s="18"/>
      <c r="W94" s="18"/>
      <c r="X94" s="18"/>
      <c r="Y94" s="18"/>
      <c r="Z94" s="18"/>
      <c r="AA94" s="18"/>
      <c r="AB94" s="18"/>
      <c r="AE94" s="18"/>
      <c r="AF94" s="18"/>
    </row>
    <row r="95" spans="1:35">
      <c r="B95" s="1102"/>
      <c r="C95" s="919"/>
      <c r="D95" s="654"/>
      <c r="E95" s="654"/>
      <c r="F95" s="654"/>
      <c r="G95" s="654"/>
      <c r="H95" s="1099"/>
      <c r="I95" s="1099"/>
      <c r="J95" s="597"/>
      <c r="K95" s="357"/>
      <c r="L95" s="357"/>
      <c r="M95" s="357"/>
      <c r="S95" s="18"/>
      <c r="T95" s="18"/>
      <c r="U95" s="18"/>
      <c r="V95" s="18"/>
      <c r="W95" s="18"/>
      <c r="X95" s="18"/>
      <c r="Y95" s="18"/>
      <c r="Z95" s="18"/>
      <c r="AA95" s="18"/>
      <c r="AB95" s="18"/>
      <c r="AE95" s="18"/>
      <c r="AF95" s="18"/>
    </row>
    <row r="96" spans="1:35">
      <c r="B96" s="1102"/>
      <c r="C96" s="919"/>
      <c r="D96" s="654"/>
      <c r="E96" s="654"/>
      <c r="F96" s="654"/>
      <c r="G96" s="654"/>
      <c r="H96" s="1099"/>
      <c r="I96" s="1099"/>
      <c r="J96" s="598"/>
      <c r="K96" s="357"/>
      <c r="L96" s="357"/>
      <c r="M96" s="357"/>
      <c r="S96" s="18"/>
      <c r="T96" s="18"/>
      <c r="U96" s="18"/>
      <c r="V96" s="18"/>
      <c r="W96" s="18"/>
      <c r="X96" s="18"/>
      <c r="Y96" s="18"/>
      <c r="Z96" s="18"/>
      <c r="AA96" s="18"/>
      <c r="AB96" s="18"/>
      <c r="AE96" s="18"/>
      <c r="AF96" s="18"/>
    </row>
    <row r="97" spans="1:32">
      <c r="B97" s="1102"/>
      <c r="C97" s="919"/>
      <c r="D97" s="654"/>
      <c r="E97" s="654"/>
      <c r="F97" s="654"/>
      <c r="G97" s="654"/>
      <c r="H97" s="1099"/>
      <c r="I97" s="1099"/>
      <c r="J97" s="598"/>
      <c r="K97" s="357"/>
      <c r="L97" s="357"/>
      <c r="M97" s="357"/>
      <c r="S97" s="18"/>
      <c r="T97" s="18"/>
      <c r="U97" s="18"/>
      <c r="V97" s="18"/>
      <c r="W97" s="18"/>
      <c r="X97" s="18"/>
      <c r="Y97" s="18"/>
      <c r="Z97" s="18"/>
      <c r="AA97" s="18"/>
      <c r="AB97" s="18"/>
      <c r="AE97" s="18"/>
      <c r="AF97" s="18"/>
    </row>
    <row r="98" spans="1:32">
      <c r="B98" s="1102"/>
      <c r="C98" s="919"/>
      <c r="D98" s="654"/>
      <c r="E98" s="654"/>
      <c r="F98" s="654"/>
      <c r="G98" s="654"/>
      <c r="H98" s="1099"/>
      <c r="I98" s="1099"/>
      <c r="J98" s="598"/>
      <c r="K98" s="357"/>
      <c r="L98" s="357"/>
      <c r="M98" s="357"/>
      <c r="S98" s="18"/>
      <c r="T98" s="18"/>
      <c r="U98" s="18"/>
      <c r="V98" s="18"/>
      <c r="W98" s="18"/>
      <c r="X98" s="18"/>
      <c r="Y98" s="18"/>
      <c r="Z98" s="18"/>
      <c r="AA98" s="18"/>
      <c r="AB98" s="18"/>
      <c r="AE98" s="18"/>
      <c r="AF98" s="18"/>
    </row>
    <row r="99" spans="1:32">
      <c r="B99" s="1102"/>
      <c r="C99" s="919"/>
      <c r="D99" s="654"/>
      <c r="E99" s="654"/>
      <c r="F99" s="654"/>
      <c r="G99" s="654"/>
      <c r="H99" s="1099"/>
      <c r="I99" s="1099"/>
      <c r="J99" s="598"/>
      <c r="K99" s="357"/>
      <c r="L99" s="357"/>
      <c r="M99" s="357"/>
      <c r="S99" s="18"/>
      <c r="T99" s="18"/>
      <c r="U99" s="18"/>
      <c r="V99" s="18"/>
      <c r="W99" s="18"/>
      <c r="X99" s="18"/>
      <c r="Y99" s="18"/>
      <c r="Z99" s="18"/>
      <c r="AA99" s="18"/>
      <c r="AB99" s="18"/>
      <c r="AE99" s="18"/>
      <c r="AF99" s="18"/>
    </row>
    <row r="100" spans="1:32">
      <c r="B100" s="1102"/>
      <c r="C100" s="919"/>
      <c r="D100" s="654"/>
      <c r="E100" s="654"/>
      <c r="F100" s="654"/>
      <c r="G100" s="654"/>
      <c r="H100" s="1099"/>
      <c r="I100" s="1099"/>
      <c r="J100" s="598"/>
      <c r="K100" s="357"/>
      <c r="L100" s="357"/>
      <c r="M100" s="357"/>
      <c r="S100" s="18"/>
      <c r="T100" s="18"/>
      <c r="U100" s="18"/>
      <c r="V100" s="18"/>
      <c r="W100" s="18"/>
      <c r="X100" s="18"/>
      <c r="Y100" s="18"/>
      <c r="Z100" s="18"/>
      <c r="AA100" s="18"/>
      <c r="AB100" s="18"/>
      <c r="AE100" s="18"/>
      <c r="AF100" s="18"/>
    </row>
    <row r="101" spans="1:32">
      <c r="B101" s="1102"/>
      <c r="C101" s="919"/>
      <c r="D101" s="654"/>
      <c r="E101" s="654"/>
      <c r="F101" s="654"/>
      <c r="G101" s="654"/>
      <c r="H101" s="1099"/>
      <c r="I101" s="1099"/>
      <c r="J101" s="598"/>
      <c r="K101" s="357"/>
      <c r="L101" s="357"/>
      <c r="M101" s="357"/>
      <c r="S101" s="18"/>
      <c r="T101" s="18"/>
      <c r="U101" s="18"/>
      <c r="V101" s="18"/>
      <c r="W101" s="18"/>
      <c r="X101" s="18"/>
      <c r="Y101" s="18"/>
      <c r="Z101" s="18"/>
      <c r="AA101" s="18"/>
      <c r="AB101" s="18"/>
      <c r="AE101" s="18"/>
      <c r="AF101" s="18"/>
    </row>
    <row r="102" spans="1:32">
      <c r="B102" s="1102"/>
      <c r="C102" s="919"/>
      <c r="D102" s="654"/>
      <c r="E102" s="654"/>
      <c r="F102" s="654"/>
      <c r="G102" s="654"/>
      <c r="H102" s="1099"/>
      <c r="I102" s="1099"/>
      <c r="J102" s="598"/>
      <c r="K102" s="357"/>
      <c r="L102" s="357"/>
      <c r="M102" s="357"/>
      <c r="S102" s="18"/>
      <c r="T102" s="18"/>
      <c r="U102" s="18"/>
      <c r="V102" s="18"/>
      <c r="W102" s="18"/>
      <c r="X102" s="18"/>
      <c r="Y102" s="18"/>
      <c r="Z102" s="18"/>
      <c r="AA102" s="18"/>
      <c r="AB102" s="18"/>
      <c r="AE102" s="18"/>
      <c r="AF102" s="18"/>
    </row>
    <row r="103" spans="1:32">
      <c r="B103" s="1102"/>
      <c r="C103" s="919"/>
      <c r="D103" s="654"/>
      <c r="E103" s="654"/>
      <c r="F103" s="654"/>
      <c r="G103" s="654"/>
      <c r="H103" s="1099"/>
      <c r="I103" s="1099"/>
      <c r="J103" s="598"/>
      <c r="K103" s="357"/>
      <c r="L103" s="357"/>
      <c r="M103" s="357"/>
      <c r="S103" s="18"/>
      <c r="T103" s="18"/>
      <c r="U103" s="18"/>
      <c r="V103" s="18"/>
      <c r="W103" s="18"/>
      <c r="X103" s="18"/>
      <c r="Y103" s="18"/>
      <c r="Z103" s="18"/>
      <c r="AA103" s="18"/>
      <c r="AB103" s="18"/>
      <c r="AE103" s="18"/>
      <c r="AF103" s="18"/>
    </row>
    <row r="104" spans="1:32">
      <c r="B104" s="1102"/>
      <c r="C104" s="919"/>
      <c r="D104" s="654"/>
      <c r="E104" s="654"/>
      <c r="F104" s="654"/>
      <c r="G104" s="654"/>
      <c r="H104" s="1099"/>
      <c r="I104" s="1099"/>
      <c r="J104" s="598"/>
      <c r="K104" s="357"/>
      <c r="L104" s="357"/>
      <c r="M104" s="357"/>
      <c r="S104" s="18"/>
      <c r="T104" s="18"/>
      <c r="U104" s="18"/>
      <c r="V104" s="18"/>
      <c r="W104" s="18"/>
      <c r="X104" s="18"/>
      <c r="Y104" s="18"/>
      <c r="Z104" s="18"/>
      <c r="AA104" s="18"/>
      <c r="AB104" s="18"/>
      <c r="AE104" s="18"/>
      <c r="AF104" s="18"/>
    </row>
    <row r="105" spans="1:32">
      <c r="B105" s="1102"/>
      <c r="C105" s="919"/>
      <c r="D105" s="654"/>
      <c r="E105" s="654"/>
      <c r="F105" s="654"/>
      <c r="G105" s="654"/>
      <c r="H105" s="1099"/>
      <c r="I105" s="1099"/>
      <c r="J105" s="598"/>
      <c r="K105" s="357"/>
      <c r="L105" s="357"/>
      <c r="M105" s="357"/>
      <c r="S105" s="18"/>
      <c r="T105" s="18"/>
      <c r="U105" s="18"/>
      <c r="V105" s="18"/>
      <c r="W105" s="18"/>
      <c r="X105" s="18"/>
      <c r="Y105" s="18"/>
      <c r="Z105" s="18"/>
      <c r="AA105" s="18"/>
      <c r="AB105" s="18"/>
      <c r="AE105" s="18"/>
      <c r="AF105" s="18"/>
    </row>
    <row r="106" spans="1:32">
      <c r="B106" s="1102"/>
      <c r="C106" s="919"/>
      <c r="D106" s="654"/>
      <c r="E106" s="654"/>
      <c r="F106" s="654"/>
      <c r="G106" s="654"/>
      <c r="H106" s="1099"/>
      <c r="I106" s="1099"/>
      <c r="J106" s="598"/>
      <c r="K106" s="357"/>
      <c r="L106" s="357"/>
      <c r="M106" s="357"/>
      <c r="S106" s="18"/>
      <c r="T106" s="18"/>
      <c r="U106" s="18"/>
      <c r="V106" s="18"/>
      <c r="W106" s="18"/>
      <c r="X106" s="18"/>
      <c r="Y106" s="18"/>
      <c r="Z106" s="18"/>
      <c r="AA106" s="18"/>
      <c r="AB106" s="18"/>
      <c r="AE106" s="18"/>
      <c r="AF106" s="18"/>
    </row>
    <row r="107" spans="1:32">
      <c r="B107" s="1102"/>
      <c r="C107" s="919"/>
      <c r="D107" s="654"/>
      <c r="E107" s="654"/>
      <c r="F107" s="654"/>
      <c r="G107" s="654"/>
      <c r="H107" s="1099"/>
      <c r="I107" s="1099"/>
      <c r="J107" s="598"/>
      <c r="K107" s="357"/>
      <c r="L107" s="357"/>
      <c r="M107" s="357"/>
      <c r="S107" s="18"/>
      <c r="T107" s="18"/>
      <c r="U107" s="18"/>
      <c r="V107" s="18"/>
      <c r="W107" s="18"/>
      <c r="X107" s="18"/>
      <c r="Y107" s="18"/>
      <c r="Z107" s="18"/>
      <c r="AA107" s="18"/>
      <c r="AB107" s="18"/>
      <c r="AE107" s="18"/>
      <c r="AF107" s="18"/>
    </row>
    <row r="108" spans="1:32">
      <c r="B108" s="1102"/>
      <c r="C108" s="919"/>
      <c r="D108" s="654"/>
      <c r="E108" s="654"/>
      <c r="F108" s="654"/>
      <c r="G108" s="654"/>
      <c r="H108" s="1099"/>
      <c r="I108" s="1099"/>
      <c r="J108" s="598"/>
      <c r="K108" s="357"/>
      <c r="L108" s="357"/>
      <c r="M108" s="357"/>
      <c r="S108" s="18"/>
      <c r="T108" s="18"/>
      <c r="U108" s="18"/>
      <c r="V108" s="18"/>
      <c r="W108" s="18"/>
      <c r="X108" s="18"/>
      <c r="Y108" s="18"/>
      <c r="Z108" s="18"/>
      <c r="AA108" s="18"/>
      <c r="AB108" s="18"/>
      <c r="AE108" s="18"/>
      <c r="AF108" s="18"/>
    </row>
    <row r="109" spans="1:32">
      <c r="B109" s="1102"/>
      <c r="C109" s="919"/>
      <c r="D109" s="654"/>
      <c r="E109" s="654"/>
      <c r="F109" s="654"/>
      <c r="G109" s="654"/>
      <c r="H109" s="1099"/>
      <c r="I109" s="1099"/>
      <c r="J109" s="598"/>
      <c r="K109" s="357"/>
      <c r="L109" s="357"/>
      <c r="M109" s="357"/>
      <c r="S109" s="18"/>
      <c r="T109" s="18"/>
      <c r="U109" s="18"/>
      <c r="V109" s="18"/>
      <c r="W109" s="18"/>
      <c r="X109" s="18"/>
      <c r="Y109" s="18"/>
      <c r="Z109" s="18"/>
      <c r="AA109" s="18"/>
      <c r="AB109" s="18"/>
      <c r="AE109" s="18"/>
      <c r="AF109" s="18"/>
    </row>
    <row r="110" spans="1:32" ht="15.75" thickBot="1">
      <c r="B110" s="1103"/>
      <c r="C110" s="919"/>
      <c r="D110" s="654"/>
      <c r="E110" s="654"/>
      <c r="F110" s="654"/>
      <c r="G110" s="654"/>
      <c r="H110" s="1100"/>
      <c r="I110" s="1100"/>
      <c r="J110" s="599"/>
      <c r="K110" s="357"/>
      <c r="L110" s="357"/>
      <c r="M110" s="357"/>
      <c r="S110" s="18"/>
      <c r="T110" s="18"/>
      <c r="U110" s="18"/>
      <c r="V110" s="18"/>
      <c r="W110" s="18"/>
      <c r="X110" s="18"/>
      <c r="Y110" s="18"/>
      <c r="Z110" s="18"/>
      <c r="AA110" s="18"/>
      <c r="AB110" s="18"/>
      <c r="AE110" s="18"/>
      <c r="AF110" s="18"/>
    </row>
    <row r="111" spans="1:32" s="266" customFormat="1" ht="15.75" thickBot="1">
      <c r="A111" s="366"/>
      <c r="B111" s="264"/>
      <c r="C111" s="920"/>
      <c r="D111" s="644"/>
      <c r="E111" s="644"/>
      <c r="F111" s="644"/>
      <c r="G111" s="644"/>
      <c r="H111" s="367"/>
      <c r="I111" s="367"/>
      <c r="J111" s="367"/>
      <c r="K111" s="367"/>
      <c r="L111" s="367"/>
      <c r="M111" s="367"/>
      <c r="N111" s="367"/>
      <c r="O111" s="367"/>
      <c r="P111" s="367"/>
      <c r="Q111" s="368"/>
      <c r="R111" s="141"/>
      <c r="S111" s="141"/>
      <c r="T111" s="141"/>
      <c r="U111" s="216"/>
      <c r="V111" s="367"/>
      <c r="W111" s="367"/>
      <c r="X111" s="367"/>
    </row>
    <row r="112" spans="1:32" s="266" customFormat="1" ht="26.25" thickBot="1">
      <c r="A112" s="366"/>
      <c r="B112" s="873" t="s">
        <v>15</v>
      </c>
      <c r="C112" s="884" t="s">
        <v>128</v>
      </c>
      <c r="D112" s="873" t="s">
        <v>23</v>
      </c>
      <c r="E112" s="212" t="s">
        <v>24</v>
      </c>
      <c r="F112" s="212" t="s">
        <v>25</v>
      </c>
      <c r="G112" s="212" t="s">
        <v>26</v>
      </c>
      <c r="H112" s="1104" t="s">
        <v>38</v>
      </c>
      <c r="I112" s="1105"/>
      <c r="J112" s="465" t="s">
        <v>222</v>
      </c>
      <c r="K112" s="367"/>
      <c r="L112" s="367"/>
      <c r="M112" s="367"/>
      <c r="N112" s="367"/>
      <c r="O112" s="367"/>
      <c r="P112" s="367"/>
      <c r="Q112" s="368"/>
      <c r="R112" s="141"/>
      <c r="S112" s="141"/>
      <c r="T112" s="141"/>
      <c r="U112" s="216"/>
      <c r="V112" s="367"/>
      <c r="W112" s="367"/>
      <c r="X112" s="367"/>
    </row>
    <row r="113" spans="1:24" s="266" customFormat="1">
      <c r="A113" s="366"/>
      <c r="B113" s="1101"/>
      <c r="C113" s="918"/>
      <c r="D113" s="652"/>
      <c r="E113" s="885"/>
      <c r="F113" s="885"/>
      <c r="G113" s="885"/>
      <c r="H113" s="1106"/>
      <c r="I113" s="1106"/>
      <c r="J113" s="596"/>
      <c r="K113" s="367"/>
      <c r="L113" s="367"/>
      <c r="M113" s="367"/>
      <c r="N113" s="367"/>
      <c r="O113" s="367"/>
      <c r="P113" s="367"/>
      <c r="Q113" s="368"/>
      <c r="R113" s="141"/>
      <c r="S113" s="141"/>
      <c r="T113" s="141"/>
      <c r="U113" s="216"/>
      <c r="V113" s="367"/>
      <c r="W113" s="367"/>
      <c r="X113" s="367"/>
    </row>
    <row r="114" spans="1:24" s="266" customFormat="1">
      <c r="A114" s="366"/>
      <c r="B114" s="1102"/>
      <c r="C114" s="919"/>
      <c r="D114" s="883"/>
      <c r="E114" s="883"/>
      <c r="F114" s="883"/>
      <c r="G114" s="883"/>
      <c r="H114" s="1099"/>
      <c r="I114" s="1099"/>
      <c r="J114" s="597"/>
      <c r="K114" s="367"/>
      <c r="L114" s="367"/>
      <c r="M114" s="367"/>
      <c r="N114" s="367"/>
      <c r="O114" s="367"/>
      <c r="P114" s="367"/>
      <c r="Q114" s="368"/>
      <c r="R114" s="141"/>
      <c r="S114" s="141"/>
      <c r="T114" s="141"/>
      <c r="U114" s="216"/>
      <c r="V114" s="367"/>
      <c r="W114" s="367"/>
      <c r="X114" s="367"/>
    </row>
    <row r="115" spans="1:24" s="266" customFormat="1">
      <c r="A115" s="366"/>
      <c r="B115" s="1102"/>
      <c r="C115" s="919"/>
      <c r="D115" s="883"/>
      <c r="E115" s="883"/>
      <c r="F115" s="883"/>
      <c r="G115" s="883"/>
      <c r="H115" s="1099"/>
      <c r="I115" s="1099"/>
      <c r="J115" s="597"/>
      <c r="K115" s="367"/>
      <c r="L115" s="367"/>
      <c r="M115" s="367"/>
      <c r="N115" s="367"/>
      <c r="O115" s="367"/>
      <c r="P115" s="367"/>
      <c r="Q115" s="368"/>
      <c r="R115" s="141"/>
      <c r="S115" s="141"/>
      <c r="T115" s="141"/>
      <c r="U115" s="216"/>
      <c r="V115" s="367"/>
      <c r="W115" s="367"/>
      <c r="X115" s="367"/>
    </row>
    <row r="116" spans="1:24" s="266" customFormat="1">
      <c r="A116" s="366"/>
      <c r="B116" s="1102"/>
      <c r="C116" s="919"/>
      <c r="D116" s="883"/>
      <c r="E116" s="883"/>
      <c r="F116" s="883"/>
      <c r="G116" s="883"/>
      <c r="H116" s="1099"/>
      <c r="I116" s="1099"/>
      <c r="J116" s="597"/>
      <c r="K116" s="367"/>
      <c r="L116" s="367"/>
      <c r="M116" s="367"/>
      <c r="N116" s="367"/>
      <c r="O116" s="367"/>
      <c r="P116" s="367"/>
      <c r="Q116" s="368"/>
      <c r="R116" s="141"/>
      <c r="S116" s="141"/>
      <c r="T116" s="141"/>
      <c r="U116" s="216"/>
      <c r="V116" s="367"/>
      <c r="W116" s="367"/>
      <c r="X116" s="367"/>
    </row>
    <row r="117" spans="1:24" s="266" customFormat="1">
      <c r="A117" s="366"/>
      <c r="B117" s="1102"/>
      <c r="C117" s="919"/>
      <c r="D117" s="883"/>
      <c r="E117" s="883"/>
      <c r="F117" s="883"/>
      <c r="G117" s="883"/>
      <c r="H117" s="1099"/>
      <c r="I117" s="1099"/>
      <c r="J117" s="597"/>
      <c r="K117" s="367"/>
      <c r="L117" s="367"/>
      <c r="M117" s="367"/>
      <c r="N117" s="367"/>
      <c r="O117" s="367"/>
      <c r="P117" s="367"/>
      <c r="Q117" s="368"/>
      <c r="R117" s="141"/>
      <c r="S117" s="141"/>
      <c r="T117" s="141"/>
      <c r="U117" s="216"/>
      <c r="V117" s="367"/>
      <c r="W117" s="367"/>
      <c r="X117" s="367"/>
    </row>
    <row r="118" spans="1:24" s="266" customFormat="1">
      <c r="A118" s="366"/>
      <c r="B118" s="1102"/>
      <c r="C118" s="919"/>
      <c r="D118" s="883"/>
      <c r="E118" s="883"/>
      <c r="F118" s="883"/>
      <c r="G118" s="883"/>
      <c r="H118" s="1099"/>
      <c r="I118" s="1099"/>
      <c r="J118" s="598"/>
      <c r="K118" s="367"/>
      <c r="L118" s="367"/>
      <c r="M118" s="367"/>
      <c r="N118" s="367"/>
      <c r="O118" s="367"/>
      <c r="P118" s="367"/>
      <c r="Q118" s="368"/>
      <c r="R118" s="141"/>
      <c r="S118" s="141"/>
      <c r="T118" s="141"/>
      <c r="U118" s="216"/>
      <c r="V118" s="367"/>
      <c r="W118" s="367"/>
      <c r="X118" s="367"/>
    </row>
    <row r="119" spans="1:24" s="266" customFormat="1">
      <c r="A119" s="366"/>
      <c r="B119" s="1102"/>
      <c r="C119" s="919"/>
      <c r="D119" s="883"/>
      <c r="E119" s="883"/>
      <c r="F119" s="883"/>
      <c r="G119" s="883"/>
      <c r="H119" s="1099"/>
      <c r="I119" s="1099"/>
      <c r="J119" s="598"/>
      <c r="K119" s="367"/>
      <c r="L119" s="367"/>
      <c r="M119" s="367"/>
      <c r="N119" s="367"/>
      <c r="O119" s="367"/>
      <c r="P119" s="367"/>
      <c r="Q119" s="368"/>
      <c r="R119" s="141"/>
      <c r="S119" s="141"/>
      <c r="T119" s="141"/>
      <c r="U119" s="216"/>
      <c r="V119" s="367"/>
      <c r="W119" s="367"/>
      <c r="X119" s="367"/>
    </row>
    <row r="120" spans="1:24" s="266" customFormat="1">
      <c r="A120" s="366"/>
      <c r="B120" s="1102"/>
      <c r="C120" s="919"/>
      <c r="D120" s="883"/>
      <c r="E120" s="883"/>
      <c r="F120" s="883"/>
      <c r="G120" s="883"/>
      <c r="H120" s="1099"/>
      <c r="I120" s="1099"/>
      <c r="J120" s="598"/>
      <c r="K120" s="367"/>
      <c r="L120" s="367"/>
      <c r="M120" s="367"/>
      <c r="N120" s="367"/>
      <c r="O120" s="367"/>
      <c r="P120" s="367"/>
      <c r="Q120" s="368"/>
      <c r="R120" s="141"/>
      <c r="S120" s="141"/>
      <c r="T120" s="141"/>
      <c r="U120" s="216"/>
      <c r="V120" s="367"/>
      <c r="W120" s="367"/>
      <c r="X120" s="367"/>
    </row>
    <row r="121" spans="1:24" s="266" customFormat="1">
      <c r="A121" s="366"/>
      <c r="B121" s="1102"/>
      <c r="C121" s="919"/>
      <c r="D121" s="883"/>
      <c r="E121" s="883"/>
      <c r="F121" s="883"/>
      <c r="G121" s="883"/>
      <c r="H121" s="1099"/>
      <c r="I121" s="1099"/>
      <c r="J121" s="598"/>
      <c r="K121" s="367"/>
      <c r="L121" s="367"/>
      <c r="M121" s="367"/>
      <c r="N121" s="367"/>
      <c r="O121" s="367"/>
      <c r="P121" s="367"/>
      <c r="Q121" s="368"/>
      <c r="R121" s="141"/>
      <c r="S121" s="141"/>
      <c r="T121" s="141"/>
      <c r="U121" s="216"/>
      <c r="V121" s="367"/>
      <c r="W121" s="367"/>
      <c r="X121" s="367"/>
    </row>
    <row r="122" spans="1:24" s="266" customFormat="1">
      <c r="A122" s="366"/>
      <c r="B122" s="1102"/>
      <c r="C122" s="919"/>
      <c r="D122" s="883"/>
      <c r="E122" s="883"/>
      <c r="F122" s="883"/>
      <c r="G122" s="883"/>
      <c r="H122" s="1099"/>
      <c r="I122" s="1099"/>
      <c r="J122" s="598"/>
      <c r="K122" s="367"/>
      <c r="L122" s="367"/>
      <c r="M122" s="367"/>
      <c r="N122" s="367"/>
      <c r="O122" s="367"/>
      <c r="P122" s="367"/>
      <c r="Q122" s="368"/>
      <c r="R122" s="141"/>
      <c r="S122" s="141"/>
      <c r="T122" s="141"/>
      <c r="U122" s="216"/>
      <c r="V122" s="367"/>
      <c r="W122" s="367"/>
      <c r="X122" s="367"/>
    </row>
    <row r="123" spans="1:24" s="266" customFormat="1">
      <c r="A123" s="366"/>
      <c r="B123" s="1102"/>
      <c r="C123" s="919"/>
      <c r="D123" s="883"/>
      <c r="E123" s="883"/>
      <c r="F123" s="883"/>
      <c r="G123" s="883"/>
      <c r="H123" s="1099"/>
      <c r="I123" s="1099"/>
      <c r="J123" s="598"/>
      <c r="K123" s="367"/>
      <c r="L123" s="367"/>
      <c r="M123" s="367"/>
      <c r="N123" s="367"/>
      <c r="O123" s="367"/>
      <c r="P123" s="367"/>
      <c r="Q123" s="368"/>
      <c r="R123" s="141"/>
      <c r="S123" s="141"/>
      <c r="T123" s="141"/>
      <c r="U123" s="216"/>
      <c r="V123" s="367"/>
      <c r="W123" s="367"/>
      <c r="X123" s="367"/>
    </row>
    <row r="124" spans="1:24" s="266" customFormat="1">
      <c r="A124" s="366"/>
      <c r="B124" s="1102"/>
      <c r="C124" s="919"/>
      <c r="D124" s="883"/>
      <c r="E124" s="883"/>
      <c r="F124" s="883"/>
      <c r="G124" s="883"/>
      <c r="H124" s="1099"/>
      <c r="I124" s="1099"/>
      <c r="J124" s="598"/>
      <c r="K124" s="367"/>
      <c r="L124" s="367"/>
      <c r="M124" s="367"/>
      <c r="N124" s="367"/>
      <c r="O124" s="367"/>
      <c r="P124" s="367"/>
      <c r="Q124" s="368"/>
      <c r="R124" s="141"/>
      <c r="S124" s="141"/>
      <c r="T124" s="141"/>
      <c r="U124" s="216"/>
      <c r="V124" s="367"/>
      <c r="W124" s="367"/>
      <c r="X124" s="367"/>
    </row>
    <row r="125" spans="1:24" s="266" customFormat="1">
      <c r="A125" s="366"/>
      <c r="B125" s="1102"/>
      <c r="C125" s="919"/>
      <c r="D125" s="883"/>
      <c r="E125" s="883"/>
      <c r="F125" s="883"/>
      <c r="G125" s="883"/>
      <c r="H125" s="1099"/>
      <c r="I125" s="1099"/>
      <c r="J125" s="598"/>
      <c r="K125" s="367"/>
      <c r="L125" s="367"/>
      <c r="M125" s="367"/>
      <c r="N125" s="367"/>
      <c r="O125" s="367"/>
      <c r="P125" s="367"/>
      <c r="Q125" s="368"/>
      <c r="R125" s="141"/>
      <c r="S125" s="141"/>
      <c r="T125" s="141"/>
      <c r="U125" s="216"/>
      <c r="V125" s="367"/>
      <c r="W125" s="367"/>
      <c r="X125" s="367"/>
    </row>
    <row r="126" spans="1:24" s="266" customFormat="1">
      <c r="A126" s="366"/>
      <c r="B126" s="1102"/>
      <c r="C126" s="919"/>
      <c r="D126" s="883"/>
      <c r="E126" s="883"/>
      <c r="F126" s="883"/>
      <c r="G126" s="883"/>
      <c r="H126" s="1099"/>
      <c r="I126" s="1099"/>
      <c r="J126" s="598"/>
      <c r="K126" s="367"/>
      <c r="L126" s="367"/>
      <c r="M126" s="367"/>
      <c r="N126" s="367"/>
      <c r="O126" s="367"/>
      <c r="P126" s="367"/>
      <c r="Q126" s="368"/>
      <c r="R126" s="141"/>
      <c r="S126" s="141"/>
      <c r="T126" s="141"/>
      <c r="U126" s="216"/>
      <c r="V126" s="367"/>
      <c r="W126" s="367"/>
      <c r="X126" s="367"/>
    </row>
    <row r="127" spans="1:24" s="266" customFormat="1">
      <c r="A127" s="366"/>
      <c r="B127" s="1102"/>
      <c r="C127" s="919"/>
      <c r="D127" s="883"/>
      <c r="E127" s="883"/>
      <c r="F127" s="883"/>
      <c r="G127" s="883"/>
      <c r="H127" s="1099"/>
      <c r="I127" s="1099"/>
      <c r="J127" s="598"/>
      <c r="K127" s="367"/>
      <c r="L127" s="367"/>
      <c r="M127" s="367"/>
      <c r="N127" s="367"/>
      <c r="O127" s="367"/>
      <c r="P127" s="367"/>
      <c r="Q127" s="368"/>
      <c r="R127" s="141"/>
      <c r="S127" s="141"/>
      <c r="T127" s="141"/>
      <c r="U127" s="216"/>
      <c r="V127" s="367"/>
      <c r="W127" s="367"/>
      <c r="X127" s="367"/>
    </row>
    <row r="128" spans="1:24" s="266" customFormat="1">
      <c r="A128" s="366"/>
      <c r="B128" s="1102"/>
      <c r="C128" s="919"/>
      <c r="D128" s="883"/>
      <c r="E128" s="883"/>
      <c r="F128" s="883"/>
      <c r="G128" s="883"/>
      <c r="H128" s="1099"/>
      <c r="I128" s="1099"/>
      <c r="J128" s="598"/>
      <c r="K128" s="367"/>
      <c r="L128" s="367"/>
      <c r="M128" s="367"/>
      <c r="N128" s="367"/>
      <c r="O128" s="367"/>
      <c r="P128" s="367"/>
      <c r="Q128" s="368"/>
      <c r="R128" s="141"/>
      <c r="S128" s="141"/>
      <c r="T128" s="141"/>
      <c r="U128" s="216"/>
      <c r="V128" s="367"/>
      <c r="W128" s="367"/>
      <c r="X128" s="367"/>
    </row>
    <row r="129" spans="1:28" s="266" customFormat="1">
      <c r="A129" s="366"/>
      <c r="B129" s="1102"/>
      <c r="C129" s="919"/>
      <c r="D129" s="883"/>
      <c r="E129" s="883"/>
      <c r="F129" s="883"/>
      <c r="G129" s="883"/>
      <c r="H129" s="1099"/>
      <c r="I129" s="1099"/>
      <c r="J129" s="598"/>
      <c r="K129" s="367"/>
      <c r="L129" s="367"/>
      <c r="M129" s="367"/>
      <c r="N129" s="367"/>
      <c r="O129" s="367"/>
      <c r="P129" s="367"/>
      <c r="Q129" s="368"/>
      <c r="R129" s="141"/>
      <c r="S129" s="141"/>
      <c r="T129" s="141"/>
      <c r="U129" s="216"/>
      <c r="V129" s="367"/>
      <c r="W129" s="367"/>
      <c r="X129" s="367"/>
    </row>
    <row r="130" spans="1:28" s="266" customFormat="1">
      <c r="A130" s="366"/>
      <c r="B130" s="1102"/>
      <c r="C130" s="919"/>
      <c r="D130" s="883"/>
      <c r="E130" s="883"/>
      <c r="F130" s="883"/>
      <c r="G130" s="883"/>
      <c r="H130" s="1099"/>
      <c r="I130" s="1099"/>
      <c r="J130" s="598"/>
      <c r="K130" s="367"/>
      <c r="L130" s="367"/>
      <c r="M130" s="367"/>
      <c r="N130" s="367"/>
      <c r="O130" s="367"/>
      <c r="P130" s="367"/>
      <c r="Q130" s="368"/>
      <c r="R130" s="141"/>
      <c r="S130" s="141"/>
      <c r="T130" s="141"/>
      <c r="U130" s="216"/>
      <c r="V130" s="367"/>
      <c r="W130" s="367"/>
      <c r="X130" s="367"/>
    </row>
    <row r="131" spans="1:28" s="266" customFormat="1">
      <c r="A131" s="366"/>
      <c r="B131" s="1102"/>
      <c r="C131" s="919"/>
      <c r="D131" s="883"/>
      <c r="E131" s="883"/>
      <c r="F131" s="883"/>
      <c r="G131" s="883"/>
      <c r="H131" s="1099"/>
      <c r="I131" s="1099"/>
      <c r="J131" s="598"/>
      <c r="K131" s="367"/>
      <c r="L131" s="367"/>
      <c r="M131" s="367"/>
      <c r="N131" s="367"/>
      <c r="O131" s="367"/>
      <c r="P131" s="367"/>
      <c r="Q131" s="368"/>
      <c r="R131" s="141"/>
      <c r="S131" s="141"/>
      <c r="T131" s="141"/>
      <c r="U131" s="216"/>
      <c r="V131" s="367"/>
      <c r="W131" s="367"/>
      <c r="X131" s="367"/>
    </row>
    <row r="132" spans="1:28" s="266" customFormat="1" ht="15.75" thickBot="1">
      <c r="A132" s="366"/>
      <c r="B132" s="1103"/>
      <c r="C132" s="919"/>
      <c r="D132" s="883"/>
      <c r="E132" s="883"/>
      <c r="F132" s="883"/>
      <c r="G132" s="883"/>
      <c r="H132" s="1100"/>
      <c r="I132" s="1100"/>
      <c r="J132" s="599"/>
      <c r="K132" s="367"/>
      <c r="L132" s="367"/>
      <c r="M132" s="367"/>
      <c r="N132" s="367"/>
      <c r="O132" s="367"/>
      <c r="P132" s="367"/>
      <c r="Q132" s="368"/>
      <c r="R132" s="141"/>
      <c r="S132" s="141"/>
      <c r="T132" s="141"/>
      <c r="U132" s="216"/>
      <c r="V132" s="367"/>
      <c r="W132" s="367"/>
      <c r="X132" s="367"/>
    </row>
    <row r="133" spans="1:28" s="266" customFormat="1" ht="15.75" thickBot="1">
      <c r="A133" s="366"/>
      <c r="B133" s="264"/>
      <c r="C133" s="265"/>
      <c r="D133" s="911"/>
      <c r="E133" s="886"/>
      <c r="F133" s="886"/>
      <c r="G133" s="886"/>
      <c r="H133" s="886"/>
      <c r="I133" s="886"/>
      <c r="J133" s="886"/>
      <c r="K133" s="886"/>
      <c r="L133" s="367"/>
      <c r="M133" s="367"/>
      <c r="N133" s="367"/>
      <c r="O133" s="367"/>
      <c r="P133" s="367"/>
      <c r="Q133" s="367"/>
      <c r="R133" s="367"/>
      <c r="S133" s="367"/>
      <c r="T133" s="367"/>
      <c r="U133" s="368"/>
      <c r="V133" s="141"/>
      <c r="W133" s="141"/>
      <c r="X133" s="141"/>
      <c r="Y133" s="216"/>
      <c r="Z133" s="367"/>
      <c r="AA133" s="367"/>
      <c r="AB133" s="367"/>
    </row>
    <row r="134" spans="1:28" s="266" customFormat="1" ht="26.25" thickBot="1">
      <c r="A134" s="366"/>
      <c r="B134" s="873" t="s">
        <v>15</v>
      </c>
      <c r="C134" s="884" t="s">
        <v>128</v>
      </c>
      <c r="D134" s="873" t="s">
        <v>23</v>
      </c>
      <c r="E134" s="212" t="s">
        <v>24</v>
      </c>
      <c r="F134" s="212" t="s">
        <v>25</v>
      </c>
      <c r="G134" s="212" t="s">
        <v>26</v>
      </c>
      <c r="H134" s="1104" t="s">
        <v>38</v>
      </c>
      <c r="I134" s="1105"/>
      <c r="J134" s="465" t="s">
        <v>222</v>
      </c>
      <c r="K134" s="886"/>
      <c r="L134" s="367"/>
      <c r="M134" s="367"/>
      <c r="N134" s="367"/>
      <c r="O134" s="367"/>
      <c r="P134" s="367"/>
      <c r="Q134" s="367"/>
      <c r="R134" s="367"/>
      <c r="S134" s="367"/>
      <c r="T134" s="367"/>
      <c r="U134" s="368"/>
      <c r="V134" s="141"/>
      <c r="W134" s="141"/>
      <c r="X134" s="141"/>
      <c r="Y134" s="216"/>
      <c r="Z134" s="367"/>
      <c r="AA134" s="367"/>
      <c r="AB134" s="367"/>
    </row>
    <row r="135" spans="1:28" s="266" customFormat="1">
      <c r="A135" s="366"/>
      <c r="B135" s="1101"/>
      <c r="C135" s="918"/>
      <c r="D135" s="652"/>
      <c r="E135" s="885"/>
      <c r="F135" s="885"/>
      <c r="G135" s="885"/>
      <c r="H135" s="1106"/>
      <c r="I135" s="1106"/>
      <c r="J135" s="596"/>
      <c r="K135" s="886"/>
      <c r="L135" s="367"/>
      <c r="M135" s="367"/>
      <c r="N135" s="367"/>
      <c r="O135" s="367"/>
      <c r="P135" s="367"/>
      <c r="Q135" s="367"/>
      <c r="R135" s="367"/>
      <c r="S135" s="367"/>
      <c r="T135" s="367"/>
      <c r="U135" s="368"/>
      <c r="V135" s="141"/>
      <c r="W135" s="141"/>
      <c r="X135" s="141"/>
      <c r="Y135" s="216"/>
      <c r="Z135" s="367"/>
      <c r="AA135" s="367"/>
      <c r="AB135" s="367"/>
    </row>
    <row r="136" spans="1:28" s="266" customFormat="1">
      <c r="A136" s="366"/>
      <c r="B136" s="1102"/>
      <c r="C136" s="919"/>
      <c r="D136" s="883"/>
      <c r="E136" s="883"/>
      <c r="F136" s="883"/>
      <c r="G136" s="883"/>
      <c r="H136" s="1099"/>
      <c r="I136" s="1099"/>
      <c r="J136" s="597"/>
      <c r="K136" s="886"/>
      <c r="L136" s="367"/>
      <c r="M136" s="367"/>
      <c r="N136" s="367"/>
      <c r="O136" s="367"/>
      <c r="P136" s="367"/>
      <c r="Q136" s="367"/>
      <c r="R136" s="367"/>
      <c r="S136" s="367"/>
      <c r="T136" s="367"/>
      <c r="U136" s="368"/>
      <c r="V136" s="141"/>
      <c r="W136" s="141"/>
      <c r="X136" s="141"/>
      <c r="Y136" s="216"/>
      <c r="Z136" s="367"/>
      <c r="AA136" s="367"/>
      <c r="AB136" s="367"/>
    </row>
    <row r="137" spans="1:28" s="266" customFormat="1">
      <c r="A137" s="366"/>
      <c r="B137" s="1102"/>
      <c r="C137" s="919"/>
      <c r="D137" s="883"/>
      <c r="E137" s="883"/>
      <c r="F137" s="883"/>
      <c r="G137" s="883"/>
      <c r="H137" s="1099"/>
      <c r="I137" s="1099"/>
      <c r="J137" s="597"/>
      <c r="K137" s="886"/>
      <c r="L137" s="367"/>
      <c r="M137" s="367"/>
      <c r="N137" s="367"/>
      <c r="O137" s="367"/>
      <c r="P137" s="367"/>
      <c r="Q137" s="367"/>
      <c r="R137" s="367"/>
      <c r="S137" s="367"/>
      <c r="T137" s="367"/>
      <c r="U137" s="368"/>
      <c r="V137" s="141"/>
      <c r="W137" s="141"/>
      <c r="X137" s="141"/>
      <c r="Y137" s="216"/>
      <c r="Z137" s="367"/>
      <c r="AA137" s="367"/>
      <c r="AB137" s="367"/>
    </row>
    <row r="138" spans="1:28" s="266" customFormat="1">
      <c r="A138" s="366"/>
      <c r="B138" s="1102"/>
      <c r="C138" s="919"/>
      <c r="D138" s="883"/>
      <c r="E138" s="883"/>
      <c r="F138" s="883"/>
      <c r="G138" s="883"/>
      <c r="H138" s="1099"/>
      <c r="I138" s="1099"/>
      <c r="J138" s="597"/>
      <c r="K138" s="886"/>
      <c r="L138" s="367"/>
      <c r="M138" s="367"/>
      <c r="N138" s="367"/>
      <c r="O138" s="367"/>
      <c r="P138" s="367"/>
      <c r="Q138" s="367"/>
      <c r="R138" s="367"/>
      <c r="S138" s="367"/>
      <c r="T138" s="367"/>
      <c r="U138" s="368"/>
      <c r="V138" s="141"/>
      <c r="W138" s="141"/>
      <c r="X138" s="141"/>
      <c r="Y138" s="216"/>
      <c r="Z138" s="367"/>
      <c r="AA138" s="367"/>
      <c r="AB138" s="367"/>
    </row>
    <row r="139" spans="1:28" s="266" customFormat="1">
      <c r="A139" s="366"/>
      <c r="B139" s="1102"/>
      <c r="C139" s="919"/>
      <c r="D139" s="883"/>
      <c r="E139" s="883"/>
      <c r="F139" s="883"/>
      <c r="G139" s="883"/>
      <c r="H139" s="1099"/>
      <c r="I139" s="1099"/>
      <c r="J139" s="597"/>
      <c r="K139" s="886"/>
      <c r="L139" s="367"/>
      <c r="M139" s="367"/>
      <c r="N139" s="367"/>
      <c r="O139" s="367"/>
      <c r="P139" s="367"/>
      <c r="Q139" s="367"/>
      <c r="R139" s="367"/>
      <c r="S139" s="367"/>
      <c r="T139" s="367"/>
      <c r="U139" s="368"/>
      <c r="V139" s="141"/>
      <c r="W139" s="141"/>
      <c r="X139" s="141"/>
      <c r="Y139" s="216"/>
      <c r="Z139" s="367"/>
      <c r="AA139" s="367"/>
      <c r="AB139" s="367"/>
    </row>
    <row r="140" spans="1:28" s="266" customFormat="1">
      <c r="A140" s="366"/>
      <c r="B140" s="1102"/>
      <c r="C140" s="919"/>
      <c r="D140" s="883"/>
      <c r="E140" s="883"/>
      <c r="F140" s="883"/>
      <c r="G140" s="883"/>
      <c r="H140" s="1099"/>
      <c r="I140" s="1099"/>
      <c r="J140" s="598"/>
      <c r="K140" s="886"/>
      <c r="L140" s="367"/>
      <c r="M140" s="367"/>
      <c r="N140" s="367"/>
      <c r="O140" s="367"/>
      <c r="P140" s="367"/>
      <c r="Q140" s="367"/>
      <c r="R140" s="367"/>
      <c r="S140" s="367"/>
      <c r="T140" s="367"/>
      <c r="U140" s="368"/>
      <c r="V140" s="141"/>
      <c r="W140" s="141"/>
      <c r="X140" s="141"/>
      <c r="Y140" s="216"/>
      <c r="Z140" s="367"/>
      <c r="AA140" s="367"/>
      <c r="AB140" s="367"/>
    </row>
    <row r="141" spans="1:28" s="266" customFormat="1">
      <c r="A141" s="366"/>
      <c r="B141" s="1102"/>
      <c r="C141" s="919"/>
      <c r="D141" s="883"/>
      <c r="E141" s="883"/>
      <c r="F141" s="883"/>
      <c r="G141" s="883"/>
      <c r="H141" s="1099"/>
      <c r="I141" s="1099"/>
      <c r="J141" s="598"/>
      <c r="K141" s="886"/>
      <c r="L141" s="367"/>
      <c r="M141" s="367"/>
      <c r="N141" s="367"/>
      <c r="O141" s="367"/>
      <c r="P141" s="367"/>
      <c r="Q141" s="367"/>
      <c r="R141" s="367"/>
      <c r="S141" s="367"/>
      <c r="T141" s="367"/>
      <c r="U141" s="368"/>
      <c r="V141" s="141"/>
      <c r="W141" s="141"/>
      <c r="X141" s="141"/>
      <c r="Y141" s="216"/>
      <c r="Z141" s="367"/>
      <c r="AA141" s="367"/>
      <c r="AB141" s="367"/>
    </row>
    <row r="142" spans="1:28" s="266" customFormat="1">
      <c r="A142" s="366"/>
      <c r="B142" s="1102"/>
      <c r="C142" s="919"/>
      <c r="D142" s="883"/>
      <c r="E142" s="883"/>
      <c r="F142" s="883"/>
      <c r="G142" s="883"/>
      <c r="H142" s="1099"/>
      <c r="I142" s="1099"/>
      <c r="J142" s="598"/>
      <c r="K142" s="886"/>
      <c r="L142" s="367"/>
      <c r="M142" s="367"/>
      <c r="N142" s="367"/>
      <c r="O142" s="367"/>
      <c r="P142" s="367"/>
      <c r="Q142" s="367"/>
      <c r="R142" s="367"/>
      <c r="S142" s="367"/>
      <c r="T142" s="367"/>
      <c r="U142" s="368"/>
      <c r="V142" s="141"/>
      <c r="W142" s="141"/>
      <c r="X142" s="141"/>
      <c r="Y142" s="216"/>
      <c r="Z142" s="367"/>
      <c r="AA142" s="367"/>
      <c r="AB142" s="367"/>
    </row>
    <row r="143" spans="1:28" s="266" customFormat="1">
      <c r="A143" s="366"/>
      <c r="B143" s="1102"/>
      <c r="C143" s="919"/>
      <c r="D143" s="883"/>
      <c r="E143" s="883"/>
      <c r="F143" s="883"/>
      <c r="G143" s="883"/>
      <c r="H143" s="1099"/>
      <c r="I143" s="1099"/>
      <c r="J143" s="598"/>
      <c r="K143" s="886"/>
      <c r="L143" s="367"/>
      <c r="M143" s="367"/>
      <c r="N143" s="367"/>
      <c r="O143" s="367"/>
      <c r="P143" s="367"/>
      <c r="Q143" s="367"/>
      <c r="R143" s="367"/>
      <c r="S143" s="367"/>
      <c r="T143" s="367"/>
      <c r="U143" s="368"/>
      <c r="V143" s="141"/>
      <c r="W143" s="141"/>
      <c r="X143" s="141"/>
      <c r="Y143" s="216"/>
      <c r="Z143" s="367"/>
      <c r="AA143" s="367"/>
      <c r="AB143" s="367"/>
    </row>
    <row r="144" spans="1:28" s="266" customFormat="1">
      <c r="A144" s="366"/>
      <c r="B144" s="1102"/>
      <c r="C144" s="919"/>
      <c r="D144" s="883"/>
      <c r="E144" s="883"/>
      <c r="F144" s="883"/>
      <c r="G144" s="883"/>
      <c r="H144" s="1099"/>
      <c r="I144" s="1099"/>
      <c r="J144" s="598"/>
      <c r="K144" s="886"/>
      <c r="L144" s="367"/>
      <c r="M144" s="367"/>
      <c r="N144" s="367"/>
      <c r="O144" s="367"/>
      <c r="P144" s="367"/>
      <c r="Q144" s="367"/>
      <c r="R144" s="367"/>
      <c r="S144" s="367"/>
      <c r="T144" s="367"/>
      <c r="U144" s="368"/>
      <c r="V144" s="141"/>
      <c r="W144" s="141"/>
      <c r="X144" s="141"/>
      <c r="Y144" s="216"/>
      <c r="Z144" s="367"/>
      <c r="AA144" s="367"/>
      <c r="AB144" s="367"/>
    </row>
    <row r="145" spans="1:28" s="266" customFormat="1">
      <c r="A145" s="366"/>
      <c r="B145" s="1102"/>
      <c r="C145" s="919"/>
      <c r="D145" s="883"/>
      <c r="E145" s="883"/>
      <c r="F145" s="883"/>
      <c r="G145" s="883"/>
      <c r="H145" s="1099"/>
      <c r="I145" s="1099"/>
      <c r="J145" s="598"/>
      <c r="K145" s="886"/>
      <c r="L145" s="367"/>
      <c r="M145" s="367"/>
      <c r="N145" s="367"/>
      <c r="O145" s="367"/>
      <c r="P145" s="367"/>
      <c r="Q145" s="367"/>
      <c r="R145" s="367"/>
      <c r="S145" s="367"/>
      <c r="T145" s="367"/>
      <c r="U145" s="368"/>
      <c r="V145" s="141"/>
      <c r="W145" s="141"/>
      <c r="X145" s="141"/>
      <c r="Y145" s="216"/>
      <c r="Z145" s="367"/>
      <c r="AA145" s="367"/>
      <c r="AB145" s="367"/>
    </row>
    <row r="146" spans="1:28" s="266" customFormat="1">
      <c r="A146" s="366"/>
      <c r="B146" s="1102"/>
      <c r="C146" s="919"/>
      <c r="D146" s="883"/>
      <c r="E146" s="883"/>
      <c r="F146" s="883"/>
      <c r="G146" s="883"/>
      <c r="H146" s="1099"/>
      <c r="I146" s="1099"/>
      <c r="J146" s="598"/>
      <c r="K146" s="886"/>
      <c r="L146" s="367"/>
      <c r="M146" s="367"/>
      <c r="N146" s="367"/>
      <c r="O146" s="367"/>
      <c r="P146" s="367"/>
      <c r="Q146" s="367"/>
      <c r="R146" s="367"/>
      <c r="S146" s="367"/>
      <c r="T146" s="367"/>
      <c r="U146" s="368"/>
      <c r="V146" s="141"/>
      <c r="W146" s="141"/>
      <c r="X146" s="141"/>
      <c r="Y146" s="216"/>
      <c r="Z146" s="367"/>
      <c r="AA146" s="367"/>
      <c r="AB146" s="367"/>
    </row>
    <row r="147" spans="1:28" s="266" customFormat="1">
      <c r="A147" s="366"/>
      <c r="B147" s="1102"/>
      <c r="C147" s="919"/>
      <c r="D147" s="883"/>
      <c r="E147" s="883"/>
      <c r="F147" s="883"/>
      <c r="G147" s="883"/>
      <c r="H147" s="1099"/>
      <c r="I147" s="1099"/>
      <c r="J147" s="598"/>
      <c r="K147" s="886"/>
      <c r="L147" s="367"/>
      <c r="M147" s="367"/>
      <c r="N147" s="367"/>
      <c r="O147" s="367"/>
      <c r="P147" s="367"/>
      <c r="Q147" s="367"/>
      <c r="R147" s="367"/>
      <c r="S147" s="367"/>
      <c r="T147" s="367"/>
      <c r="U147" s="368"/>
      <c r="V147" s="141"/>
      <c r="W147" s="141"/>
      <c r="X147" s="141"/>
      <c r="Y147" s="216"/>
      <c r="Z147" s="367"/>
      <c r="AA147" s="367"/>
      <c r="AB147" s="367"/>
    </row>
    <row r="148" spans="1:28" s="266" customFormat="1">
      <c r="A148" s="366"/>
      <c r="B148" s="1102"/>
      <c r="C148" s="919"/>
      <c r="D148" s="883"/>
      <c r="E148" s="883"/>
      <c r="F148" s="883"/>
      <c r="G148" s="883"/>
      <c r="H148" s="1099"/>
      <c r="I148" s="1099"/>
      <c r="J148" s="598"/>
      <c r="K148" s="886"/>
      <c r="L148" s="367"/>
      <c r="M148" s="367"/>
      <c r="N148" s="367"/>
      <c r="O148" s="367"/>
      <c r="P148" s="367"/>
      <c r="Q148" s="367"/>
      <c r="R148" s="367"/>
      <c r="S148" s="367"/>
      <c r="T148" s="367"/>
      <c r="U148" s="368"/>
      <c r="V148" s="141"/>
      <c r="W148" s="141"/>
      <c r="X148" s="141"/>
      <c r="Y148" s="216"/>
      <c r="Z148" s="367"/>
      <c r="AA148" s="367"/>
      <c r="AB148" s="367"/>
    </row>
    <row r="149" spans="1:28" s="266" customFormat="1">
      <c r="A149" s="366"/>
      <c r="B149" s="1102"/>
      <c r="C149" s="919"/>
      <c r="D149" s="883"/>
      <c r="E149" s="883"/>
      <c r="F149" s="883"/>
      <c r="G149" s="883"/>
      <c r="H149" s="1099"/>
      <c r="I149" s="1099"/>
      <c r="J149" s="598"/>
      <c r="K149" s="886"/>
      <c r="L149" s="367"/>
      <c r="M149" s="367"/>
      <c r="N149" s="367"/>
      <c r="O149" s="367"/>
      <c r="P149" s="367"/>
      <c r="Q149" s="367"/>
      <c r="R149" s="367"/>
      <c r="S149" s="367"/>
      <c r="T149" s="367"/>
      <c r="U149" s="368"/>
      <c r="V149" s="141"/>
      <c r="W149" s="141"/>
      <c r="X149" s="141"/>
      <c r="Y149" s="216"/>
      <c r="Z149" s="367"/>
      <c r="AA149" s="367"/>
      <c r="AB149" s="367"/>
    </row>
    <row r="150" spans="1:28" s="266" customFormat="1">
      <c r="A150" s="366"/>
      <c r="B150" s="1102"/>
      <c r="C150" s="919"/>
      <c r="D150" s="883"/>
      <c r="E150" s="883"/>
      <c r="F150" s="883"/>
      <c r="G150" s="883"/>
      <c r="H150" s="1099"/>
      <c r="I150" s="1099"/>
      <c r="J150" s="598"/>
      <c r="K150" s="886"/>
      <c r="L150" s="367"/>
      <c r="M150" s="367"/>
      <c r="N150" s="367"/>
      <c r="O150" s="367"/>
      <c r="P150" s="367"/>
      <c r="Q150" s="367"/>
      <c r="R150" s="367"/>
      <c r="S150" s="367"/>
      <c r="T150" s="367"/>
      <c r="U150" s="368"/>
      <c r="V150" s="141"/>
      <c r="W150" s="141"/>
      <c r="X150" s="141"/>
      <c r="Y150" s="216"/>
      <c r="Z150" s="367"/>
      <c r="AA150" s="367"/>
      <c r="AB150" s="367"/>
    </row>
    <row r="151" spans="1:28" s="266" customFormat="1">
      <c r="A151" s="366"/>
      <c r="B151" s="1102"/>
      <c r="C151" s="919"/>
      <c r="D151" s="883"/>
      <c r="E151" s="883"/>
      <c r="F151" s="883"/>
      <c r="G151" s="883"/>
      <c r="H151" s="1099"/>
      <c r="I151" s="1099"/>
      <c r="J151" s="598"/>
      <c r="K151" s="886"/>
      <c r="L151" s="367"/>
      <c r="M151" s="367"/>
      <c r="N151" s="367"/>
      <c r="O151" s="367"/>
      <c r="P151" s="367"/>
      <c r="Q151" s="367"/>
      <c r="R151" s="367"/>
      <c r="S151" s="367"/>
      <c r="T151" s="367"/>
      <c r="U151" s="368"/>
      <c r="V151" s="141"/>
      <c r="W151" s="141"/>
      <c r="X151" s="141"/>
      <c r="Y151" s="216"/>
      <c r="Z151" s="367"/>
      <c r="AA151" s="367"/>
      <c r="AB151" s="367"/>
    </row>
    <row r="152" spans="1:28" s="266" customFormat="1">
      <c r="A152" s="366"/>
      <c r="B152" s="1102"/>
      <c r="C152" s="919"/>
      <c r="D152" s="883"/>
      <c r="E152" s="883"/>
      <c r="F152" s="883"/>
      <c r="G152" s="883"/>
      <c r="H152" s="1099"/>
      <c r="I152" s="1099"/>
      <c r="J152" s="598"/>
      <c r="K152" s="886"/>
      <c r="L152" s="367"/>
      <c r="M152" s="367"/>
      <c r="N152" s="367"/>
      <c r="O152" s="367"/>
      <c r="P152" s="367"/>
      <c r="Q152" s="367"/>
      <c r="R152" s="367"/>
      <c r="S152" s="367"/>
      <c r="T152" s="367"/>
      <c r="U152" s="368"/>
      <c r="V152" s="141"/>
      <c r="W152" s="141"/>
      <c r="X152" s="141"/>
      <c r="Y152" s="216"/>
      <c r="Z152" s="367"/>
      <c r="AA152" s="367"/>
      <c r="AB152" s="367"/>
    </row>
    <row r="153" spans="1:28" s="266" customFormat="1">
      <c r="A153" s="366"/>
      <c r="B153" s="1102"/>
      <c r="C153" s="919"/>
      <c r="D153" s="883"/>
      <c r="E153" s="883"/>
      <c r="F153" s="883"/>
      <c r="G153" s="883"/>
      <c r="H153" s="1099"/>
      <c r="I153" s="1099"/>
      <c r="J153" s="598"/>
      <c r="K153" s="886"/>
      <c r="L153" s="367"/>
      <c r="M153" s="367"/>
      <c r="N153" s="367"/>
      <c r="O153" s="367"/>
      <c r="P153" s="367"/>
      <c r="Q153" s="367"/>
      <c r="R153" s="367"/>
      <c r="S153" s="367"/>
      <c r="T153" s="367"/>
      <c r="U153" s="368"/>
      <c r="V153" s="141"/>
      <c r="W153" s="141"/>
      <c r="X153" s="141"/>
      <c r="Y153" s="216"/>
      <c r="Z153" s="367"/>
      <c r="AA153" s="367"/>
      <c r="AB153" s="367"/>
    </row>
    <row r="154" spans="1:28" s="266" customFormat="1" ht="15.75" thickBot="1">
      <c r="A154" s="366"/>
      <c r="B154" s="1103"/>
      <c r="C154" s="919"/>
      <c r="D154" s="883"/>
      <c r="E154" s="883"/>
      <c r="F154" s="883"/>
      <c r="G154" s="883"/>
      <c r="H154" s="1100"/>
      <c r="I154" s="1100"/>
      <c r="J154" s="599"/>
      <c r="K154" s="886"/>
      <c r="L154" s="367"/>
      <c r="M154" s="367"/>
      <c r="N154" s="367"/>
      <c r="O154" s="367"/>
      <c r="P154" s="367"/>
      <c r="Q154" s="367"/>
      <c r="R154" s="367"/>
      <c r="S154" s="367"/>
      <c r="T154" s="367"/>
      <c r="U154" s="368"/>
      <c r="V154" s="141"/>
      <c r="W154" s="141"/>
      <c r="X154" s="141"/>
      <c r="Y154" s="216"/>
      <c r="Z154" s="367"/>
      <c r="AA154" s="367"/>
      <c r="AB154" s="367"/>
    </row>
    <row r="155" spans="1:28" s="266" customFormat="1" ht="15.75" thickBot="1">
      <c r="A155" s="366"/>
      <c r="B155" s="264"/>
      <c r="C155" s="265"/>
      <c r="D155" s="911"/>
      <c r="E155" s="886"/>
      <c r="F155" s="886"/>
      <c r="G155" s="886"/>
      <c r="H155" s="886"/>
      <c r="I155" s="886"/>
      <c r="J155" s="886"/>
      <c r="K155" s="886"/>
      <c r="L155" s="367"/>
      <c r="M155" s="367"/>
      <c r="N155" s="367"/>
      <c r="O155" s="367"/>
      <c r="P155" s="367"/>
      <c r="Q155" s="367"/>
      <c r="R155" s="367"/>
      <c r="S155" s="367"/>
      <c r="T155" s="367"/>
      <c r="U155" s="368"/>
      <c r="V155" s="141"/>
      <c r="W155" s="141"/>
      <c r="X155" s="141"/>
      <c r="Y155" s="216"/>
      <c r="Z155" s="367"/>
      <c r="AA155" s="367"/>
      <c r="AB155" s="367"/>
    </row>
    <row r="156" spans="1:28" s="266" customFormat="1" ht="26.25" thickBot="1">
      <c r="A156" s="366"/>
      <c r="B156" s="873" t="s">
        <v>15</v>
      </c>
      <c r="C156" s="884" t="s">
        <v>128</v>
      </c>
      <c r="D156" s="873" t="s">
        <v>23</v>
      </c>
      <c r="E156" s="212" t="s">
        <v>24</v>
      </c>
      <c r="F156" s="212" t="s">
        <v>25</v>
      </c>
      <c r="G156" s="212" t="s">
        <v>26</v>
      </c>
      <c r="H156" s="1104" t="s">
        <v>38</v>
      </c>
      <c r="I156" s="1105"/>
      <c r="J156" s="465" t="s">
        <v>222</v>
      </c>
      <c r="K156" s="886"/>
      <c r="L156" s="367"/>
      <c r="M156" s="367"/>
      <c r="N156" s="367"/>
      <c r="O156" s="367"/>
      <c r="P156" s="367"/>
      <c r="Q156" s="367"/>
      <c r="R156" s="367"/>
      <c r="S156" s="367"/>
      <c r="T156" s="367"/>
      <c r="U156" s="368"/>
      <c r="V156" s="141"/>
      <c r="W156" s="141"/>
      <c r="X156" s="141"/>
      <c r="Y156" s="216"/>
      <c r="Z156" s="367"/>
      <c r="AA156" s="367"/>
      <c r="AB156" s="367"/>
    </row>
    <row r="157" spans="1:28" s="266" customFormat="1">
      <c r="A157" s="366"/>
      <c r="B157" s="1101"/>
      <c r="C157" s="918"/>
      <c r="D157" s="652"/>
      <c r="E157" s="885"/>
      <c r="F157" s="885"/>
      <c r="G157" s="885"/>
      <c r="H157" s="1106"/>
      <c r="I157" s="1106"/>
      <c r="J157" s="596"/>
      <c r="K157" s="886"/>
      <c r="L157" s="367"/>
      <c r="M157" s="367"/>
      <c r="N157" s="367"/>
      <c r="O157" s="367"/>
      <c r="P157" s="367"/>
      <c r="Q157" s="367"/>
      <c r="R157" s="367"/>
      <c r="S157" s="367"/>
      <c r="T157" s="367"/>
      <c r="U157" s="368"/>
      <c r="V157" s="141"/>
      <c r="W157" s="141"/>
      <c r="X157" s="141"/>
      <c r="Y157" s="216"/>
      <c r="Z157" s="367"/>
      <c r="AA157" s="367"/>
      <c r="AB157" s="367"/>
    </row>
    <row r="158" spans="1:28" s="266" customFormat="1">
      <c r="A158" s="366"/>
      <c r="B158" s="1102"/>
      <c r="C158" s="919"/>
      <c r="D158" s="883"/>
      <c r="E158" s="883"/>
      <c r="F158" s="883"/>
      <c r="G158" s="883"/>
      <c r="H158" s="1099"/>
      <c r="I158" s="1099"/>
      <c r="J158" s="597"/>
      <c r="K158" s="886"/>
      <c r="L158" s="367"/>
      <c r="M158" s="367"/>
      <c r="N158" s="367"/>
      <c r="O158" s="367"/>
      <c r="P158" s="367"/>
      <c r="Q158" s="367"/>
      <c r="R158" s="367"/>
      <c r="S158" s="367"/>
      <c r="T158" s="367"/>
      <c r="U158" s="368"/>
      <c r="V158" s="141"/>
      <c r="W158" s="141"/>
      <c r="X158" s="141"/>
      <c r="Y158" s="216"/>
      <c r="Z158" s="367"/>
      <c r="AA158" s="367"/>
      <c r="AB158" s="367"/>
    </row>
    <row r="159" spans="1:28" s="266" customFormat="1">
      <c r="A159" s="366"/>
      <c r="B159" s="1102"/>
      <c r="C159" s="919"/>
      <c r="D159" s="883"/>
      <c r="E159" s="883"/>
      <c r="F159" s="883"/>
      <c r="G159" s="883"/>
      <c r="H159" s="1099"/>
      <c r="I159" s="1099"/>
      <c r="J159" s="597"/>
      <c r="K159" s="886"/>
      <c r="L159" s="367"/>
      <c r="M159" s="367"/>
      <c r="N159" s="367"/>
      <c r="O159" s="367"/>
      <c r="P159" s="367"/>
      <c r="Q159" s="367"/>
      <c r="R159" s="367"/>
      <c r="S159" s="367"/>
      <c r="T159" s="367"/>
      <c r="U159" s="368"/>
      <c r="V159" s="141"/>
      <c r="W159" s="141"/>
      <c r="X159" s="141"/>
      <c r="Y159" s="216"/>
      <c r="Z159" s="367"/>
      <c r="AA159" s="367"/>
      <c r="AB159" s="367"/>
    </row>
    <row r="160" spans="1:28" s="266" customFormat="1">
      <c r="A160" s="366"/>
      <c r="B160" s="1102"/>
      <c r="C160" s="919"/>
      <c r="D160" s="883"/>
      <c r="E160" s="883"/>
      <c r="F160" s="883"/>
      <c r="G160" s="883"/>
      <c r="H160" s="1099"/>
      <c r="I160" s="1099"/>
      <c r="J160" s="597"/>
      <c r="K160" s="886"/>
      <c r="L160" s="367"/>
      <c r="M160" s="367"/>
      <c r="N160" s="367"/>
      <c r="O160" s="367"/>
      <c r="P160" s="367"/>
      <c r="Q160" s="367"/>
      <c r="R160" s="367"/>
      <c r="S160" s="367"/>
      <c r="T160" s="367"/>
      <c r="U160" s="368"/>
      <c r="V160" s="141"/>
      <c r="W160" s="141"/>
      <c r="X160" s="141"/>
      <c r="Y160" s="216"/>
      <c r="Z160" s="367"/>
      <c r="AA160" s="367"/>
      <c r="AB160" s="367"/>
    </row>
    <row r="161" spans="1:28" s="266" customFormat="1">
      <c r="A161" s="366"/>
      <c r="B161" s="1102"/>
      <c r="C161" s="919"/>
      <c r="D161" s="883"/>
      <c r="E161" s="883"/>
      <c r="F161" s="883"/>
      <c r="G161" s="883"/>
      <c r="H161" s="1099"/>
      <c r="I161" s="1099"/>
      <c r="J161" s="597"/>
      <c r="K161" s="886"/>
      <c r="L161" s="367"/>
      <c r="M161" s="367"/>
      <c r="N161" s="367"/>
      <c r="O161" s="367"/>
      <c r="P161" s="367"/>
      <c r="Q161" s="367"/>
      <c r="R161" s="367"/>
      <c r="S161" s="367"/>
      <c r="T161" s="367"/>
      <c r="U161" s="368"/>
      <c r="V161" s="141"/>
      <c r="W161" s="141"/>
      <c r="X161" s="141"/>
      <c r="Y161" s="216"/>
      <c r="Z161" s="367"/>
      <c r="AA161" s="367"/>
      <c r="AB161" s="367"/>
    </row>
    <row r="162" spans="1:28" s="266" customFormat="1">
      <c r="A162" s="366"/>
      <c r="B162" s="1102"/>
      <c r="C162" s="919"/>
      <c r="D162" s="883"/>
      <c r="E162" s="883"/>
      <c r="F162" s="883"/>
      <c r="G162" s="883"/>
      <c r="H162" s="1099"/>
      <c r="I162" s="1099"/>
      <c r="J162" s="598"/>
      <c r="K162" s="886"/>
      <c r="L162" s="367"/>
      <c r="M162" s="367"/>
      <c r="N162" s="367"/>
      <c r="O162" s="367"/>
      <c r="P162" s="367"/>
      <c r="Q162" s="367"/>
      <c r="R162" s="367"/>
      <c r="S162" s="367"/>
      <c r="T162" s="367"/>
      <c r="U162" s="368"/>
      <c r="V162" s="141"/>
      <c r="W162" s="141"/>
      <c r="X162" s="141"/>
      <c r="Y162" s="216"/>
      <c r="Z162" s="367"/>
      <c r="AA162" s="367"/>
      <c r="AB162" s="367"/>
    </row>
    <row r="163" spans="1:28" s="266" customFormat="1">
      <c r="A163" s="366"/>
      <c r="B163" s="1102"/>
      <c r="C163" s="919"/>
      <c r="D163" s="883"/>
      <c r="E163" s="883"/>
      <c r="F163" s="883"/>
      <c r="G163" s="883"/>
      <c r="H163" s="1099"/>
      <c r="I163" s="1099"/>
      <c r="J163" s="598"/>
      <c r="K163" s="886"/>
      <c r="L163" s="367"/>
      <c r="M163" s="367"/>
      <c r="N163" s="367"/>
      <c r="O163" s="367"/>
      <c r="P163" s="367"/>
      <c r="Q163" s="367"/>
      <c r="R163" s="367"/>
      <c r="S163" s="367"/>
      <c r="T163" s="367"/>
      <c r="U163" s="368"/>
      <c r="V163" s="141"/>
      <c r="W163" s="141"/>
      <c r="X163" s="141"/>
      <c r="Y163" s="216"/>
      <c r="Z163" s="367"/>
      <c r="AA163" s="367"/>
      <c r="AB163" s="367"/>
    </row>
    <row r="164" spans="1:28" s="266" customFormat="1">
      <c r="A164" s="366"/>
      <c r="B164" s="1102"/>
      <c r="C164" s="919"/>
      <c r="D164" s="883"/>
      <c r="E164" s="883"/>
      <c r="F164" s="883"/>
      <c r="G164" s="883"/>
      <c r="H164" s="1099"/>
      <c r="I164" s="1099"/>
      <c r="J164" s="598"/>
      <c r="K164" s="886"/>
      <c r="L164" s="367"/>
      <c r="M164" s="367"/>
      <c r="N164" s="367"/>
      <c r="O164" s="367"/>
      <c r="P164" s="367"/>
      <c r="Q164" s="367"/>
      <c r="R164" s="367"/>
      <c r="S164" s="367"/>
      <c r="T164" s="367"/>
      <c r="U164" s="368"/>
      <c r="V164" s="141"/>
      <c r="W164" s="141"/>
      <c r="X164" s="141"/>
      <c r="Y164" s="216"/>
      <c r="Z164" s="367"/>
      <c r="AA164" s="367"/>
      <c r="AB164" s="367"/>
    </row>
    <row r="165" spans="1:28" s="266" customFormat="1">
      <c r="A165" s="366"/>
      <c r="B165" s="1102"/>
      <c r="C165" s="919"/>
      <c r="D165" s="883"/>
      <c r="E165" s="883"/>
      <c r="F165" s="883"/>
      <c r="G165" s="883"/>
      <c r="H165" s="1099"/>
      <c r="I165" s="1099"/>
      <c r="J165" s="598"/>
      <c r="K165" s="886"/>
      <c r="L165" s="367"/>
      <c r="M165" s="367"/>
      <c r="N165" s="367"/>
      <c r="O165" s="367"/>
      <c r="P165" s="367"/>
      <c r="Q165" s="367"/>
      <c r="R165" s="367"/>
      <c r="S165" s="367"/>
      <c r="T165" s="367"/>
      <c r="U165" s="368"/>
      <c r="V165" s="141"/>
      <c r="W165" s="141"/>
      <c r="X165" s="141"/>
      <c r="Y165" s="216"/>
      <c r="Z165" s="367"/>
      <c r="AA165" s="367"/>
      <c r="AB165" s="367"/>
    </row>
    <row r="166" spans="1:28" s="266" customFormat="1">
      <c r="A166" s="366"/>
      <c r="B166" s="1102"/>
      <c r="C166" s="919"/>
      <c r="D166" s="883"/>
      <c r="E166" s="883"/>
      <c r="F166" s="883"/>
      <c r="G166" s="883"/>
      <c r="H166" s="1099"/>
      <c r="I166" s="1099"/>
      <c r="J166" s="598"/>
      <c r="K166" s="886"/>
      <c r="L166" s="367"/>
      <c r="M166" s="367"/>
      <c r="N166" s="367"/>
      <c r="O166" s="367"/>
      <c r="P166" s="367"/>
      <c r="Q166" s="367"/>
      <c r="R166" s="367"/>
      <c r="S166" s="367"/>
      <c r="T166" s="367"/>
      <c r="U166" s="368"/>
      <c r="V166" s="141"/>
      <c r="W166" s="141"/>
      <c r="X166" s="141"/>
      <c r="Y166" s="216"/>
      <c r="Z166" s="367"/>
      <c r="AA166" s="367"/>
      <c r="AB166" s="367"/>
    </row>
    <row r="167" spans="1:28" s="266" customFormat="1">
      <c r="A167" s="366"/>
      <c r="B167" s="1102"/>
      <c r="C167" s="919"/>
      <c r="D167" s="883"/>
      <c r="E167" s="883"/>
      <c r="F167" s="883"/>
      <c r="G167" s="883"/>
      <c r="H167" s="1099"/>
      <c r="I167" s="1099"/>
      <c r="J167" s="598"/>
      <c r="K167" s="886"/>
      <c r="L167" s="367"/>
      <c r="M167" s="367"/>
      <c r="N167" s="367"/>
      <c r="O167" s="367"/>
      <c r="P167" s="367"/>
      <c r="Q167" s="367"/>
      <c r="R167" s="367"/>
      <c r="S167" s="367"/>
      <c r="T167" s="367"/>
      <c r="U167" s="368"/>
      <c r="V167" s="141"/>
      <c r="W167" s="141"/>
      <c r="X167" s="141"/>
      <c r="Y167" s="216"/>
      <c r="Z167" s="367"/>
      <c r="AA167" s="367"/>
      <c r="AB167" s="367"/>
    </row>
    <row r="168" spans="1:28" s="266" customFormat="1">
      <c r="A168" s="366"/>
      <c r="B168" s="1102"/>
      <c r="C168" s="919"/>
      <c r="D168" s="883"/>
      <c r="E168" s="883"/>
      <c r="F168" s="883"/>
      <c r="G168" s="883"/>
      <c r="H168" s="1099"/>
      <c r="I168" s="1099"/>
      <c r="J168" s="598"/>
      <c r="K168" s="886"/>
      <c r="L168" s="367"/>
      <c r="M168" s="367"/>
      <c r="N168" s="367"/>
      <c r="O168" s="367"/>
      <c r="P168" s="367"/>
      <c r="Q168" s="367"/>
      <c r="R168" s="367"/>
      <c r="S168" s="367"/>
      <c r="T168" s="367"/>
      <c r="U168" s="368"/>
      <c r="V168" s="141"/>
      <c r="W168" s="141"/>
      <c r="X168" s="141"/>
      <c r="Y168" s="216"/>
      <c r="Z168" s="367"/>
      <c r="AA168" s="367"/>
      <c r="AB168" s="367"/>
    </row>
    <row r="169" spans="1:28" s="266" customFormat="1">
      <c r="A169" s="366"/>
      <c r="B169" s="1102"/>
      <c r="C169" s="919"/>
      <c r="D169" s="883"/>
      <c r="E169" s="883"/>
      <c r="F169" s="883"/>
      <c r="G169" s="883"/>
      <c r="H169" s="1099"/>
      <c r="I169" s="1099"/>
      <c r="J169" s="598"/>
      <c r="K169" s="886"/>
      <c r="L169" s="367"/>
      <c r="M169" s="367"/>
      <c r="N169" s="367"/>
      <c r="O169" s="367"/>
      <c r="P169" s="367"/>
      <c r="Q169" s="367"/>
      <c r="R169" s="367"/>
      <c r="S169" s="367"/>
      <c r="T169" s="367"/>
      <c r="U169" s="368"/>
      <c r="V169" s="141"/>
      <c r="W169" s="141"/>
      <c r="X169" s="141"/>
      <c r="Y169" s="216"/>
      <c r="Z169" s="367"/>
      <c r="AA169" s="367"/>
      <c r="AB169" s="367"/>
    </row>
    <row r="170" spans="1:28" s="266" customFormat="1">
      <c r="A170" s="366"/>
      <c r="B170" s="1102"/>
      <c r="C170" s="919"/>
      <c r="D170" s="883"/>
      <c r="E170" s="883"/>
      <c r="F170" s="883"/>
      <c r="G170" s="883"/>
      <c r="H170" s="1099"/>
      <c r="I170" s="1099"/>
      <c r="J170" s="598"/>
      <c r="K170" s="886"/>
      <c r="L170" s="367"/>
      <c r="M170" s="367"/>
      <c r="N170" s="367"/>
      <c r="O170" s="367"/>
      <c r="P170" s="367"/>
      <c r="Q170" s="367"/>
      <c r="R170" s="367"/>
      <c r="S170" s="367"/>
      <c r="T170" s="367"/>
      <c r="U170" s="368"/>
      <c r="V170" s="141"/>
      <c r="W170" s="141"/>
      <c r="X170" s="141"/>
      <c r="Y170" s="216"/>
      <c r="Z170" s="367"/>
      <c r="AA170" s="367"/>
      <c r="AB170" s="367"/>
    </row>
    <row r="171" spans="1:28" s="266" customFormat="1">
      <c r="A171" s="366"/>
      <c r="B171" s="1102"/>
      <c r="C171" s="919"/>
      <c r="D171" s="883"/>
      <c r="E171" s="883"/>
      <c r="F171" s="883"/>
      <c r="G171" s="883"/>
      <c r="H171" s="1099"/>
      <c r="I171" s="1099"/>
      <c r="J171" s="598"/>
      <c r="K171" s="886"/>
      <c r="L171" s="367"/>
      <c r="M171" s="367"/>
      <c r="N171" s="367"/>
      <c r="O171" s="367"/>
      <c r="P171" s="367"/>
      <c r="Q171" s="367"/>
      <c r="R171" s="367"/>
      <c r="S171" s="367"/>
      <c r="T171" s="367"/>
      <c r="U171" s="368"/>
      <c r="V171" s="141"/>
      <c r="W171" s="141"/>
      <c r="X171" s="141"/>
      <c r="Y171" s="216"/>
      <c r="Z171" s="367"/>
      <c r="AA171" s="367"/>
      <c r="AB171" s="367"/>
    </row>
    <row r="172" spans="1:28" s="266" customFormat="1">
      <c r="A172" s="366"/>
      <c r="B172" s="1102"/>
      <c r="C172" s="919"/>
      <c r="D172" s="883"/>
      <c r="E172" s="883"/>
      <c r="F172" s="883"/>
      <c r="G172" s="883"/>
      <c r="H172" s="1099"/>
      <c r="I172" s="1099"/>
      <c r="J172" s="598"/>
      <c r="K172" s="886"/>
      <c r="L172" s="367"/>
      <c r="M172" s="367"/>
      <c r="N172" s="367"/>
      <c r="O172" s="367"/>
      <c r="P172" s="367"/>
      <c r="Q172" s="367"/>
      <c r="R172" s="367"/>
      <c r="S172" s="367"/>
      <c r="T172" s="367"/>
      <c r="U172" s="368"/>
      <c r="V172" s="141"/>
      <c r="W172" s="141"/>
      <c r="X172" s="141"/>
      <c r="Y172" s="216"/>
      <c r="Z172" s="367"/>
      <c r="AA172" s="367"/>
      <c r="AB172" s="367"/>
    </row>
    <row r="173" spans="1:28" s="266" customFormat="1">
      <c r="A173" s="366"/>
      <c r="B173" s="1102"/>
      <c r="C173" s="919"/>
      <c r="D173" s="883"/>
      <c r="E173" s="883"/>
      <c r="F173" s="883"/>
      <c r="G173" s="883"/>
      <c r="H173" s="1099"/>
      <c r="I173" s="1099"/>
      <c r="J173" s="598"/>
      <c r="K173" s="886"/>
      <c r="L173" s="367"/>
      <c r="M173" s="367"/>
      <c r="N173" s="367"/>
      <c r="O173" s="367"/>
      <c r="P173" s="367"/>
      <c r="Q173" s="367"/>
      <c r="R173" s="367"/>
      <c r="S173" s="367"/>
      <c r="T173" s="367"/>
      <c r="U173" s="368"/>
      <c r="V173" s="141"/>
      <c r="W173" s="141"/>
      <c r="X173" s="141"/>
      <c r="Y173" s="216"/>
      <c r="Z173" s="367"/>
      <c r="AA173" s="367"/>
      <c r="AB173" s="367"/>
    </row>
    <row r="174" spans="1:28" s="266" customFormat="1">
      <c r="A174" s="366"/>
      <c r="B174" s="1102"/>
      <c r="C174" s="919"/>
      <c r="D174" s="883"/>
      <c r="E174" s="883"/>
      <c r="F174" s="883"/>
      <c r="G174" s="883"/>
      <c r="H174" s="1099"/>
      <c r="I174" s="1099"/>
      <c r="J174" s="598"/>
      <c r="K174" s="886"/>
      <c r="L174" s="367"/>
      <c r="M174" s="367"/>
      <c r="N174" s="367"/>
      <c r="O174" s="367"/>
      <c r="P174" s="367"/>
      <c r="Q174" s="367"/>
      <c r="R174" s="367"/>
      <c r="S174" s="367"/>
      <c r="T174" s="367"/>
      <c r="U174" s="368"/>
      <c r="V174" s="141"/>
      <c r="W174" s="141"/>
      <c r="X174" s="141"/>
      <c r="Y174" s="216"/>
      <c r="Z174" s="367"/>
      <c r="AA174" s="367"/>
      <c r="AB174" s="367"/>
    </row>
    <row r="175" spans="1:28" s="266" customFormat="1">
      <c r="A175" s="366"/>
      <c r="B175" s="1102"/>
      <c r="C175" s="919"/>
      <c r="D175" s="883"/>
      <c r="E175" s="883"/>
      <c r="F175" s="883"/>
      <c r="G175" s="883"/>
      <c r="H175" s="1099"/>
      <c r="I175" s="1099"/>
      <c r="J175" s="598"/>
      <c r="K175" s="886"/>
      <c r="L175" s="367"/>
      <c r="M175" s="367"/>
      <c r="N175" s="367"/>
      <c r="O175" s="367"/>
      <c r="P175" s="367"/>
      <c r="Q175" s="367"/>
      <c r="R175" s="367"/>
      <c r="S175" s="367"/>
      <c r="T175" s="367"/>
      <c r="U175" s="368"/>
      <c r="V175" s="141"/>
      <c r="W175" s="141"/>
      <c r="X175" s="141"/>
      <c r="Y175" s="216"/>
      <c r="Z175" s="367"/>
      <c r="AA175" s="367"/>
      <c r="AB175" s="367"/>
    </row>
    <row r="176" spans="1:28" s="266" customFormat="1" ht="15.75" thickBot="1">
      <c r="A176" s="366"/>
      <c r="B176" s="1103"/>
      <c r="C176" s="919"/>
      <c r="D176" s="883"/>
      <c r="E176" s="883"/>
      <c r="F176" s="883"/>
      <c r="G176" s="883"/>
      <c r="H176" s="1100"/>
      <c r="I176" s="1100"/>
      <c r="J176" s="599"/>
      <c r="K176" s="886"/>
      <c r="L176" s="367"/>
      <c r="M176" s="367"/>
      <c r="N176" s="367"/>
      <c r="O176" s="367"/>
      <c r="P176" s="367"/>
      <c r="Q176" s="367"/>
      <c r="R176" s="367"/>
      <c r="S176" s="367"/>
      <c r="T176" s="367"/>
      <c r="U176" s="368"/>
      <c r="V176" s="141"/>
      <c r="W176" s="141"/>
      <c r="X176" s="141"/>
      <c r="Y176" s="216"/>
      <c r="Z176" s="367"/>
      <c r="AA176" s="367"/>
      <c r="AB176" s="367"/>
    </row>
    <row r="177" spans="1:28" s="266" customFormat="1" ht="15.75" thickBot="1">
      <c r="A177" s="366"/>
      <c r="B177" s="264"/>
      <c r="C177" s="265"/>
      <c r="D177" s="911"/>
      <c r="E177" s="886"/>
      <c r="F177" s="886"/>
      <c r="G177" s="886"/>
      <c r="H177" s="886"/>
      <c r="I177" s="886"/>
      <c r="J177" s="886"/>
      <c r="K177" s="886"/>
      <c r="L177" s="367"/>
      <c r="M177" s="367"/>
      <c r="N177" s="367"/>
      <c r="O177" s="367"/>
      <c r="P177" s="367"/>
      <c r="Q177" s="367"/>
      <c r="R177" s="367"/>
      <c r="S177" s="367"/>
      <c r="T177" s="367"/>
      <c r="U177" s="368"/>
      <c r="V177" s="141"/>
      <c r="W177" s="141"/>
      <c r="X177" s="141"/>
      <c r="Y177" s="216"/>
      <c r="Z177" s="367"/>
      <c r="AA177" s="367"/>
      <c r="AB177" s="367"/>
    </row>
    <row r="178" spans="1:28" s="266" customFormat="1" ht="26.25" thickBot="1">
      <c r="A178" s="366"/>
      <c r="B178" s="873" t="s">
        <v>15</v>
      </c>
      <c r="C178" s="884" t="s">
        <v>128</v>
      </c>
      <c r="D178" s="873" t="s">
        <v>23</v>
      </c>
      <c r="E178" s="212" t="s">
        <v>24</v>
      </c>
      <c r="F178" s="212" t="s">
        <v>25</v>
      </c>
      <c r="G178" s="212" t="s">
        <v>26</v>
      </c>
      <c r="H178" s="1104" t="s">
        <v>38</v>
      </c>
      <c r="I178" s="1105"/>
      <c r="J178" s="465" t="s">
        <v>222</v>
      </c>
      <c r="K178" s="886"/>
      <c r="L178" s="367"/>
      <c r="M178" s="367"/>
      <c r="N178" s="367"/>
      <c r="O178" s="367"/>
      <c r="P178" s="367"/>
      <c r="Q178" s="367"/>
      <c r="R178" s="367"/>
      <c r="S178" s="367"/>
      <c r="T178" s="367"/>
      <c r="U178" s="368"/>
      <c r="V178" s="141"/>
      <c r="W178" s="141"/>
      <c r="X178" s="141"/>
      <c r="Y178" s="216"/>
      <c r="Z178" s="367"/>
      <c r="AA178" s="367"/>
      <c r="AB178" s="367"/>
    </row>
    <row r="179" spans="1:28" s="266" customFormat="1">
      <c r="A179" s="366"/>
      <c r="B179" s="1101"/>
      <c r="C179" s="918"/>
      <c r="D179" s="652"/>
      <c r="E179" s="885"/>
      <c r="F179" s="885"/>
      <c r="G179" s="885"/>
      <c r="H179" s="1106"/>
      <c r="I179" s="1106"/>
      <c r="J179" s="596"/>
      <c r="K179" s="886"/>
      <c r="L179" s="367"/>
      <c r="M179" s="367"/>
      <c r="N179" s="367"/>
      <c r="O179" s="367"/>
      <c r="P179" s="367"/>
      <c r="Q179" s="367"/>
      <c r="R179" s="367"/>
      <c r="S179" s="367"/>
      <c r="T179" s="367"/>
      <c r="U179" s="368"/>
      <c r="V179" s="141"/>
      <c r="W179" s="141"/>
      <c r="X179" s="141"/>
      <c r="Y179" s="216"/>
      <c r="Z179" s="367"/>
      <c r="AA179" s="367"/>
      <c r="AB179" s="367"/>
    </row>
    <row r="180" spans="1:28" s="266" customFormat="1">
      <c r="A180" s="366"/>
      <c r="B180" s="1102"/>
      <c r="C180" s="919"/>
      <c r="D180" s="883"/>
      <c r="E180" s="883"/>
      <c r="F180" s="883"/>
      <c r="G180" s="883"/>
      <c r="H180" s="1099"/>
      <c r="I180" s="1099"/>
      <c r="J180" s="597"/>
      <c r="K180" s="886"/>
      <c r="L180" s="367"/>
      <c r="M180" s="367"/>
      <c r="N180" s="367"/>
      <c r="O180" s="367"/>
      <c r="P180" s="367"/>
      <c r="Q180" s="367"/>
      <c r="R180" s="367"/>
      <c r="S180" s="367"/>
      <c r="T180" s="367"/>
      <c r="U180" s="368"/>
      <c r="V180" s="141"/>
      <c r="W180" s="141"/>
      <c r="X180" s="141"/>
      <c r="Y180" s="216"/>
      <c r="Z180" s="367"/>
      <c r="AA180" s="367"/>
      <c r="AB180" s="367"/>
    </row>
    <row r="181" spans="1:28" s="266" customFormat="1">
      <c r="A181" s="366"/>
      <c r="B181" s="1102"/>
      <c r="C181" s="919"/>
      <c r="D181" s="883"/>
      <c r="E181" s="883"/>
      <c r="F181" s="883"/>
      <c r="G181" s="883"/>
      <c r="H181" s="1099"/>
      <c r="I181" s="1099"/>
      <c r="J181" s="597"/>
      <c r="K181" s="886"/>
      <c r="L181" s="367"/>
      <c r="M181" s="367"/>
      <c r="N181" s="367"/>
      <c r="O181" s="367"/>
      <c r="P181" s="367"/>
      <c r="Q181" s="367"/>
      <c r="R181" s="367"/>
      <c r="S181" s="367"/>
      <c r="T181" s="367"/>
      <c r="U181" s="368"/>
      <c r="V181" s="141"/>
      <c r="W181" s="141"/>
      <c r="X181" s="141"/>
      <c r="Y181" s="216"/>
      <c r="Z181" s="367"/>
      <c r="AA181" s="367"/>
      <c r="AB181" s="367"/>
    </row>
    <row r="182" spans="1:28" s="266" customFormat="1">
      <c r="A182" s="366"/>
      <c r="B182" s="1102"/>
      <c r="C182" s="919"/>
      <c r="D182" s="883"/>
      <c r="E182" s="883"/>
      <c r="F182" s="883"/>
      <c r="G182" s="883"/>
      <c r="H182" s="1099"/>
      <c r="I182" s="1099"/>
      <c r="J182" s="597"/>
      <c r="K182" s="886"/>
      <c r="L182" s="367"/>
      <c r="M182" s="367"/>
      <c r="N182" s="367"/>
      <c r="O182" s="367"/>
      <c r="P182" s="367"/>
      <c r="Q182" s="367"/>
      <c r="R182" s="367"/>
      <c r="S182" s="367"/>
      <c r="T182" s="367"/>
      <c r="U182" s="368"/>
      <c r="V182" s="141"/>
      <c r="W182" s="141"/>
      <c r="X182" s="141"/>
      <c r="Y182" s="216"/>
      <c r="Z182" s="367"/>
      <c r="AA182" s="367"/>
      <c r="AB182" s="367"/>
    </row>
    <row r="183" spans="1:28" s="266" customFormat="1">
      <c r="A183" s="366"/>
      <c r="B183" s="1102"/>
      <c r="C183" s="919"/>
      <c r="D183" s="883"/>
      <c r="E183" s="883"/>
      <c r="F183" s="883"/>
      <c r="G183" s="883"/>
      <c r="H183" s="1099"/>
      <c r="I183" s="1099"/>
      <c r="J183" s="597"/>
      <c r="K183" s="886"/>
      <c r="L183" s="367"/>
      <c r="M183" s="367"/>
      <c r="N183" s="367"/>
      <c r="O183" s="367"/>
      <c r="P183" s="367"/>
      <c r="Q183" s="367"/>
      <c r="R183" s="367"/>
      <c r="S183" s="367"/>
      <c r="T183" s="367"/>
      <c r="U183" s="368"/>
      <c r="V183" s="141"/>
      <c r="W183" s="141"/>
      <c r="X183" s="141"/>
      <c r="Y183" s="216"/>
      <c r="Z183" s="367"/>
      <c r="AA183" s="367"/>
      <c r="AB183" s="367"/>
    </row>
    <row r="184" spans="1:28" s="266" customFormat="1">
      <c r="A184" s="366"/>
      <c r="B184" s="1102"/>
      <c r="C184" s="919"/>
      <c r="D184" s="883"/>
      <c r="E184" s="883"/>
      <c r="F184" s="883"/>
      <c r="G184" s="883"/>
      <c r="H184" s="1099"/>
      <c r="I184" s="1099"/>
      <c r="J184" s="598"/>
      <c r="K184" s="886"/>
      <c r="L184" s="367"/>
      <c r="M184" s="367"/>
      <c r="N184" s="367"/>
      <c r="O184" s="367"/>
      <c r="P184" s="367"/>
      <c r="Q184" s="367"/>
      <c r="R184" s="367"/>
      <c r="S184" s="367"/>
      <c r="T184" s="367"/>
      <c r="U184" s="368"/>
      <c r="V184" s="141"/>
      <c r="W184" s="141"/>
      <c r="X184" s="141"/>
      <c r="Y184" s="216"/>
      <c r="Z184" s="367"/>
      <c r="AA184" s="367"/>
      <c r="AB184" s="367"/>
    </row>
    <row r="185" spans="1:28" s="266" customFormat="1">
      <c r="A185" s="366"/>
      <c r="B185" s="1102"/>
      <c r="C185" s="919"/>
      <c r="D185" s="883"/>
      <c r="E185" s="883"/>
      <c r="F185" s="883"/>
      <c r="G185" s="883"/>
      <c r="H185" s="1099"/>
      <c r="I185" s="1099"/>
      <c r="J185" s="598"/>
      <c r="K185" s="886"/>
      <c r="L185" s="367"/>
      <c r="M185" s="367"/>
      <c r="N185" s="367"/>
      <c r="O185" s="367"/>
      <c r="P185" s="367"/>
      <c r="Q185" s="367"/>
      <c r="R185" s="367"/>
      <c r="S185" s="367"/>
      <c r="T185" s="367"/>
      <c r="U185" s="368"/>
      <c r="V185" s="141"/>
      <c r="W185" s="141"/>
      <c r="X185" s="141"/>
      <c r="Y185" s="216"/>
      <c r="Z185" s="367"/>
      <c r="AA185" s="367"/>
      <c r="AB185" s="367"/>
    </row>
    <row r="186" spans="1:28" s="266" customFormat="1">
      <c r="A186" s="366"/>
      <c r="B186" s="1102"/>
      <c r="C186" s="919"/>
      <c r="D186" s="883"/>
      <c r="E186" s="883"/>
      <c r="F186" s="883"/>
      <c r="G186" s="883"/>
      <c r="H186" s="1099"/>
      <c r="I186" s="1099"/>
      <c r="J186" s="598"/>
      <c r="K186" s="886"/>
      <c r="L186" s="367"/>
      <c r="M186" s="367"/>
      <c r="N186" s="367"/>
      <c r="O186" s="367"/>
      <c r="P186" s="367"/>
      <c r="Q186" s="367"/>
      <c r="R186" s="367"/>
      <c r="S186" s="367"/>
      <c r="T186" s="367"/>
      <c r="U186" s="368"/>
      <c r="V186" s="141"/>
      <c r="W186" s="141"/>
      <c r="X186" s="141"/>
      <c r="Y186" s="216"/>
      <c r="Z186" s="367"/>
      <c r="AA186" s="367"/>
      <c r="AB186" s="367"/>
    </row>
    <row r="187" spans="1:28" s="266" customFormat="1">
      <c r="A187" s="366"/>
      <c r="B187" s="1102"/>
      <c r="C187" s="919"/>
      <c r="D187" s="883"/>
      <c r="E187" s="883"/>
      <c r="F187" s="883"/>
      <c r="G187" s="883"/>
      <c r="H187" s="1099"/>
      <c r="I187" s="1099"/>
      <c r="J187" s="598"/>
      <c r="K187" s="886"/>
      <c r="L187" s="367"/>
      <c r="M187" s="367"/>
      <c r="N187" s="367"/>
      <c r="O187" s="367"/>
      <c r="P187" s="367"/>
      <c r="Q187" s="367"/>
      <c r="R187" s="367"/>
      <c r="S187" s="367"/>
      <c r="T187" s="367"/>
      <c r="U187" s="368"/>
      <c r="V187" s="141"/>
      <c r="W187" s="141"/>
      <c r="X187" s="141"/>
      <c r="Y187" s="216"/>
      <c r="Z187" s="367"/>
      <c r="AA187" s="367"/>
      <c r="AB187" s="367"/>
    </row>
    <row r="188" spans="1:28" s="266" customFormat="1">
      <c r="A188" s="366"/>
      <c r="B188" s="1102"/>
      <c r="C188" s="919"/>
      <c r="D188" s="883"/>
      <c r="E188" s="883"/>
      <c r="F188" s="883"/>
      <c r="G188" s="883"/>
      <c r="H188" s="1099"/>
      <c r="I188" s="1099"/>
      <c r="J188" s="598"/>
      <c r="K188" s="886"/>
      <c r="L188" s="367"/>
      <c r="M188" s="367"/>
      <c r="N188" s="367"/>
      <c r="O188" s="367"/>
      <c r="P188" s="367"/>
      <c r="Q188" s="367"/>
      <c r="R188" s="367"/>
      <c r="S188" s="367"/>
      <c r="T188" s="367"/>
      <c r="U188" s="368"/>
      <c r="V188" s="141"/>
      <c r="W188" s="141"/>
      <c r="X188" s="141"/>
      <c r="Y188" s="216"/>
      <c r="Z188" s="367"/>
      <c r="AA188" s="367"/>
      <c r="AB188" s="367"/>
    </row>
    <row r="189" spans="1:28" s="266" customFormat="1">
      <c r="A189" s="366"/>
      <c r="B189" s="1102"/>
      <c r="C189" s="919"/>
      <c r="D189" s="883"/>
      <c r="E189" s="883"/>
      <c r="F189" s="883"/>
      <c r="G189" s="883"/>
      <c r="H189" s="1099"/>
      <c r="I189" s="1099"/>
      <c r="J189" s="598"/>
      <c r="K189" s="886"/>
      <c r="L189" s="367"/>
      <c r="M189" s="367"/>
      <c r="N189" s="367"/>
      <c r="O189" s="367"/>
      <c r="P189" s="367"/>
      <c r="Q189" s="367"/>
      <c r="R189" s="367"/>
      <c r="S189" s="367"/>
      <c r="T189" s="367"/>
      <c r="U189" s="368"/>
      <c r="V189" s="141"/>
      <c r="W189" s="141"/>
      <c r="X189" s="141"/>
      <c r="Y189" s="216"/>
      <c r="Z189" s="367"/>
      <c r="AA189" s="367"/>
      <c r="AB189" s="367"/>
    </row>
    <row r="190" spans="1:28" s="266" customFormat="1">
      <c r="A190" s="366"/>
      <c r="B190" s="1102"/>
      <c r="C190" s="919"/>
      <c r="D190" s="883"/>
      <c r="E190" s="883"/>
      <c r="F190" s="883"/>
      <c r="G190" s="883"/>
      <c r="H190" s="1099"/>
      <c r="I190" s="1099"/>
      <c r="J190" s="598"/>
      <c r="K190" s="886"/>
      <c r="L190" s="367"/>
      <c r="M190" s="367"/>
      <c r="N190" s="367"/>
      <c r="O190" s="367"/>
      <c r="P190" s="367"/>
      <c r="Q190" s="367"/>
      <c r="R190" s="367"/>
      <c r="S190" s="367"/>
      <c r="T190" s="367"/>
      <c r="U190" s="368"/>
      <c r="V190" s="141"/>
      <c r="W190" s="141"/>
      <c r="X190" s="141"/>
      <c r="Y190" s="216"/>
      <c r="Z190" s="367"/>
      <c r="AA190" s="367"/>
      <c r="AB190" s="367"/>
    </row>
    <row r="191" spans="1:28" s="266" customFormat="1">
      <c r="A191" s="366"/>
      <c r="B191" s="1102"/>
      <c r="C191" s="919"/>
      <c r="D191" s="883"/>
      <c r="E191" s="883"/>
      <c r="F191" s="883"/>
      <c r="G191" s="883"/>
      <c r="H191" s="1099"/>
      <c r="I191" s="1099"/>
      <c r="J191" s="598"/>
      <c r="K191" s="886"/>
      <c r="L191" s="367"/>
      <c r="M191" s="367"/>
      <c r="N191" s="367"/>
      <c r="O191" s="367"/>
      <c r="P191" s="367"/>
      <c r="Q191" s="367"/>
      <c r="R191" s="367"/>
      <c r="S191" s="367"/>
      <c r="T191" s="367"/>
      <c r="U191" s="368"/>
      <c r="V191" s="141"/>
      <c r="W191" s="141"/>
      <c r="X191" s="141"/>
      <c r="Y191" s="216"/>
      <c r="Z191" s="367"/>
      <c r="AA191" s="367"/>
      <c r="AB191" s="367"/>
    </row>
    <row r="192" spans="1:28" s="266" customFormat="1">
      <c r="A192" s="366"/>
      <c r="B192" s="1102"/>
      <c r="C192" s="919"/>
      <c r="D192" s="883"/>
      <c r="E192" s="883"/>
      <c r="F192" s="883"/>
      <c r="G192" s="883"/>
      <c r="H192" s="1099"/>
      <c r="I192" s="1099"/>
      <c r="J192" s="598"/>
      <c r="K192" s="886"/>
      <c r="L192" s="367"/>
      <c r="M192" s="367"/>
      <c r="N192" s="367"/>
      <c r="O192" s="367"/>
      <c r="P192" s="367"/>
      <c r="Q192" s="367"/>
      <c r="R192" s="367"/>
      <c r="S192" s="367"/>
      <c r="T192" s="367"/>
      <c r="U192" s="368"/>
      <c r="V192" s="141"/>
      <c r="W192" s="141"/>
      <c r="X192" s="141"/>
      <c r="Y192" s="216"/>
      <c r="Z192" s="367"/>
      <c r="AA192" s="367"/>
      <c r="AB192" s="367"/>
    </row>
    <row r="193" spans="1:28" s="266" customFormat="1">
      <c r="A193" s="366"/>
      <c r="B193" s="1102"/>
      <c r="C193" s="919"/>
      <c r="D193" s="883"/>
      <c r="E193" s="883"/>
      <c r="F193" s="883"/>
      <c r="G193" s="883"/>
      <c r="H193" s="1099"/>
      <c r="I193" s="1099"/>
      <c r="J193" s="598"/>
      <c r="K193" s="886"/>
      <c r="L193" s="367"/>
      <c r="M193" s="367"/>
      <c r="N193" s="367"/>
      <c r="O193" s="367"/>
      <c r="P193" s="367"/>
      <c r="Q193" s="367"/>
      <c r="R193" s="367"/>
      <c r="S193" s="367"/>
      <c r="T193" s="367"/>
      <c r="U193" s="368"/>
      <c r="V193" s="141"/>
      <c r="W193" s="141"/>
      <c r="X193" s="141"/>
      <c r="Y193" s="216"/>
      <c r="Z193" s="367"/>
      <c r="AA193" s="367"/>
      <c r="AB193" s="367"/>
    </row>
    <row r="194" spans="1:28" s="266" customFormat="1">
      <c r="A194" s="366"/>
      <c r="B194" s="1102"/>
      <c r="C194" s="919"/>
      <c r="D194" s="883"/>
      <c r="E194" s="883"/>
      <c r="F194" s="883"/>
      <c r="G194" s="883"/>
      <c r="H194" s="1099"/>
      <c r="I194" s="1099"/>
      <c r="J194" s="598"/>
      <c r="K194" s="886"/>
      <c r="L194" s="367"/>
      <c r="M194" s="367"/>
      <c r="N194" s="367"/>
      <c r="O194" s="367"/>
      <c r="P194" s="367"/>
      <c r="Q194" s="367"/>
      <c r="R194" s="367"/>
      <c r="S194" s="367"/>
      <c r="T194" s="367"/>
      <c r="U194" s="368"/>
      <c r="V194" s="141"/>
      <c r="W194" s="141"/>
      <c r="X194" s="141"/>
      <c r="Y194" s="216"/>
      <c r="Z194" s="367"/>
      <c r="AA194" s="367"/>
      <c r="AB194" s="367"/>
    </row>
    <row r="195" spans="1:28" s="266" customFormat="1">
      <c r="A195" s="366"/>
      <c r="B195" s="1102"/>
      <c r="C195" s="919"/>
      <c r="D195" s="883"/>
      <c r="E195" s="883"/>
      <c r="F195" s="883"/>
      <c r="G195" s="883"/>
      <c r="H195" s="1099"/>
      <c r="I195" s="1099"/>
      <c r="J195" s="598"/>
      <c r="K195" s="886"/>
      <c r="L195" s="367"/>
      <c r="M195" s="367"/>
      <c r="N195" s="367"/>
      <c r="O195" s="367"/>
      <c r="P195" s="367"/>
      <c r="Q195" s="367"/>
      <c r="R195" s="367"/>
      <c r="S195" s="367"/>
      <c r="T195" s="367"/>
      <c r="U195" s="368"/>
      <c r="V195" s="141"/>
      <c r="W195" s="141"/>
      <c r="X195" s="141"/>
      <c r="Y195" s="216"/>
      <c r="Z195" s="367"/>
      <c r="AA195" s="367"/>
      <c r="AB195" s="367"/>
    </row>
    <row r="196" spans="1:28" s="266" customFormat="1">
      <c r="A196" s="366"/>
      <c r="B196" s="1102"/>
      <c r="C196" s="919"/>
      <c r="D196" s="883"/>
      <c r="E196" s="883"/>
      <c r="F196" s="883"/>
      <c r="G196" s="883"/>
      <c r="H196" s="1099"/>
      <c r="I196" s="1099"/>
      <c r="J196" s="598"/>
      <c r="K196" s="886"/>
      <c r="L196" s="367"/>
      <c r="M196" s="367"/>
      <c r="N196" s="367"/>
      <c r="O196" s="367"/>
      <c r="P196" s="367"/>
      <c r="Q196" s="367"/>
      <c r="R196" s="367"/>
      <c r="S196" s="367"/>
      <c r="T196" s="367"/>
      <c r="U196" s="368"/>
      <c r="V196" s="141"/>
      <c r="W196" s="141"/>
      <c r="X196" s="141"/>
      <c r="Y196" s="216"/>
      <c r="Z196" s="367"/>
      <c r="AA196" s="367"/>
      <c r="AB196" s="367"/>
    </row>
    <row r="197" spans="1:28" s="266" customFormat="1">
      <c r="A197" s="366"/>
      <c r="B197" s="1102"/>
      <c r="C197" s="919"/>
      <c r="D197" s="883"/>
      <c r="E197" s="883"/>
      <c r="F197" s="883"/>
      <c r="G197" s="883"/>
      <c r="H197" s="1099"/>
      <c r="I197" s="1099"/>
      <c r="J197" s="598"/>
      <c r="K197" s="886"/>
      <c r="L197" s="367"/>
      <c r="M197" s="367"/>
      <c r="N197" s="367"/>
      <c r="O197" s="367"/>
      <c r="P197" s="367"/>
      <c r="Q197" s="367"/>
      <c r="R197" s="367"/>
      <c r="S197" s="367"/>
      <c r="T197" s="367"/>
      <c r="U197" s="368"/>
      <c r="V197" s="141"/>
      <c r="W197" s="141"/>
      <c r="X197" s="141"/>
      <c r="Y197" s="216"/>
      <c r="Z197" s="367"/>
      <c r="AA197" s="367"/>
      <c r="AB197" s="367"/>
    </row>
    <row r="198" spans="1:28" s="266" customFormat="1" ht="15.75" thickBot="1">
      <c r="A198" s="366"/>
      <c r="B198" s="1103"/>
      <c r="C198" s="919"/>
      <c r="D198" s="883"/>
      <c r="E198" s="883"/>
      <c r="F198" s="883"/>
      <c r="G198" s="883"/>
      <c r="H198" s="1100"/>
      <c r="I198" s="1100"/>
      <c r="J198" s="599"/>
      <c r="K198" s="886"/>
      <c r="L198" s="367"/>
      <c r="M198" s="367"/>
      <c r="N198" s="367"/>
      <c r="O198" s="367"/>
      <c r="P198" s="367"/>
      <c r="Q198" s="367"/>
      <c r="R198" s="367"/>
      <c r="S198" s="367"/>
      <c r="T198" s="367"/>
      <c r="U198" s="368"/>
      <c r="V198" s="141"/>
      <c r="W198" s="141"/>
      <c r="X198" s="141"/>
      <c r="Y198" s="216"/>
      <c r="Z198" s="367"/>
      <c r="AA198" s="367"/>
      <c r="AB198" s="367"/>
    </row>
    <row r="199" spans="1:28" s="266" customFormat="1" ht="15.75" thickBot="1">
      <c r="A199" s="366"/>
      <c r="B199" s="264"/>
      <c r="C199" s="265"/>
      <c r="E199" s="886"/>
      <c r="F199" s="886"/>
      <c r="G199" s="886"/>
      <c r="H199" s="886"/>
      <c r="I199" s="886"/>
      <c r="J199" s="886"/>
      <c r="K199" s="886"/>
      <c r="L199" s="367"/>
      <c r="M199" s="367"/>
      <c r="N199" s="367"/>
      <c r="O199" s="367"/>
      <c r="P199" s="367"/>
      <c r="Q199" s="367"/>
      <c r="R199" s="367"/>
      <c r="S199" s="367"/>
      <c r="T199" s="367"/>
      <c r="U199" s="368"/>
      <c r="V199" s="141"/>
      <c r="W199" s="141"/>
      <c r="X199" s="141"/>
      <c r="Y199" s="216"/>
      <c r="Z199" s="367"/>
      <c r="AA199" s="367"/>
      <c r="AB199" s="367"/>
    </row>
    <row r="200" spans="1:28" s="266" customFormat="1" ht="26.25" thickBot="1">
      <c r="A200" s="366"/>
      <c r="B200" s="873" t="s">
        <v>15</v>
      </c>
      <c r="C200" s="884" t="s">
        <v>128</v>
      </c>
      <c r="D200" s="873" t="s">
        <v>23</v>
      </c>
      <c r="E200" s="212" t="s">
        <v>24</v>
      </c>
      <c r="F200" s="212" t="s">
        <v>25</v>
      </c>
      <c r="G200" s="212" t="s">
        <v>26</v>
      </c>
      <c r="H200" s="1104" t="s">
        <v>38</v>
      </c>
      <c r="I200" s="1105"/>
      <c r="J200" s="465" t="s">
        <v>222</v>
      </c>
      <c r="K200" s="886"/>
      <c r="L200" s="367"/>
      <c r="M200" s="367"/>
      <c r="N200" s="367"/>
      <c r="O200" s="367"/>
      <c r="P200" s="367"/>
      <c r="Q200" s="367"/>
      <c r="R200" s="367"/>
      <c r="S200" s="367"/>
      <c r="T200" s="367"/>
      <c r="U200" s="368"/>
      <c r="V200" s="141"/>
      <c r="W200" s="141"/>
      <c r="X200" s="141"/>
      <c r="Y200" s="216"/>
      <c r="Z200" s="367"/>
      <c r="AA200" s="367"/>
      <c r="AB200" s="367"/>
    </row>
    <row r="201" spans="1:28" s="266" customFormat="1">
      <c r="A201" s="366"/>
      <c r="B201" s="1101"/>
      <c r="C201" s="918"/>
      <c r="D201" s="652"/>
      <c r="E201" s="885"/>
      <c r="F201" s="885"/>
      <c r="G201" s="885"/>
      <c r="H201" s="1106"/>
      <c r="I201" s="1106"/>
      <c r="J201" s="596"/>
      <c r="K201" s="886"/>
      <c r="L201" s="367"/>
      <c r="M201" s="367"/>
      <c r="N201" s="367"/>
      <c r="O201" s="367"/>
      <c r="P201" s="367"/>
      <c r="Q201" s="367"/>
      <c r="R201" s="367"/>
      <c r="S201" s="367"/>
      <c r="T201" s="367"/>
      <c r="U201" s="368"/>
      <c r="V201" s="141"/>
      <c r="W201" s="141"/>
      <c r="X201" s="141"/>
      <c r="Y201" s="216"/>
      <c r="Z201" s="367"/>
      <c r="AA201" s="367"/>
      <c r="AB201" s="367"/>
    </row>
    <row r="202" spans="1:28" s="266" customFormat="1">
      <c r="A202" s="366"/>
      <c r="B202" s="1102"/>
      <c r="C202" s="919"/>
      <c r="D202" s="883"/>
      <c r="E202" s="883"/>
      <c r="F202" s="883"/>
      <c r="G202" s="883"/>
      <c r="H202" s="1099"/>
      <c r="I202" s="1099"/>
      <c r="J202" s="597"/>
      <c r="K202" s="886"/>
      <c r="L202" s="367"/>
      <c r="M202" s="367"/>
      <c r="N202" s="367"/>
      <c r="O202" s="367"/>
      <c r="P202" s="367"/>
      <c r="Q202" s="367"/>
      <c r="R202" s="367"/>
      <c r="S202" s="367"/>
      <c r="T202" s="367"/>
      <c r="U202" s="368"/>
      <c r="V202" s="141"/>
      <c r="W202" s="141"/>
      <c r="X202" s="141"/>
      <c r="Y202" s="216"/>
      <c r="Z202" s="367"/>
      <c r="AA202" s="367"/>
      <c r="AB202" s="367"/>
    </row>
    <row r="203" spans="1:28" s="266" customFormat="1">
      <c r="A203" s="366"/>
      <c r="B203" s="1102"/>
      <c r="C203" s="919"/>
      <c r="D203" s="883"/>
      <c r="E203" s="883"/>
      <c r="F203" s="883"/>
      <c r="G203" s="883"/>
      <c r="H203" s="1099"/>
      <c r="I203" s="1099"/>
      <c r="J203" s="597"/>
      <c r="K203" s="886"/>
      <c r="L203" s="367"/>
      <c r="M203" s="367"/>
      <c r="N203" s="367"/>
      <c r="O203" s="367"/>
      <c r="P203" s="367"/>
      <c r="Q203" s="367"/>
      <c r="R203" s="367"/>
      <c r="S203" s="367"/>
      <c r="T203" s="367"/>
      <c r="U203" s="368"/>
      <c r="V203" s="141"/>
      <c r="W203" s="141"/>
      <c r="X203" s="141"/>
      <c r="Y203" s="216"/>
      <c r="Z203" s="367"/>
      <c r="AA203" s="367"/>
      <c r="AB203" s="367"/>
    </row>
    <row r="204" spans="1:28" s="266" customFormat="1">
      <c r="A204" s="366"/>
      <c r="B204" s="1102"/>
      <c r="C204" s="919"/>
      <c r="D204" s="883"/>
      <c r="E204" s="883"/>
      <c r="F204" s="883"/>
      <c r="G204" s="883"/>
      <c r="H204" s="1099"/>
      <c r="I204" s="1099"/>
      <c r="J204" s="597"/>
      <c r="K204" s="886"/>
      <c r="L204" s="367"/>
      <c r="M204" s="367"/>
      <c r="N204" s="367"/>
      <c r="O204" s="367"/>
      <c r="P204" s="367"/>
      <c r="Q204" s="367"/>
      <c r="R204" s="367"/>
      <c r="S204" s="367"/>
      <c r="T204" s="367"/>
      <c r="U204" s="368"/>
      <c r="V204" s="141"/>
      <c r="W204" s="141"/>
      <c r="X204" s="141"/>
      <c r="Y204" s="216"/>
      <c r="Z204" s="367"/>
      <c r="AA204" s="367"/>
      <c r="AB204" s="367"/>
    </row>
    <row r="205" spans="1:28" s="266" customFormat="1">
      <c r="A205" s="366"/>
      <c r="B205" s="1102"/>
      <c r="C205" s="919"/>
      <c r="D205" s="883"/>
      <c r="E205" s="883"/>
      <c r="F205" s="883"/>
      <c r="G205" s="883"/>
      <c r="H205" s="1099"/>
      <c r="I205" s="1099"/>
      <c r="J205" s="597"/>
      <c r="K205" s="886"/>
      <c r="L205" s="367"/>
      <c r="M205" s="367"/>
      <c r="N205" s="367"/>
      <c r="O205" s="367"/>
      <c r="P205" s="367"/>
      <c r="Q205" s="367"/>
      <c r="R205" s="367"/>
      <c r="S205" s="367"/>
      <c r="T205" s="367"/>
      <c r="U205" s="368"/>
      <c r="V205" s="141"/>
      <c r="W205" s="141"/>
      <c r="X205" s="141"/>
      <c r="Y205" s="216"/>
      <c r="Z205" s="367"/>
      <c r="AA205" s="367"/>
      <c r="AB205" s="367"/>
    </row>
    <row r="206" spans="1:28" s="266" customFormat="1">
      <c r="A206" s="366"/>
      <c r="B206" s="1102"/>
      <c r="C206" s="919"/>
      <c r="D206" s="883"/>
      <c r="E206" s="883"/>
      <c r="F206" s="883"/>
      <c r="G206" s="883"/>
      <c r="H206" s="1099"/>
      <c r="I206" s="1099"/>
      <c r="J206" s="598"/>
      <c r="K206" s="886"/>
      <c r="L206" s="367"/>
      <c r="M206" s="367"/>
      <c r="N206" s="367"/>
      <c r="O206" s="367"/>
      <c r="P206" s="367"/>
      <c r="Q206" s="367"/>
      <c r="R206" s="367"/>
      <c r="S206" s="367"/>
      <c r="T206" s="367"/>
      <c r="U206" s="368"/>
      <c r="V206" s="141"/>
      <c r="W206" s="141"/>
      <c r="X206" s="141"/>
      <c r="Y206" s="216"/>
      <c r="Z206" s="367"/>
      <c r="AA206" s="367"/>
      <c r="AB206" s="367"/>
    </row>
    <row r="207" spans="1:28" s="266" customFormat="1">
      <c r="A207" s="366"/>
      <c r="B207" s="1102"/>
      <c r="C207" s="919"/>
      <c r="D207" s="883"/>
      <c r="E207" s="883"/>
      <c r="F207" s="883"/>
      <c r="G207" s="883"/>
      <c r="H207" s="1099"/>
      <c r="I207" s="1099"/>
      <c r="J207" s="598"/>
      <c r="K207" s="886"/>
      <c r="L207" s="367"/>
      <c r="M207" s="367"/>
      <c r="N207" s="367"/>
      <c r="O207" s="367"/>
      <c r="P207" s="367"/>
      <c r="Q207" s="367"/>
      <c r="R207" s="367"/>
      <c r="S207" s="367"/>
      <c r="T207" s="367"/>
      <c r="U207" s="368"/>
      <c r="V207" s="141"/>
      <c r="W207" s="141"/>
      <c r="X207" s="141"/>
      <c r="Y207" s="216"/>
      <c r="Z207" s="367"/>
      <c r="AA207" s="367"/>
      <c r="AB207" s="367"/>
    </row>
    <row r="208" spans="1:28" s="266" customFormat="1">
      <c r="A208" s="366"/>
      <c r="B208" s="1102"/>
      <c r="C208" s="919"/>
      <c r="D208" s="883"/>
      <c r="E208" s="883"/>
      <c r="F208" s="883"/>
      <c r="G208" s="883"/>
      <c r="H208" s="1099"/>
      <c r="I208" s="1099"/>
      <c r="J208" s="598"/>
      <c r="K208" s="886"/>
      <c r="L208" s="367"/>
      <c r="M208" s="367"/>
      <c r="N208" s="367"/>
      <c r="O208" s="367"/>
      <c r="P208" s="367"/>
      <c r="Q208" s="367"/>
      <c r="R208" s="367"/>
      <c r="S208" s="367"/>
      <c r="T208" s="367"/>
      <c r="U208" s="368"/>
      <c r="V208" s="141"/>
      <c r="W208" s="141"/>
      <c r="X208" s="141"/>
      <c r="Y208" s="216"/>
      <c r="Z208" s="367"/>
      <c r="AA208" s="367"/>
      <c r="AB208" s="367"/>
    </row>
    <row r="209" spans="1:28" s="266" customFormat="1">
      <c r="A209" s="366"/>
      <c r="B209" s="1102"/>
      <c r="C209" s="919"/>
      <c r="D209" s="883"/>
      <c r="E209" s="883"/>
      <c r="F209" s="883"/>
      <c r="G209" s="883"/>
      <c r="H209" s="1099"/>
      <c r="I209" s="1099"/>
      <c r="J209" s="598"/>
      <c r="K209" s="886"/>
      <c r="L209" s="367"/>
      <c r="M209" s="367"/>
      <c r="N209" s="367"/>
      <c r="O209" s="367"/>
      <c r="P209" s="367"/>
      <c r="Q209" s="367"/>
      <c r="R209" s="367"/>
      <c r="S209" s="367"/>
      <c r="T209" s="367"/>
      <c r="U209" s="368"/>
      <c r="V209" s="141"/>
      <c r="W209" s="141"/>
      <c r="X209" s="141"/>
      <c r="Y209" s="216"/>
      <c r="Z209" s="367"/>
      <c r="AA209" s="367"/>
      <c r="AB209" s="367"/>
    </row>
    <row r="210" spans="1:28" s="266" customFormat="1">
      <c r="A210" s="366"/>
      <c r="B210" s="1102"/>
      <c r="C210" s="919"/>
      <c r="D210" s="883"/>
      <c r="E210" s="883"/>
      <c r="F210" s="883"/>
      <c r="G210" s="883"/>
      <c r="H210" s="1099"/>
      <c r="I210" s="1099"/>
      <c r="J210" s="598"/>
      <c r="K210" s="886"/>
      <c r="L210" s="367"/>
      <c r="M210" s="367"/>
      <c r="N210" s="367"/>
      <c r="O210" s="367"/>
      <c r="P210" s="367"/>
      <c r="Q210" s="367"/>
      <c r="R210" s="367"/>
      <c r="S210" s="367"/>
      <c r="T210" s="367"/>
      <c r="U210" s="368"/>
      <c r="V210" s="141"/>
      <c r="W210" s="141"/>
      <c r="X210" s="141"/>
      <c r="Y210" s="216"/>
      <c r="Z210" s="367"/>
      <c r="AA210" s="367"/>
      <c r="AB210" s="367"/>
    </row>
    <row r="211" spans="1:28" s="266" customFormat="1">
      <c r="A211" s="366"/>
      <c r="B211" s="1102"/>
      <c r="C211" s="919"/>
      <c r="D211" s="883"/>
      <c r="E211" s="883"/>
      <c r="F211" s="883"/>
      <c r="G211" s="883"/>
      <c r="H211" s="1099"/>
      <c r="I211" s="1099"/>
      <c r="J211" s="598"/>
      <c r="K211" s="886"/>
      <c r="L211" s="367"/>
      <c r="M211" s="367"/>
      <c r="N211" s="367"/>
      <c r="O211" s="367"/>
      <c r="P211" s="367"/>
      <c r="Q211" s="367"/>
      <c r="R211" s="367"/>
      <c r="S211" s="367"/>
      <c r="T211" s="367"/>
      <c r="U211" s="368"/>
      <c r="V211" s="141"/>
      <c r="W211" s="141"/>
      <c r="X211" s="141"/>
      <c r="Y211" s="216"/>
      <c r="Z211" s="367"/>
      <c r="AA211" s="367"/>
      <c r="AB211" s="367"/>
    </row>
    <row r="212" spans="1:28" s="266" customFormat="1">
      <c r="A212" s="366"/>
      <c r="B212" s="1102"/>
      <c r="C212" s="919"/>
      <c r="D212" s="883"/>
      <c r="E212" s="883"/>
      <c r="F212" s="883"/>
      <c r="G212" s="883"/>
      <c r="H212" s="1099"/>
      <c r="I212" s="1099"/>
      <c r="J212" s="598"/>
      <c r="K212" s="886"/>
      <c r="L212" s="367"/>
      <c r="M212" s="367"/>
      <c r="N212" s="367"/>
      <c r="O212" s="367"/>
      <c r="P212" s="367"/>
      <c r="Q212" s="367"/>
      <c r="R212" s="367"/>
      <c r="S212" s="367"/>
      <c r="T212" s="367"/>
      <c r="U212" s="368"/>
      <c r="V212" s="141"/>
      <c r="W212" s="141"/>
      <c r="X212" s="141"/>
      <c r="Y212" s="216"/>
      <c r="Z212" s="367"/>
      <c r="AA212" s="367"/>
      <c r="AB212" s="367"/>
    </row>
    <row r="213" spans="1:28" s="266" customFormat="1">
      <c r="A213" s="366"/>
      <c r="B213" s="1102"/>
      <c r="C213" s="919"/>
      <c r="D213" s="883"/>
      <c r="E213" s="883"/>
      <c r="F213" s="883"/>
      <c r="G213" s="883"/>
      <c r="H213" s="1099"/>
      <c r="I213" s="1099"/>
      <c r="J213" s="598"/>
      <c r="K213" s="886"/>
      <c r="L213" s="367"/>
      <c r="M213" s="367"/>
      <c r="N213" s="367"/>
      <c r="O213" s="367"/>
      <c r="P213" s="367"/>
      <c r="Q213" s="367"/>
      <c r="R213" s="367"/>
      <c r="S213" s="367"/>
      <c r="T213" s="367"/>
      <c r="U213" s="368"/>
      <c r="V213" s="141"/>
      <c r="W213" s="141"/>
      <c r="X213" s="141"/>
      <c r="Y213" s="216"/>
      <c r="Z213" s="367"/>
      <c r="AA213" s="367"/>
      <c r="AB213" s="367"/>
    </row>
    <row r="214" spans="1:28" s="266" customFormat="1">
      <c r="A214" s="366"/>
      <c r="B214" s="1102"/>
      <c r="C214" s="919"/>
      <c r="D214" s="883"/>
      <c r="E214" s="883"/>
      <c r="F214" s="883"/>
      <c r="G214" s="883"/>
      <c r="H214" s="1099"/>
      <c r="I214" s="1099"/>
      <c r="J214" s="598"/>
      <c r="K214" s="886"/>
      <c r="L214" s="367"/>
      <c r="M214" s="367"/>
      <c r="N214" s="367"/>
      <c r="O214" s="367"/>
      <c r="P214" s="367"/>
      <c r="Q214" s="367"/>
      <c r="R214" s="367"/>
      <c r="S214" s="367"/>
      <c r="T214" s="367"/>
      <c r="U214" s="368"/>
      <c r="V214" s="141"/>
      <c r="W214" s="141"/>
      <c r="X214" s="141"/>
      <c r="Y214" s="216"/>
      <c r="Z214" s="367"/>
      <c r="AA214" s="367"/>
      <c r="AB214" s="367"/>
    </row>
    <row r="215" spans="1:28" s="266" customFormat="1">
      <c r="A215" s="366"/>
      <c r="B215" s="1102"/>
      <c r="C215" s="919"/>
      <c r="D215" s="883"/>
      <c r="E215" s="883"/>
      <c r="F215" s="883"/>
      <c r="G215" s="883"/>
      <c r="H215" s="1099"/>
      <c r="I215" s="1099"/>
      <c r="J215" s="598"/>
      <c r="K215" s="886"/>
      <c r="L215" s="367"/>
      <c r="M215" s="367"/>
      <c r="N215" s="367"/>
      <c r="O215" s="367"/>
      <c r="P215" s="367"/>
      <c r="Q215" s="367"/>
      <c r="R215" s="367"/>
      <c r="S215" s="367"/>
      <c r="T215" s="367"/>
      <c r="U215" s="368"/>
      <c r="V215" s="141"/>
      <c r="W215" s="141"/>
      <c r="X215" s="141"/>
      <c r="Y215" s="216"/>
      <c r="Z215" s="367"/>
      <c r="AA215" s="367"/>
      <c r="AB215" s="367"/>
    </row>
    <row r="216" spans="1:28" s="266" customFormat="1">
      <c r="A216" s="366"/>
      <c r="B216" s="1102"/>
      <c r="C216" s="919"/>
      <c r="D216" s="883"/>
      <c r="E216" s="883"/>
      <c r="F216" s="883"/>
      <c r="G216" s="883"/>
      <c r="H216" s="1099"/>
      <c r="I216" s="1099"/>
      <c r="J216" s="598"/>
      <c r="K216" s="886"/>
      <c r="L216" s="367"/>
      <c r="M216" s="367"/>
      <c r="N216" s="367"/>
      <c r="O216" s="367"/>
      <c r="P216" s="367"/>
      <c r="Q216" s="367"/>
      <c r="R216" s="367"/>
      <c r="S216" s="367"/>
      <c r="T216" s="367"/>
      <c r="U216" s="368"/>
      <c r="V216" s="141"/>
      <c r="W216" s="141"/>
      <c r="X216" s="141"/>
      <c r="Y216" s="216"/>
      <c r="Z216" s="367"/>
      <c r="AA216" s="367"/>
      <c r="AB216" s="367"/>
    </row>
    <row r="217" spans="1:28" s="266" customFormat="1">
      <c r="A217" s="366"/>
      <c r="B217" s="1102"/>
      <c r="C217" s="919"/>
      <c r="D217" s="883"/>
      <c r="E217" s="883"/>
      <c r="F217" s="883"/>
      <c r="G217" s="883"/>
      <c r="H217" s="1099"/>
      <c r="I217" s="1099"/>
      <c r="J217" s="598"/>
      <c r="K217" s="886"/>
      <c r="L217" s="367"/>
      <c r="M217" s="367"/>
      <c r="N217" s="367"/>
      <c r="O217" s="367"/>
      <c r="P217" s="367"/>
      <c r="Q217" s="367"/>
      <c r="R217" s="367"/>
      <c r="S217" s="367"/>
      <c r="T217" s="367"/>
      <c r="U217" s="368"/>
      <c r="V217" s="141"/>
      <c r="W217" s="141"/>
      <c r="X217" s="141"/>
      <c r="Y217" s="216"/>
      <c r="Z217" s="367"/>
      <c r="AA217" s="367"/>
      <c r="AB217" s="367"/>
    </row>
    <row r="218" spans="1:28" s="266" customFormat="1">
      <c r="A218" s="366"/>
      <c r="B218" s="1102"/>
      <c r="C218" s="919"/>
      <c r="D218" s="883"/>
      <c r="E218" s="883"/>
      <c r="F218" s="883"/>
      <c r="G218" s="883"/>
      <c r="H218" s="1099"/>
      <c r="I218" s="1099"/>
      <c r="J218" s="598"/>
      <c r="K218" s="886"/>
      <c r="L218" s="367"/>
      <c r="M218" s="367"/>
      <c r="N218" s="367"/>
      <c r="O218" s="367"/>
      <c r="P218" s="367"/>
      <c r="Q218" s="367"/>
      <c r="R218" s="367"/>
      <c r="S218" s="367"/>
      <c r="T218" s="367"/>
      <c r="U218" s="368"/>
      <c r="V218" s="141"/>
      <c r="W218" s="141"/>
      <c r="X218" s="141"/>
      <c r="Y218" s="216"/>
      <c r="Z218" s="367"/>
      <c r="AA218" s="367"/>
      <c r="AB218" s="367"/>
    </row>
    <row r="219" spans="1:28" s="266" customFormat="1">
      <c r="A219" s="366"/>
      <c r="B219" s="1102"/>
      <c r="C219" s="919"/>
      <c r="D219" s="883"/>
      <c r="E219" s="883"/>
      <c r="F219" s="883"/>
      <c r="G219" s="883"/>
      <c r="H219" s="1099"/>
      <c r="I219" s="1099"/>
      <c r="J219" s="598"/>
      <c r="K219" s="886"/>
      <c r="L219" s="367"/>
      <c r="M219" s="367"/>
      <c r="N219" s="367"/>
      <c r="O219" s="367"/>
      <c r="P219" s="367"/>
      <c r="Q219" s="367"/>
      <c r="R219" s="367"/>
      <c r="S219" s="367"/>
      <c r="T219" s="367"/>
      <c r="U219" s="368"/>
      <c r="V219" s="141"/>
      <c r="W219" s="141"/>
      <c r="X219" s="141"/>
      <c r="Y219" s="216"/>
      <c r="Z219" s="367"/>
      <c r="AA219" s="367"/>
      <c r="AB219" s="367"/>
    </row>
    <row r="220" spans="1:28" s="266" customFormat="1" ht="15.75" thickBot="1">
      <c r="A220" s="366"/>
      <c r="B220" s="1103"/>
      <c r="C220" s="919"/>
      <c r="D220" s="883"/>
      <c r="E220" s="883"/>
      <c r="F220" s="883"/>
      <c r="G220" s="883"/>
      <c r="H220" s="1100"/>
      <c r="I220" s="1100"/>
      <c r="J220" s="599"/>
      <c r="K220" s="886"/>
      <c r="L220" s="367"/>
      <c r="M220" s="367"/>
      <c r="N220" s="367"/>
      <c r="O220" s="367"/>
      <c r="P220" s="367"/>
      <c r="Q220" s="367"/>
      <c r="R220" s="367"/>
      <c r="S220" s="367"/>
      <c r="T220" s="367"/>
      <c r="U220" s="368"/>
      <c r="V220" s="141"/>
      <c r="W220" s="141"/>
      <c r="X220" s="141"/>
      <c r="Y220" s="216"/>
      <c r="Z220" s="367"/>
      <c r="AA220" s="367"/>
      <c r="AB220" s="367"/>
    </row>
    <row r="221" spans="1:28" s="266" customFormat="1" ht="15.75" thickBot="1">
      <c r="A221" s="366"/>
      <c r="B221" s="264"/>
      <c r="C221" s="265"/>
      <c r="E221" s="886"/>
      <c r="F221" s="886"/>
      <c r="G221" s="886"/>
      <c r="H221" s="886"/>
      <c r="I221" s="886"/>
      <c r="J221" s="886"/>
      <c r="K221" s="886"/>
      <c r="L221" s="367"/>
      <c r="M221" s="367"/>
      <c r="N221" s="367"/>
      <c r="O221" s="367"/>
      <c r="P221" s="367"/>
      <c r="Q221" s="367"/>
      <c r="R221" s="367"/>
      <c r="S221" s="367"/>
      <c r="T221" s="367"/>
      <c r="U221" s="368"/>
      <c r="V221" s="141"/>
      <c r="W221" s="141"/>
      <c r="X221" s="141"/>
      <c r="Y221" s="216"/>
      <c r="Z221" s="367"/>
      <c r="AA221" s="367"/>
      <c r="AB221" s="367"/>
    </row>
    <row r="222" spans="1:28" s="266" customFormat="1" ht="26.25" thickBot="1">
      <c r="A222" s="366"/>
      <c r="B222" s="873" t="s">
        <v>15</v>
      </c>
      <c r="C222" s="884" t="s">
        <v>128</v>
      </c>
      <c r="D222" s="873" t="s">
        <v>23</v>
      </c>
      <c r="E222" s="212" t="s">
        <v>24</v>
      </c>
      <c r="F222" s="212" t="s">
        <v>25</v>
      </c>
      <c r="G222" s="212" t="s">
        <v>26</v>
      </c>
      <c r="H222" s="1104" t="s">
        <v>38</v>
      </c>
      <c r="I222" s="1105"/>
      <c r="J222" s="465" t="s">
        <v>222</v>
      </c>
      <c r="K222" s="886"/>
      <c r="L222" s="367"/>
      <c r="M222" s="367"/>
      <c r="N222" s="367"/>
      <c r="O222" s="367"/>
      <c r="P222" s="367"/>
      <c r="Q222" s="367"/>
      <c r="R222" s="367"/>
      <c r="S222" s="367"/>
      <c r="T222" s="367"/>
      <c r="U222" s="368"/>
      <c r="V222" s="141"/>
      <c r="W222" s="141"/>
      <c r="X222" s="141"/>
      <c r="Y222" s="216"/>
      <c r="Z222" s="367"/>
      <c r="AA222" s="367"/>
      <c r="AB222" s="367"/>
    </row>
    <row r="223" spans="1:28" s="266" customFormat="1">
      <c r="A223" s="366"/>
      <c r="B223" s="1101"/>
      <c r="C223" s="918"/>
      <c r="D223" s="652"/>
      <c r="E223" s="885"/>
      <c r="F223" s="885"/>
      <c r="G223" s="885"/>
      <c r="H223" s="1106"/>
      <c r="I223" s="1106"/>
      <c r="J223" s="596"/>
      <c r="K223" s="886"/>
      <c r="L223" s="367"/>
      <c r="M223" s="367"/>
      <c r="N223" s="367"/>
      <c r="O223" s="367"/>
      <c r="P223" s="367"/>
      <c r="Q223" s="367"/>
      <c r="R223" s="367"/>
      <c r="S223" s="367"/>
      <c r="T223" s="367"/>
      <c r="U223" s="368"/>
      <c r="V223" s="141"/>
      <c r="W223" s="141"/>
      <c r="X223" s="141"/>
      <c r="Y223" s="216"/>
      <c r="Z223" s="367"/>
      <c r="AA223" s="367"/>
      <c r="AB223" s="367"/>
    </row>
    <row r="224" spans="1:28" s="266" customFormat="1">
      <c r="A224" s="366"/>
      <c r="B224" s="1102"/>
      <c r="C224" s="919"/>
      <c r="D224" s="883"/>
      <c r="E224" s="883"/>
      <c r="F224" s="883"/>
      <c r="G224" s="883"/>
      <c r="H224" s="1099"/>
      <c r="I224" s="1099"/>
      <c r="J224" s="597"/>
      <c r="K224" s="886"/>
      <c r="L224" s="367"/>
      <c r="M224" s="367"/>
      <c r="N224" s="367"/>
      <c r="O224" s="367"/>
      <c r="P224" s="367"/>
      <c r="Q224" s="367"/>
      <c r="R224" s="367"/>
      <c r="S224" s="367"/>
      <c r="T224" s="367"/>
      <c r="U224" s="368"/>
      <c r="V224" s="141"/>
      <c r="W224" s="141"/>
      <c r="X224" s="141"/>
      <c r="Y224" s="216"/>
      <c r="Z224" s="367"/>
      <c r="AA224" s="367"/>
      <c r="AB224" s="367"/>
    </row>
    <row r="225" spans="1:28" s="266" customFormat="1">
      <c r="A225" s="366"/>
      <c r="B225" s="1102"/>
      <c r="C225" s="919"/>
      <c r="D225" s="883"/>
      <c r="E225" s="883"/>
      <c r="F225" s="883"/>
      <c r="G225" s="883"/>
      <c r="H225" s="1099"/>
      <c r="I225" s="1099"/>
      <c r="J225" s="597"/>
      <c r="K225" s="886"/>
      <c r="L225" s="367"/>
      <c r="M225" s="367"/>
      <c r="N225" s="367"/>
      <c r="O225" s="367"/>
      <c r="P225" s="367"/>
      <c r="Q225" s="367"/>
      <c r="R225" s="367"/>
      <c r="S225" s="367"/>
      <c r="T225" s="367"/>
      <c r="U225" s="368"/>
      <c r="V225" s="141"/>
      <c r="W225" s="141"/>
      <c r="X225" s="141"/>
      <c r="Y225" s="216"/>
      <c r="Z225" s="367"/>
      <c r="AA225" s="367"/>
      <c r="AB225" s="367"/>
    </row>
    <row r="226" spans="1:28" s="266" customFormat="1">
      <c r="A226" s="366"/>
      <c r="B226" s="1102"/>
      <c r="C226" s="919"/>
      <c r="D226" s="883"/>
      <c r="E226" s="883"/>
      <c r="F226" s="883"/>
      <c r="G226" s="883"/>
      <c r="H226" s="1099"/>
      <c r="I226" s="1099"/>
      <c r="J226" s="597"/>
      <c r="K226" s="886"/>
      <c r="L226" s="367"/>
      <c r="M226" s="367"/>
      <c r="N226" s="367"/>
      <c r="O226" s="367"/>
      <c r="P226" s="367"/>
      <c r="Q226" s="367"/>
      <c r="R226" s="367"/>
      <c r="S226" s="367"/>
      <c r="T226" s="367"/>
      <c r="U226" s="368"/>
      <c r="V226" s="141"/>
      <c r="W226" s="141"/>
      <c r="X226" s="141"/>
      <c r="Y226" s="216"/>
      <c r="Z226" s="367"/>
      <c r="AA226" s="367"/>
      <c r="AB226" s="367"/>
    </row>
    <row r="227" spans="1:28" s="266" customFormat="1">
      <c r="A227" s="366"/>
      <c r="B227" s="1102"/>
      <c r="C227" s="919"/>
      <c r="D227" s="883"/>
      <c r="E227" s="883"/>
      <c r="F227" s="883"/>
      <c r="G227" s="883"/>
      <c r="H227" s="1099"/>
      <c r="I227" s="1099"/>
      <c r="J227" s="597"/>
      <c r="K227" s="886"/>
      <c r="L227" s="367"/>
      <c r="M227" s="367"/>
      <c r="N227" s="367"/>
      <c r="O227" s="367"/>
      <c r="P227" s="367"/>
      <c r="Q227" s="367"/>
      <c r="R227" s="367"/>
      <c r="S227" s="367"/>
      <c r="T227" s="367"/>
      <c r="U227" s="368"/>
      <c r="V227" s="141"/>
      <c r="W227" s="141"/>
      <c r="X227" s="141"/>
      <c r="Y227" s="216"/>
      <c r="Z227" s="367"/>
      <c r="AA227" s="367"/>
      <c r="AB227" s="367"/>
    </row>
    <row r="228" spans="1:28" s="266" customFormat="1">
      <c r="A228" s="366"/>
      <c r="B228" s="1102"/>
      <c r="C228" s="919"/>
      <c r="D228" s="883"/>
      <c r="E228" s="883"/>
      <c r="F228" s="883"/>
      <c r="G228" s="883"/>
      <c r="H228" s="1099"/>
      <c r="I228" s="1099"/>
      <c r="J228" s="598"/>
      <c r="K228" s="886"/>
      <c r="L228" s="367"/>
      <c r="M228" s="367"/>
      <c r="N228" s="367"/>
      <c r="O228" s="367"/>
      <c r="P228" s="367"/>
      <c r="Q228" s="367"/>
      <c r="R228" s="367"/>
      <c r="S228" s="367"/>
      <c r="T228" s="367"/>
      <c r="U228" s="368"/>
      <c r="V228" s="141"/>
      <c r="W228" s="141"/>
      <c r="X228" s="141"/>
      <c r="Y228" s="216"/>
      <c r="Z228" s="367"/>
      <c r="AA228" s="367"/>
      <c r="AB228" s="367"/>
    </row>
    <row r="229" spans="1:28" s="266" customFormat="1">
      <c r="A229" s="366"/>
      <c r="B229" s="1102"/>
      <c r="C229" s="919"/>
      <c r="D229" s="883"/>
      <c r="E229" s="883"/>
      <c r="F229" s="883"/>
      <c r="G229" s="883"/>
      <c r="H229" s="1099"/>
      <c r="I229" s="1099"/>
      <c r="J229" s="598"/>
      <c r="K229" s="886"/>
      <c r="L229" s="367"/>
      <c r="M229" s="367"/>
      <c r="N229" s="367"/>
      <c r="O229" s="367"/>
      <c r="P229" s="367"/>
      <c r="Q229" s="367"/>
      <c r="R229" s="367"/>
      <c r="S229" s="367"/>
      <c r="T229" s="367"/>
      <c r="U229" s="368"/>
      <c r="V229" s="141"/>
      <c r="W229" s="141"/>
      <c r="X229" s="141"/>
      <c r="Y229" s="216"/>
      <c r="Z229" s="367"/>
      <c r="AA229" s="367"/>
      <c r="AB229" s="367"/>
    </row>
    <row r="230" spans="1:28" s="266" customFormat="1">
      <c r="A230" s="366"/>
      <c r="B230" s="1102"/>
      <c r="C230" s="919"/>
      <c r="D230" s="883"/>
      <c r="E230" s="883"/>
      <c r="F230" s="883"/>
      <c r="G230" s="883"/>
      <c r="H230" s="1099"/>
      <c r="I230" s="1099"/>
      <c r="J230" s="598"/>
      <c r="K230" s="886"/>
      <c r="L230" s="367"/>
      <c r="M230" s="367"/>
      <c r="N230" s="367"/>
      <c r="O230" s="367"/>
      <c r="P230" s="367"/>
      <c r="Q230" s="367"/>
      <c r="R230" s="367"/>
      <c r="S230" s="367"/>
      <c r="T230" s="367"/>
      <c r="U230" s="368"/>
      <c r="V230" s="141"/>
      <c r="W230" s="141"/>
      <c r="X230" s="141"/>
      <c r="Y230" s="216"/>
      <c r="Z230" s="367"/>
      <c r="AA230" s="367"/>
      <c r="AB230" s="367"/>
    </row>
    <row r="231" spans="1:28" s="266" customFormat="1">
      <c r="A231" s="366"/>
      <c r="B231" s="1102"/>
      <c r="C231" s="919"/>
      <c r="D231" s="883"/>
      <c r="E231" s="883"/>
      <c r="F231" s="883"/>
      <c r="G231" s="883"/>
      <c r="H231" s="1099"/>
      <c r="I231" s="1099"/>
      <c r="J231" s="598"/>
      <c r="K231" s="886"/>
      <c r="L231" s="367"/>
      <c r="M231" s="367"/>
      <c r="N231" s="367"/>
      <c r="O231" s="367"/>
      <c r="P231" s="367"/>
      <c r="Q231" s="367"/>
      <c r="R231" s="367"/>
      <c r="S231" s="367"/>
      <c r="T231" s="367"/>
      <c r="U231" s="368"/>
      <c r="V231" s="141"/>
      <c r="W231" s="141"/>
      <c r="X231" s="141"/>
      <c r="Y231" s="216"/>
      <c r="Z231" s="367"/>
      <c r="AA231" s="367"/>
      <c r="AB231" s="367"/>
    </row>
    <row r="232" spans="1:28" s="266" customFormat="1">
      <c r="A232" s="366"/>
      <c r="B232" s="1102"/>
      <c r="C232" s="919"/>
      <c r="D232" s="883"/>
      <c r="E232" s="883"/>
      <c r="F232" s="883"/>
      <c r="G232" s="883"/>
      <c r="H232" s="1099"/>
      <c r="I232" s="1099"/>
      <c r="J232" s="598"/>
      <c r="K232" s="886"/>
      <c r="L232" s="367"/>
      <c r="M232" s="367"/>
      <c r="N232" s="367"/>
      <c r="O232" s="367"/>
      <c r="P232" s="367"/>
      <c r="Q232" s="367"/>
      <c r="R232" s="367"/>
      <c r="S232" s="367"/>
      <c r="T232" s="367"/>
      <c r="U232" s="368"/>
      <c r="V232" s="141"/>
      <c r="W232" s="141"/>
      <c r="X232" s="141"/>
      <c r="Y232" s="216"/>
      <c r="Z232" s="367"/>
      <c r="AA232" s="367"/>
      <c r="AB232" s="367"/>
    </row>
    <row r="233" spans="1:28" s="266" customFormat="1">
      <c r="A233" s="366"/>
      <c r="B233" s="1102"/>
      <c r="C233" s="919"/>
      <c r="D233" s="883"/>
      <c r="E233" s="883"/>
      <c r="F233" s="883"/>
      <c r="G233" s="883"/>
      <c r="H233" s="1099"/>
      <c r="I233" s="1099"/>
      <c r="J233" s="598"/>
      <c r="K233" s="886"/>
      <c r="L233" s="367"/>
      <c r="M233" s="367"/>
      <c r="N233" s="367"/>
      <c r="O233" s="367"/>
      <c r="P233" s="367"/>
      <c r="Q233" s="367"/>
      <c r="R233" s="367"/>
      <c r="S233" s="367"/>
      <c r="T233" s="367"/>
      <c r="U233" s="368"/>
      <c r="V233" s="141"/>
      <c r="W233" s="141"/>
      <c r="X233" s="141"/>
      <c r="Y233" s="216"/>
      <c r="Z233" s="367"/>
      <c r="AA233" s="367"/>
      <c r="AB233" s="367"/>
    </row>
    <row r="234" spans="1:28" s="266" customFormat="1">
      <c r="A234" s="366"/>
      <c r="B234" s="1102"/>
      <c r="C234" s="919"/>
      <c r="D234" s="883"/>
      <c r="E234" s="883"/>
      <c r="F234" s="883"/>
      <c r="G234" s="883"/>
      <c r="H234" s="1099"/>
      <c r="I234" s="1099"/>
      <c r="J234" s="598"/>
      <c r="K234" s="886"/>
      <c r="L234" s="367"/>
      <c r="M234" s="367"/>
      <c r="N234" s="367"/>
      <c r="O234" s="367"/>
      <c r="P234" s="367"/>
      <c r="Q234" s="367"/>
      <c r="R234" s="367"/>
      <c r="S234" s="367"/>
      <c r="T234" s="367"/>
      <c r="U234" s="368"/>
      <c r="V234" s="141"/>
      <c r="W234" s="141"/>
      <c r="X234" s="141"/>
      <c r="Y234" s="216"/>
      <c r="Z234" s="367"/>
      <c r="AA234" s="367"/>
      <c r="AB234" s="367"/>
    </row>
    <row r="235" spans="1:28" s="266" customFormat="1">
      <c r="A235" s="366"/>
      <c r="B235" s="1102"/>
      <c r="C235" s="919"/>
      <c r="D235" s="883"/>
      <c r="E235" s="883"/>
      <c r="F235" s="883"/>
      <c r="G235" s="883"/>
      <c r="H235" s="1099"/>
      <c r="I235" s="1099"/>
      <c r="J235" s="598"/>
      <c r="K235" s="886"/>
      <c r="L235" s="367"/>
      <c r="M235" s="367"/>
      <c r="N235" s="367"/>
      <c r="O235" s="367"/>
      <c r="P235" s="367"/>
      <c r="Q235" s="367"/>
      <c r="R235" s="367"/>
      <c r="S235" s="367"/>
      <c r="T235" s="367"/>
      <c r="U235" s="368"/>
      <c r="V235" s="141"/>
      <c r="W235" s="141"/>
      <c r="X235" s="141"/>
      <c r="Y235" s="216"/>
      <c r="Z235" s="367"/>
      <c r="AA235" s="367"/>
      <c r="AB235" s="367"/>
    </row>
    <row r="236" spans="1:28" s="266" customFormat="1">
      <c r="A236" s="366"/>
      <c r="B236" s="1102"/>
      <c r="C236" s="919"/>
      <c r="D236" s="883"/>
      <c r="E236" s="883"/>
      <c r="F236" s="883"/>
      <c r="G236" s="883"/>
      <c r="H236" s="1099"/>
      <c r="I236" s="1099"/>
      <c r="J236" s="598"/>
      <c r="K236" s="886"/>
      <c r="L236" s="367"/>
      <c r="M236" s="367"/>
      <c r="N236" s="367"/>
      <c r="O236" s="367"/>
      <c r="P236" s="367"/>
      <c r="Q236" s="367"/>
      <c r="R236" s="367"/>
      <c r="S236" s="367"/>
      <c r="T236" s="367"/>
      <c r="U236" s="368"/>
      <c r="V236" s="141"/>
      <c r="W236" s="141"/>
      <c r="X236" s="141"/>
      <c r="Y236" s="216"/>
      <c r="Z236" s="367"/>
      <c r="AA236" s="367"/>
      <c r="AB236" s="367"/>
    </row>
    <row r="237" spans="1:28" s="266" customFormat="1">
      <c r="A237" s="366"/>
      <c r="B237" s="1102"/>
      <c r="C237" s="919"/>
      <c r="D237" s="883"/>
      <c r="E237" s="883"/>
      <c r="F237" s="883"/>
      <c r="G237" s="883"/>
      <c r="H237" s="1099"/>
      <c r="I237" s="1099"/>
      <c r="J237" s="598"/>
      <c r="K237" s="886"/>
      <c r="L237" s="367"/>
      <c r="M237" s="367"/>
      <c r="N237" s="367"/>
      <c r="O237" s="367"/>
      <c r="P237" s="367"/>
      <c r="Q237" s="367"/>
      <c r="R237" s="367"/>
      <c r="S237" s="367"/>
      <c r="T237" s="367"/>
      <c r="U237" s="368"/>
      <c r="V237" s="141"/>
      <c r="W237" s="141"/>
      <c r="X237" s="141"/>
      <c r="Y237" s="216"/>
      <c r="Z237" s="367"/>
      <c r="AA237" s="367"/>
      <c r="AB237" s="367"/>
    </row>
    <row r="238" spans="1:28" s="266" customFormat="1">
      <c r="A238" s="366"/>
      <c r="B238" s="1102"/>
      <c r="C238" s="919"/>
      <c r="D238" s="883"/>
      <c r="E238" s="883"/>
      <c r="F238" s="883"/>
      <c r="G238" s="883"/>
      <c r="H238" s="1099"/>
      <c r="I238" s="1099"/>
      <c r="J238" s="598"/>
      <c r="K238" s="886"/>
      <c r="L238" s="367"/>
      <c r="M238" s="367"/>
      <c r="N238" s="367"/>
      <c r="O238" s="367"/>
      <c r="P238" s="367"/>
      <c r="Q238" s="367"/>
      <c r="R238" s="367"/>
      <c r="S238" s="367"/>
      <c r="T238" s="367"/>
      <c r="U238" s="368"/>
      <c r="V238" s="141"/>
      <c r="W238" s="141"/>
      <c r="X238" s="141"/>
      <c r="Y238" s="216"/>
      <c r="Z238" s="367"/>
      <c r="AA238" s="367"/>
      <c r="AB238" s="367"/>
    </row>
    <row r="239" spans="1:28" s="266" customFormat="1">
      <c r="A239" s="366"/>
      <c r="B239" s="1102"/>
      <c r="C239" s="919"/>
      <c r="D239" s="883"/>
      <c r="E239" s="883"/>
      <c r="F239" s="883"/>
      <c r="G239" s="883"/>
      <c r="H239" s="1099"/>
      <c r="I239" s="1099"/>
      <c r="J239" s="598"/>
      <c r="K239" s="886"/>
      <c r="L239" s="367"/>
      <c r="M239" s="367"/>
      <c r="N239" s="367"/>
      <c r="O239" s="367"/>
      <c r="P239" s="367"/>
      <c r="Q239" s="367"/>
      <c r="R239" s="367"/>
      <c r="S239" s="367"/>
      <c r="T239" s="367"/>
      <c r="U239" s="368"/>
      <c r="V239" s="141"/>
      <c r="W239" s="141"/>
      <c r="X239" s="141"/>
      <c r="Y239" s="216"/>
      <c r="Z239" s="367"/>
      <c r="AA239" s="367"/>
      <c r="AB239" s="367"/>
    </row>
    <row r="240" spans="1:28" s="266" customFormat="1">
      <c r="A240" s="366"/>
      <c r="B240" s="1102"/>
      <c r="C240" s="919"/>
      <c r="D240" s="883"/>
      <c r="E240" s="883"/>
      <c r="F240" s="883"/>
      <c r="G240" s="883"/>
      <c r="H240" s="1099"/>
      <c r="I240" s="1099"/>
      <c r="J240" s="598"/>
      <c r="K240" s="886"/>
      <c r="L240" s="367"/>
      <c r="M240" s="367"/>
      <c r="N240" s="367"/>
      <c r="O240" s="367"/>
      <c r="P240" s="367"/>
      <c r="Q240" s="367"/>
      <c r="R240" s="367"/>
      <c r="S240" s="367"/>
      <c r="T240" s="367"/>
      <c r="U240" s="368"/>
      <c r="V240" s="141"/>
      <c r="W240" s="141"/>
      <c r="X240" s="141"/>
      <c r="Y240" s="216"/>
      <c r="Z240" s="367"/>
      <c r="AA240" s="367"/>
      <c r="AB240" s="367"/>
    </row>
    <row r="241" spans="1:28" s="266" customFormat="1">
      <c r="A241" s="366"/>
      <c r="B241" s="1102"/>
      <c r="C241" s="919"/>
      <c r="D241" s="883"/>
      <c r="E241" s="883"/>
      <c r="F241" s="883"/>
      <c r="G241" s="883"/>
      <c r="H241" s="1099"/>
      <c r="I241" s="1099"/>
      <c r="J241" s="598"/>
      <c r="K241" s="886"/>
      <c r="L241" s="367"/>
      <c r="M241" s="367"/>
      <c r="N241" s="367"/>
      <c r="O241" s="367"/>
      <c r="P241" s="367"/>
      <c r="Q241" s="367"/>
      <c r="R241" s="367"/>
      <c r="S241" s="367"/>
      <c r="T241" s="367"/>
      <c r="U241" s="368"/>
      <c r="V241" s="141"/>
      <c r="W241" s="141"/>
      <c r="X241" s="141"/>
      <c r="Y241" s="216"/>
      <c r="Z241" s="367"/>
      <c r="AA241" s="367"/>
      <c r="AB241" s="367"/>
    </row>
    <row r="242" spans="1:28" s="266" customFormat="1" ht="15.75" thickBot="1">
      <c r="A242" s="366"/>
      <c r="B242" s="1103"/>
      <c r="C242" s="919"/>
      <c r="D242" s="883"/>
      <c r="E242" s="883"/>
      <c r="F242" s="883"/>
      <c r="G242" s="883"/>
      <c r="H242" s="1100"/>
      <c r="I242" s="1100"/>
      <c r="J242" s="599"/>
      <c r="K242" s="886"/>
      <c r="L242" s="367"/>
      <c r="M242" s="367"/>
      <c r="N242" s="367"/>
      <c r="O242" s="367"/>
      <c r="P242" s="367"/>
      <c r="Q242" s="367"/>
      <c r="R242" s="367"/>
      <c r="S242" s="367"/>
      <c r="T242" s="367"/>
      <c r="U242" s="368"/>
      <c r="V242" s="141"/>
      <c r="W242" s="141"/>
      <c r="X242" s="141"/>
      <c r="Y242" s="216"/>
      <c r="Z242" s="367"/>
      <c r="AA242" s="367"/>
      <c r="AB242" s="367"/>
    </row>
    <row r="243" spans="1:28" s="266" customFormat="1" ht="15.75" thickBot="1">
      <c r="A243" s="366"/>
      <c r="B243" s="264"/>
      <c r="C243" s="265"/>
      <c r="E243" s="886"/>
      <c r="F243" s="886"/>
      <c r="G243" s="886"/>
      <c r="H243" s="886"/>
      <c r="I243" s="886"/>
      <c r="J243" s="886"/>
      <c r="K243" s="886"/>
      <c r="L243" s="367"/>
      <c r="M243" s="367"/>
      <c r="N243" s="367"/>
      <c r="O243" s="367"/>
      <c r="P243" s="367"/>
      <c r="Q243" s="367"/>
      <c r="R243" s="367"/>
      <c r="S243" s="367"/>
      <c r="T243" s="367"/>
      <c r="U243" s="368"/>
      <c r="V243" s="141"/>
      <c r="W243" s="141"/>
      <c r="X243" s="141"/>
      <c r="Y243" s="216"/>
      <c r="Z243" s="367"/>
      <c r="AA243" s="367"/>
      <c r="AB243" s="367"/>
    </row>
    <row r="244" spans="1:28" s="266" customFormat="1" ht="26.25" thickBot="1">
      <c r="A244" s="366"/>
      <c r="B244" s="873" t="s">
        <v>15</v>
      </c>
      <c r="C244" s="884" t="s">
        <v>128</v>
      </c>
      <c r="D244" s="873" t="s">
        <v>23</v>
      </c>
      <c r="E244" s="212" t="s">
        <v>24</v>
      </c>
      <c r="F244" s="212" t="s">
        <v>25</v>
      </c>
      <c r="G244" s="212" t="s">
        <v>26</v>
      </c>
      <c r="H244" s="1104" t="s">
        <v>38</v>
      </c>
      <c r="I244" s="1105"/>
      <c r="J244" s="465" t="s">
        <v>222</v>
      </c>
      <c r="K244" s="886"/>
      <c r="L244" s="367"/>
      <c r="M244" s="367"/>
      <c r="N244" s="367"/>
      <c r="O244" s="367"/>
      <c r="P244" s="367"/>
      <c r="Q244" s="367"/>
      <c r="R244" s="367"/>
      <c r="S244" s="367"/>
      <c r="T244" s="367"/>
      <c r="U244" s="368"/>
      <c r="V244" s="141"/>
      <c r="W244" s="141"/>
      <c r="X244" s="141"/>
      <c r="Y244" s="216"/>
      <c r="Z244" s="367"/>
      <c r="AA244" s="367"/>
      <c r="AB244" s="367"/>
    </row>
    <row r="245" spans="1:28" s="266" customFormat="1">
      <c r="A245" s="366"/>
      <c r="B245" s="1101"/>
      <c r="C245" s="918"/>
      <c r="D245" s="652"/>
      <c r="E245" s="885"/>
      <c r="F245" s="885"/>
      <c r="G245" s="885"/>
      <c r="H245" s="1106"/>
      <c r="I245" s="1106"/>
      <c r="J245" s="596"/>
      <c r="K245" s="886"/>
      <c r="L245" s="367"/>
      <c r="M245" s="367"/>
      <c r="N245" s="367"/>
      <c r="O245" s="367"/>
      <c r="P245" s="367"/>
      <c r="Q245" s="367"/>
      <c r="R245" s="367"/>
      <c r="S245" s="367"/>
      <c r="T245" s="367"/>
      <c r="U245" s="368"/>
      <c r="V245" s="141"/>
      <c r="W245" s="141"/>
      <c r="X245" s="141"/>
      <c r="Y245" s="216"/>
      <c r="Z245" s="367"/>
      <c r="AA245" s="367"/>
      <c r="AB245" s="367"/>
    </row>
    <row r="246" spans="1:28" s="266" customFormat="1">
      <c r="A246" s="366"/>
      <c r="B246" s="1102"/>
      <c r="C246" s="919"/>
      <c r="D246" s="883"/>
      <c r="E246" s="883"/>
      <c r="F246" s="883"/>
      <c r="G246" s="883"/>
      <c r="H246" s="1099"/>
      <c r="I246" s="1099"/>
      <c r="J246" s="597"/>
      <c r="K246" s="886"/>
      <c r="L246" s="367"/>
      <c r="M246" s="367"/>
      <c r="N246" s="367"/>
      <c r="O246" s="367"/>
      <c r="P246" s="367"/>
      <c r="Q246" s="367"/>
      <c r="R246" s="367"/>
      <c r="S246" s="367"/>
      <c r="T246" s="367"/>
      <c r="U246" s="368"/>
      <c r="V246" s="141"/>
      <c r="W246" s="141"/>
      <c r="X246" s="141"/>
      <c r="Y246" s="216"/>
      <c r="Z246" s="367"/>
      <c r="AA246" s="367"/>
      <c r="AB246" s="367"/>
    </row>
    <row r="247" spans="1:28" s="266" customFormat="1">
      <c r="A247" s="366"/>
      <c r="B247" s="1102"/>
      <c r="C247" s="919"/>
      <c r="D247" s="883"/>
      <c r="E247" s="883"/>
      <c r="F247" s="883"/>
      <c r="G247" s="883"/>
      <c r="H247" s="1099"/>
      <c r="I247" s="1099"/>
      <c r="J247" s="597"/>
      <c r="K247" s="886"/>
      <c r="L247" s="367"/>
      <c r="M247" s="367"/>
      <c r="N247" s="367"/>
      <c r="O247" s="367"/>
      <c r="P247" s="367"/>
      <c r="Q247" s="367"/>
      <c r="R247" s="367"/>
      <c r="S247" s="367"/>
      <c r="T247" s="367"/>
      <c r="U247" s="368"/>
      <c r="V247" s="141"/>
      <c r="W247" s="141"/>
      <c r="X247" s="141"/>
      <c r="Y247" s="216"/>
      <c r="Z247" s="367"/>
      <c r="AA247" s="367"/>
      <c r="AB247" s="367"/>
    </row>
    <row r="248" spans="1:28" s="266" customFormat="1">
      <c r="A248" s="366"/>
      <c r="B248" s="1102"/>
      <c r="C248" s="919"/>
      <c r="D248" s="883"/>
      <c r="E248" s="883"/>
      <c r="F248" s="883"/>
      <c r="G248" s="883"/>
      <c r="H248" s="1099"/>
      <c r="I248" s="1099"/>
      <c r="J248" s="597"/>
      <c r="K248" s="886"/>
      <c r="L248" s="367"/>
      <c r="M248" s="367"/>
      <c r="N248" s="367"/>
      <c r="O248" s="367"/>
      <c r="P248" s="367"/>
      <c r="Q248" s="367"/>
      <c r="R248" s="367"/>
      <c r="S248" s="367"/>
      <c r="T248" s="367"/>
      <c r="U248" s="368"/>
      <c r="V248" s="141"/>
      <c r="W248" s="141"/>
      <c r="X248" s="141"/>
      <c r="Y248" s="216"/>
      <c r="Z248" s="367"/>
      <c r="AA248" s="367"/>
      <c r="AB248" s="367"/>
    </row>
    <row r="249" spans="1:28" s="266" customFormat="1">
      <c r="A249" s="366"/>
      <c r="B249" s="1102"/>
      <c r="C249" s="919"/>
      <c r="D249" s="883"/>
      <c r="E249" s="883"/>
      <c r="F249" s="883"/>
      <c r="G249" s="883"/>
      <c r="H249" s="1099"/>
      <c r="I249" s="1099"/>
      <c r="J249" s="597"/>
      <c r="K249" s="886"/>
      <c r="L249" s="367"/>
      <c r="M249" s="367"/>
      <c r="N249" s="367"/>
      <c r="O249" s="367"/>
      <c r="P249" s="367"/>
      <c r="Q249" s="367"/>
      <c r="R249" s="367"/>
      <c r="S249" s="367"/>
      <c r="T249" s="367"/>
      <c r="U249" s="368"/>
      <c r="V249" s="141"/>
      <c r="W249" s="141"/>
      <c r="X249" s="141"/>
      <c r="Y249" s="216"/>
      <c r="Z249" s="367"/>
      <c r="AA249" s="367"/>
      <c r="AB249" s="367"/>
    </row>
    <row r="250" spans="1:28" s="266" customFormat="1">
      <c r="A250" s="366"/>
      <c r="B250" s="1102"/>
      <c r="C250" s="919"/>
      <c r="D250" s="883"/>
      <c r="E250" s="883"/>
      <c r="F250" s="883"/>
      <c r="G250" s="883"/>
      <c r="H250" s="1099"/>
      <c r="I250" s="1099"/>
      <c r="J250" s="598"/>
      <c r="K250" s="886"/>
      <c r="L250" s="367"/>
      <c r="M250" s="367"/>
      <c r="N250" s="367"/>
      <c r="O250" s="367"/>
      <c r="P250" s="367"/>
      <c r="Q250" s="367"/>
      <c r="R250" s="367"/>
      <c r="S250" s="367"/>
      <c r="T250" s="367"/>
      <c r="U250" s="368"/>
      <c r="V250" s="141"/>
      <c r="W250" s="141"/>
      <c r="X250" s="141"/>
      <c r="Y250" s="216"/>
      <c r="Z250" s="367"/>
      <c r="AA250" s="367"/>
      <c r="AB250" s="367"/>
    </row>
    <row r="251" spans="1:28" s="266" customFormat="1">
      <c r="A251" s="366"/>
      <c r="B251" s="1102"/>
      <c r="C251" s="919"/>
      <c r="D251" s="883"/>
      <c r="E251" s="883"/>
      <c r="F251" s="883"/>
      <c r="G251" s="883"/>
      <c r="H251" s="1099"/>
      <c r="I251" s="1099"/>
      <c r="J251" s="598"/>
      <c r="K251" s="886"/>
      <c r="L251" s="367"/>
      <c r="M251" s="367"/>
      <c r="N251" s="367"/>
      <c r="O251" s="367"/>
      <c r="P251" s="367"/>
      <c r="Q251" s="367"/>
      <c r="R251" s="367"/>
      <c r="S251" s="367"/>
      <c r="T251" s="367"/>
      <c r="U251" s="368"/>
      <c r="V251" s="141"/>
      <c r="W251" s="141"/>
      <c r="X251" s="141"/>
      <c r="Y251" s="216"/>
      <c r="Z251" s="367"/>
      <c r="AA251" s="367"/>
      <c r="AB251" s="367"/>
    </row>
    <row r="252" spans="1:28" s="266" customFormat="1">
      <c r="A252" s="366"/>
      <c r="B252" s="1102"/>
      <c r="C252" s="919"/>
      <c r="D252" s="883"/>
      <c r="E252" s="883"/>
      <c r="F252" s="883"/>
      <c r="G252" s="883"/>
      <c r="H252" s="1099"/>
      <c r="I252" s="1099"/>
      <c r="J252" s="598"/>
      <c r="K252" s="886"/>
      <c r="L252" s="367"/>
      <c r="M252" s="367"/>
      <c r="N252" s="367"/>
      <c r="O252" s="367"/>
      <c r="P252" s="367"/>
      <c r="Q252" s="367"/>
      <c r="R252" s="367"/>
      <c r="S252" s="367"/>
      <c r="T252" s="367"/>
      <c r="U252" s="368"/>
      <c r="V252" s="141"/>
      <c r="W252" s="141"/>
      <c r="X252" s="141"/>
      <c r="Y252" s="216"/>
      <c r="Z252" s="367"/>
      <c r="AA252" s="367"/>
      <c r="AB252" s="367"/>
    </row>
    <row r="253" spans="1:28" s="266" customFormat="1">
      <c r="A253" s="366"/>
      <c r="B253" s="1102"/>
      <c r="C253" s="919"/>
      <c r="D253" s="883"/>
      <c r="E253" s="883"/>
      <c r="F253" s="883"/>
      <c r="G253" s="883"/>
      <c r="H253" s="1099"/>
      <c r="I253" s="1099"/>
      <c r="J253" s="598"/>
      <c r="K253" s="886"/>
      <c r="L253" s="367"/>
      <c r="M253" s="367"/>
      <c r="N253" s="367"/>
      <c r="O253" s="367"/>
      <c r="P253" s="367"/>
      <c r="Q253" s="367"/>
      <c r="R253" s="367"/>
      <c r="S253" s="367"/>
      <c r="T253" s="367"/>
      <c r="U253" s="368"/>
      <c r="V253" s="141"/>
      <c r="W253" s="141"/>
      <c r="X253" s="141"/>
      <c r="Y253" s="216"/>
      <c r="Z253" s="367"/>
      <c r="AA253" s="367"/>
      <c r="AB253" s="367"/>
    </row>
    <row r="254" spans="1:28" s="266" customFormat="1">
      <c r="A254" s="366"/>
      <c r="B254" s="1102"/>
      <c r="C254" s="919"/>
      <c r="D254" s="883"/>
      <c r="E254" s="883"/>
      <c r="F254" s="883"/>
      <c r="G254" s="883"/>
      <c r="H254" s="1099"/>
      <c r="I254" s="1099"/>
      <c r="J254" s="598"/>
      <c r="K254" s="886"/>
      <c r="L254" s="367"/>
      <c r="M254" s="367"/>
      <c r="N254" s="367"/>
      <c r="O254" s="367"/>
      <c r="P254" s="367"/>
      <c r="Q254" s="367"/>
      <c r="R254" s="367"/>
      <c r="S254" s="367"/>
      <c r="T254" s="367"/>
      <c r="U254" s="368"/>
      <c r="V254" s="141"/>
      <c r="W254" s="141"/>
      <c r="X254" s="141"/>
      <c r="Y254" s="216"/>
      <c r="Z254" s="367"/>
      <c r="AA254" s="367"/>
      <c r="AB254" s="367"/>
    </row>
    <row r="255" spans="1:28" s="266" customFormat="1">
      <c r="A255" s="366"/>
      <c r="B255" s="1102"/>
      <c r="C255" s="919"/>
      <c r="D255" s="883"/>
      <c r="E255" s="883"/>
      <c r="F255" s="883"/>
      <c r="G255" s="883"/>
      <c r="H255" s="1099"/>
      <c r="I255" s="1099"/>
      <c r="J255" s="598"/>
      <c r="K255" s="886"/>
      <c r="L255" s="367"/>
      <c r="M255" s="367"/>
      <c r="N255" s="367"/>
      <c r="O255" s="367"/>
      <c r="P255" s="367"/>
      <c r="Q255" s="367"/>
      <c r="R255" s="367"/>
      <c r="S255" s="367"/>
      <c r="T255" s="367"/>
      <c r="U255" s="368"/>
      <c r="V255" s="141"/>
      <c r="W255" s="141"/>
      <c r="X255" s="141"/>
      <c r="Y255" s="216"/>
      <c r="Z255" s="367"/>
      <c r="AA255" s="367"/>
      <c r="AB255" s="367"/>
    </row>
    <row r="256" spans="1:28" s="266" customFormat="1">
      <c r="A256" s="366"/>
      <c r="B256" s="1102"/>
      <c r="C256" s="919"/>
      <c r="D256" s="883"/>
      <c r="E256" s="883"/>
      <c r="F256" s="883"/>
      <c r="G256" s="883"/>
      <c r="H256" s="1099"/>
      <c r="I256" s="1099"/>
      <c r="J256" s="598"/>
      <c r="K256" s="886"/>
      <c r="L256" s="367"/>
      <c r="M256" s="367"/>
      <c r="N256" s="367"/>
      <c r="O256" s="367"/>
      <c r="P256" s="367"/>
      <c r="Q256" s="367"/>
      <c r="R256" s="367"/>
      <c r="S256" s="367"/>
      <c r="T256" s="367"/>
      <c r="U256" s="368"/>
      <c r="V256" s="141"/>
      <c r="W256" s="141"/>
      <c r="X256" s="141"/>
      <c r="Y256" s="216"/>
      <c r="Z256" s="367"/>
      <c r="AA256" s="367"/>
      <c r="AB256" s="367"/>
    </row>
    <row r="257" spans="1:28" s="266" customFormat="1">
      <c r="A257" s="366"/>
      <c r="B257" s="1102"/>
      <c r="C257" s="919"/>
      <c r="D257" s="883"/>
      <c r="E257" s="883"/>
      <c r="F257" s="883"/>
      <c r="G257" s="883"/>
      <c r="H257" s="1099"/>
      <c r="I257" s="1099"/>
      <c r="J257" s="598"/>
      <c r="K257" s="886"/>
      <c r="L257" s="367"/>
      <c r="M257" s="367"/>
      <c r="N257" s="367"/>
      <c r="O257" s="367"/>
      <c r="P257" s="367"/>
      <c r="Q257" s="367"/>
      <c r="R257" s="367"/>
      <c r="S257" s="367"/>
      <c r="T257" s="367"/>
      <c r="U257" s="368"/>
      <c r="V257" s="141"/>
      <c r="W257" s="141"/>
      <c r="X257" s="141"/>
      <c r="Y257" s="216"/>
      <c r="Z257" s="367"/>
      <c r="AA257" s="367"/>
      <c r="AB257" s="367"/>
    </row>
    <row r="258" spans="1:28" s="266" customFormat="1">
      <c r="A258" s="366"/>
      <c r="B258" s="1102"/>
      <c r="C258" s="919"/>
      <c r="D258" s="883"/>
      <c r="E258" s="883"/>
      <c r="F258" s="883"/>
      <c r="G258" s="883"/>
      <c r="H258" s="1099"/>
      <c r="I258" s="1099"/>
      <c r="J258" s="598"/>
      <c r="K258" s="886"/>
      <c r="L258" s="367"/>
      <c r="M258" s="367"/>
      <c r="N258" s="367"/>
      <c r="O258" s="367"/>
      <c r="P258" s="367"/>
      <c r="Q258" s="367"/>
      <c r="R258" s="367"/>
      <c r="S258" s="367"/>
      <c r="T258" s="367"/>
      <c r="U258" s="368"/>
      <c r="V258" s="141"/>
      <c r="W258" s="141"/>
      <c r="X258" s="141"/>
      <c r="Y258" s="216"/>
      <c r="Z258" s="367"/>
      <c r="AA258" s="367"/>
      <c r="AB258" s="367"/>
    </row>
    <row r="259" spans="1:28" s="266" customFormat="1">
      <c r="A259" s="366"/>
      <c r="B259" s="1102"/>
      <c r="C259" s="919"/>
      <c r="D259" s="883"/>
      <c r="E259" s="883"/>
      <c r="F259" s="883"/>
      <c r="G259" s="883"/>
      <c r="H259" s="1099"/>
      <c r="I259" s="1099"/>
      <c r="J259" s="598"/>
      <c r="K259" s="886"/>
      <c r="L259" s="367"/>
      <c r="M259" s="367"/>
      <c r="N259" s="367"/>
      <c r="O259" s="367"/>
      <c r="P259" s="367"/>
      <c r="Q259" s="367"/>
      <c r="R259" s="367"/>
      <c r="S259" s="367"/>
      <c r="T259" s="367"/>
      <c r="U259" s="368"/>
      <c r="V259" s="141"/>
      <c r="W259" s="141"/>
      <c r="X259" s="141"/>
      <c r="Y259" s="216"/>
      <c r="Z259" s="367"/>
      <c r="AA259" s="367"/>
      <c r="AB259" s="367"/>
    </row>
    <row r="260" spans="1:28" s="266" customFormat="1">
      <c r="A260" s="366"/>
      <c r="B260" s="1102"/>
      <c r="C260" s="919"/>
      <c r="D260" s="883"/>
      <c r="E260" s="883"/>
      <c r="F260" s="883"/>
      <c r="G260" s="883"/>
      <c r="H260" s="1099"/>
      <c r="I260" s="1099"/>
      <c r="J260" s="598"/>
      <c r="K260" s="886"/>
      <c r="L260" s="367"/>
      <c r="M260" s="367"/>
      <c r="N260" s="367"/>
      <c r="O260" s="367"/>
      <c r="P260" s="367"/>
      <c r="Q260" s="367"/>
      <c r="R260" s="367"/>
      <c r="S260" s="367"/>
      <c r="T260" s="367"/>
      <c r="U260" s="368"/>
      <c r="V260" s="141"/>
      <c r="W260" s="141"/>
      <c r="X260" s="141"/>
      <c r="Y260" s="216"/>
      <c r="Z260" s="367"/>
      <c r="AA260" s="367"/>
      <c r="AB260" s="367"/>
    </row>
    <row r="261" spans="1:28" s="266" customFormat="1">
      <c r="A261" s="366"/>
      <c r="B261" s="1102"/>
      <c r="C261" s="919"/>
      <c r="D261" s="883"/>
      <c r="E261" s="883"/>
      <c r="F261" s="883"/>
      <c r="G261" s="883"/>
      <c r="H261" s="1099"/>
      <c r="I261" s="1099"/>
      <c r="J261" s="598"/>
      <c r="K261" s="886"/>
      <c r="L261" s="367"/>
      <c r="M261" s="367"/>
      <c r="N261" s="367"/>
      <c r="O261" s="367"/>
      <c r="P261" s="367"/>
      <c r="Q261" s="367"/>
      <c r="R261" s="367"/>
      <c r="S261" s="367"/>
      <c r="T261" s="367"/>
      <c r="U261" s="368"/>
      <c r="V261" s="141"/>
      <c r="W261" s="141"/>
      <c r="X261" s="141"/>
      <c r="Y261" s="216"/>
      <c r="Z261" s="367"/>
      <c r="AA261" s="367"/>
      <c r="AB261" s="367"/>
    </row>
    <row r="262" spans="1:28" s="266" customFormat="1">
      <c r="A262" s="366"/>
      <c r="B262" s="1102"/>
      <c r="C262" s="919"/>
      <c r="D262" s="883"/>
      <c r="E262" s="883"/>
      <c r="F262" s="883"/>
      <c r="G262" s="883"/>
      <c r="H262" s="1099"/>
      <c r="I262" s="1099"/>
      <c r="J262" s="598"/>
      <c r="K262" s="886"/>
      <c r="L262" s="367"/>
      <c r="M262" s="367"/>
      <c r="N262" s="367"/>
      <c r="O262" s="367"/>
      <c r="P262" s="367"/>
      <c r="Q262" s="367"/>
      <c r="R262" s="367"/>
      <c r="S262" s="367"/>
      <c r="T262" s="367"/>
      <c r="U262" s="368"/>
      <c r="V262" s="141"/>
      <c r="W262" s="141"/>
      <c r="X262" s="141"/>
      <c r="Y262" s="216"/>
      <c r="Z262" s="367"/>
      <c r="AA262" s="367"/>
      <c r="AB262" s="367"/>
    </row>
    <row r="263" spans="1:28" s="266" customFormat="1">
      <c r="A263" s="366"/>
      <c r="B263" s="1102"/>
      <c r="C263" s="919"/>
      <c r="D263" s="883"/>
      <c r="E263" s="883"/>
      <c r="F263" s="883"/>
      <c r="G263" s="883"/>
      <c r="H263" s="1099"/>
      <c r="I263" s="1099"/>
      <c r="J263" s="598"/>
      <c r="K263" s="886"/>
      <c r="L263" s="367"/>
      <c r="M263" s="367"/>
      <c r="N263" s="367"/>
      <c r="O263" s="367"/>
      <c r="P263" s="367"/>
      <c r="Q263" s="367"/>
      <c r="R263" s="367"/>
      <c r="S263" s="367"/>
      <c r="T263" s="367"/>
      <c r="U263" s="368"/>
      <c r="V263" s="141"/>
      <c r="W263" s="141"/>
      <c r="X263" s="141"/>
      <c r="Y263" s="216"/>
      <c r="Z263" s="367"/>
      <c r="AA263" s="367"/>
      <c r="AB263" s="367"/>
    </row>
    <row r="264" spans="1:28" s="266" customFormat="1" ht="15.75" thickBot="1">
      <c r="A264" s="366"/>
      <c r="B264" s="1103"/>
      <c r="C264" s="919"/>
      <c r="D264" s="883"/>
      <c r="E264" s="883"/>
      <c r="F264" s="883"/>
      <c r="G264" s="883"/>
      <c r="H264" s="1100"/>
      <c r="I264" s="1100"/>
      <c r="J264" s="599"/>
      <c r="K264" s="886"/>
      <c r="L264" s="367"/>
      <c r="M264" s="367"/>
      <c r="N264" s="367"/>
      <c r="O264" s="367"/>
      <c r="P264" s="367"/>
      <c r="Q264" s="367"/>
      <c r="R264" s="367"/>
      <c r="S264" s="367"/>
      <c r="T264" s="367"/>
      <c r="U264" s="368"/>
      <c r="V264" s="141"/>
      <c r="W264" s="141"/>
      <c r="X264" s="141"/>
      <c r="Y264" s="216"/>
      <c r="Z264" s="367"/>
      <c r="AA264" s="367"/>
      <c r="AB264" s="367"/>
    </row>
    <row r="265" spans="1:28" s="266" customFormat="1" ht="15.75" thickBot="1">
      <c r="A265" s="366"/>
      <c r="B265" s="264"/>
      <c r="C265" s="265"/>
      <c r="E265" s="886"/>
      <c r="F265" s="886"/>
      <c r="G265" s="886"/>
      <c r="H265" s="886"/>
      <c r="I265" s="886"/>
      <c r="J265" s="886"/>
      <c r="K265" s="886"/>
      <c r="L265" s="367"/>
      <c r="M265" s="367"/>
      <c r="N265" s="367"/>
      <c r="O265" s="367"/>
      <c r="P265" s="367"/>
      <c r="Q265" s="367"/>
      <c r="R265" s="367"/>
      <c r="S265" s="367"/>
      <c r="T265" s="367"/>
      <c r="U265" s="368"/>
      <c r="V265" s="141"/>
      <c r="W265" s="141"/>
      <c r="X265" s="141"/>
      <c r="Y265" s="216"/>
      <c r="Z265" s="367"/>
      <c r="AA265" s="367"/>
      <c r="AB265" s="367"/>
    </row>
    <row r="266" spans="1:28" s="266" customFormat="1" ht="26.25" thickBot="1">
      <c r="A266" s="366"/>
      <c r="B266" s="873" t="s">
        <v>15</v>
      </c>
      <c r="C266" s="884" t="s">
        <v>128</v>
      </c>
      <c r="D266" s="873" t="s">
        <v>23</v>
      </c>
      <c r="E266" s="212" t="s">
        <v>24</v>
      </c>
      <c r="F266" s="212" t="s">
        <v>25</v>
      </c>
      <c r="G266" s="212" t="s">
        <v>26</v>
      </c>
      <c r="H266" s="1104" t="s">
        <v>38</v>
      </c>
      <c r="I266" s="1105"/>
      <c r="J266" s="465" t="s">
        <v>222</v>
      </c>
      <c r="K266" s="886"/>
      <c r="L266" s="367"/>
      <c r="M266" s="367"/>
      <c r="N266" s="367"/>
      <c r="O266" s="367"/>
      <c r="P266" s="367"/>
      <c r="Q266" s="367"/>
      <c r="R266" s="367"/>
      <c r="S266" s="367"/>
      <c r="T266" s="367"/>
      <c r="U266" s="368"/>
      <c r="V266" s="141"/>
      <c r="W266" s="141"/>
      <c r="X266" s="141"/>
      <c r="Y266" s="216"/>
      <c r="Z266" s="367"/>
      <c r="AA266" s="367"/>
      <c r="AB266" s="367"/>
    </row>
    <row r="267" spans="1:28" s="266" customFormat="1">
      <c r="A267" s="366"/>
      <c r="B267" s="1101"/>
      <c r="C267" s="918"/>
      <c r="D267" s="652"/>
      <c r="E267" s="885"/>
      <c r="F267" s="885"/>
      <c r="G267" s="885"/>
      <c r="H267" s="1106"/>
      <c r="I267" s="1106"/>
      <c r="J267" s="596"/>
      <c r="K267" s="886"/>
      <c r="L267" s="367"/>
      <c r="M267" s="367"/>
      <c r="N267" s="367"/>
      <c r="O267" s="367"/>
      <c r="P267" s="367"/>
      <c r="Q267" s="367"/>
      <c r="R267" s="367"/>
      <c r="S267" s="367"/>
      <c r="T267" s="367"/>
      <c r="U267" s="368"/>
      <c r="V267" s="141"/>
      <c r="W267" s="141"/>
      <c r="X267" s="141"/>
      <c r="Y267" s="216"/>
      <c r="Z267" s="367"/>
      <c r="AA267" s="367"/>
      <c r="AB267" s="367"/>
    </row>
    <row r="268" spans="1:28" s="266" customFormat="1">
      <c r="A268" s="366"/>
      <c r="B268" s="1102"/>
      <c r="C268" s="919"/>
      <c r="D268" s="883"/>
      <c r="E268" s="883"/>
      <c r="F268" s="883"/>
      <c r="G268" s="883"/>
      <c r="H268" s="1099"/>
      <c r="I268" s="1099"/>
      <c r="J268" s="597"/>
      <c r="K268" s="886"/>
      <c r="L268" s="367"/>
      <c r="M268" s="367"/>
      <c r="N268" s="367"/>
      <c r="O268" s="367"/>
      <c r="P268" s="367"/>
      <c r="Q268" s="367"/>
      <c r="R268" s="367"/>
      <c r="S268" s="367"/>
      <c r="T268" s="367"/>
      <c r="U268" s="368"/>
      <c r="V268" s="141"/>
      <c r="W268" s="141"/>
      <c r="X268" s="141"/>
      <c r="Y268" s="216"/>
      <c r="Z268" s="367"/>
      <c r="AA268" s="367"/>
      <c r="AB268" s="367"/>
    </row>
    <row r="269" spans="1:28" s="266" customFormat="1">
      <c r="A269" s="366"/>
      <c r="B269" s="1102"/>
      <c r="C269" s="919"/>
      <c r="D269" s="883"/>
      <c r="E269" s="883"/>
      <c r="F269" s="883"/>
      <c r="G269" s="883"/>
      <c r="H269" s="1099"/>
      <c r="I269" s="1099"/>
      <c r="J269" s="597"/>
      <c r="K269" s="886"/>
      <c r="L269" s="367"/>
      <c r="M269" s="367"/>
      <c r="N269" s="367"/>
      <c r="O269" s="367"/>
      <c r="P269" s="367"/>
      <c r="Q269" s="367"/>
      <c r="R269" s="367"/>
      <c r="S269" s="367"/>
      <c r="T269" s="367"/>
      <c r="U269" s="368"/>
      <c r="V269" s="141"/>
      <c r="W269" s="141"/>
      <c r="X269" s="141"/>
      <c r="Y269" s="216"/>
      <c r="Z269" s="367"/>
      <c r="AA269" s="367"/>
      <c r="AB269" s="367"/>
    </row>
    <row r="270" spans="1:28" s="266" customFormat="1">
      <c r="A270" s="366"/>
      <c r="B270" s="1102"/>
      <c r="C270" s="919"/>
      <c r="D270" s="883"/>
      <c r="E270" s="883"/>
      <c r="F270" s="883"/>
      <c r="G270" s="883"/>
      <c r="H270" s="1099"/>
      <c r="I270" s="1099"/>
      <c r="J270" s="597"/>
      <c r="K270" s="886"/>
      <c r="L270" s="367"/>
      <c r="M270" s="367"/>
      <c r="N270" s="367"/>
      <c r="O270" s="367"/>
      <c r="P270" s="367"/>
      <c r="Q270" s="367"/>
      <c r="R270" s="367"/>
      <c r="S270" s="367"/>
      <c r="T270" s="367"/>
      <c r="U270" s="368"/>
      <c r="V270" s="141"/>
      <c r="W270" s="141"/>
      <c r="X270" s="141"/>
      <c r="Y270" s="216"/>
      <c r="Z270" s="367"/>
      <c r="AA270" s="367"/>
      <c r="AB270" s="367"/>
    </row>
    <row r="271" spans="1:28" s="266" customFormat="1">
      <c r="A271" s="366"/>
      <c r="B271" s="1102"/>
      <c r="C271" s="919"/>
      <c r="D271" s="883"/>
      <c r="E271" s="883"/>
      <c r="F271" s="883"/>
      <c r="G271" s="883"/>
      <c r="H271" s="1099"/>
      <c r="I271" s="1099"/>
      <c r="J271" s="597"/>
      <c r="K271" s="886"/>
      <c r="L271" s="367"/>
      <c r="M271" s="367"/>
      <c r="N271" s="367"/>
      <c r="O271" s="367"/>
      <c r="P271" s="367"/>
      <c r="Q271" s="367"/>
      <c r="R271" s="367"/>
      <c r="S271" s="367"/>
      <c r="T271" s="367"/>
      <c r="U271" s="368"/>
      <c r="V271" s="141"/>
      <c r="W271" s="141"/>
      <c r="X271" s="141"/>
      <c r="Y271" s="216"/>
      <c r="Z271" s="367"/>
      <c r="AA271" s="367"/>
      <c r="AB271" s="367"/>
    </row>
    <row r="272" spans="1:28" s="266" customFormat="1">
      <c r="A272" s="366"/>
      <c r="B272" s="1102"/>
      <c r="C272" s="919"/>
      <c r="D272" s="883"/>
      <c r="E272" s="883"/>
      <c r="F272" s="883"/>
      <c r="G272" s="883"/>
      <c r="H272" s="1099"/>
      <c r="I272" s="1099"/>
      <c r="J272" s="598"/>
      <c r="K272" s="886"/>
      <c r="L272" s="367"/>
      <c r="M272" s="367"/>
      <c r="N272" s="367"/>
      <c r="O272" s="367"/>
      <c r="P272" s="367"/>
      <c r="Q272" s="367"/>
      <c r="R272" s="367"/>
      <c r="S272" s="367"/>
      <c r="T272" s="367"/>
      <c r="U272" s="368"/>
      <c r="V272" s="141"/>
      <c r="W272" s="141"/>
      <c r="X272" s="141"/>
      <c r="Y272" s="216"/>
      <c r="Z272" s="367"/>
      <c r="AA272" s="367"/>
      <c r="AB272" s="367"/>
    </row>
    <row r="273" spans="1:28" s="266" customFormat="1">
      <c r="A273" s="366"/>
      <c r="B273" s="1102"/>
      <c r="C273" s="919"/>
      <c r="D273" s="883"/>
      <c r="E273" s="883"/>
      <c r="F273" s="883"/>
      <c r="G273" s="883"/>
      <c r="H273" s="1099"/>
      <c r="I273" s="1099"/>
      <c r="J273" s="598"/>
      <c r="K273" s="886"/>
      <c r="L273" s="367"/>
      <c r="M273" s="367"/>
      <c r="N273" s="367"/>
      <c r="O273" s="367"/>
      <c r="P273" s="367"/>
      <c r="Q273" s="367"/>
      <c r="R273" s="367"/>
      <c r="S273" s="367"/>
      <c r="T273" s="367"/>
      <c r="U273" s="368"/>
      <c r="V273" s="141"/>
      <c r="W273" s="141"/>
      <c r="X273" s="141"/>
      <c r="Y273" s="216"/>
      <c r="Z273" s="367"/>
      <c r="AA273" s="367"/>
      <c r="AB273" s="367"/>
    </row>
    <row r="274" spans="1:28" s="266" customFormat="1">
      <c r="A274" s="366"/>
      <c r="B274" s="1102"/>
      <c r="C274" s="919"/>
      <c r="D274" s="883"/>
      <c r="E274" s="883"/>
      <c r="F274" s="883"/>
      <c r="G274" s="883"/>
      <c r="H274" s="1099"/>
      <c r="I274" s="1099"/>
      <c r="J274" s="598"/>
      <c r="K274" s="886"/>
      <c r="L274" s="367"/>
      <c r="M274" s="367"/>
      <c r="N274" s="367"/>
      <c r="O274" s="367"/>
      <c r="P274" s="367"/>
      <c r="Q274" s="367"/>
      <c r="R274" s="367"/>
      <c r="S274" s="367"/>
      <c r="T274" s="367"/>
      <c r="U274" s="368"/>
      <c r="V274" s="141"/>
      <c r="W274" s="141"/>
      <c r="X274" s="141"/>
      <c r="Y274" s="216"/>
      <c r="Z274" s="367"/>
      <c r="AA274" s="367"/>
      <c r="AB274" s="367"/>
    </row>
    <row r="275" spans="1:28" s="266" customFormat="1">
      <c r="A275" s="366"/>
      <c r="B275" s="1102"/>
      <c r="C275" s="919"/>
      <c r="D275" s="883"/>
      <c r="E275" s="883"/>
      <c r="F275" s="883"/>
      <c r="G275" s="883"/>
      <c r="H275" s="1099"/>
      <c r="I275" s="1099"/>
      <c r="J275" s="598"/>
      <c r="K275" s="886"/>
      <c r="L275" s="367"/>
      <c r="M275" s="367"/>
      <c r="N275" s="367"/>
      <c r="O275" s="367"/>
      <c r="P275" s="367"/>
      <c r="Q275" s="367"/>
      <c r="R275" s="367"/>
      <c r="S275" s="367"/>
      <c r="T275" s="367"/>
      <c r="U275" s="368"/>
      <c r="V275" s="141"/>
      <c r="W275" s="141"/>
      <c r="X275" s="141"/>
      <c r="Y275" s="216"/>
      <c r="Z275" s="367"/>
      <c r="AA275" s="367"/>
      <c r="AB275" s="367"/>
    </row>
    <row r="276" spans="1:28" s="266" customFormat="1">
      <c r="A276" s="366"/>
      <c r="B276" s="1102"/>
      <c r="C276" s="919"/>
      <c r="D276" s="883"/>
      <c r="E276" s="883"/>
      <c r="F276" s="883"/>
      <c r="G276" s="883"/>
      <c r="H276" s="1099"/>
      <c r="I276" s="1099"/>
      <c r="J276" s="598"/>
      <c r="K276" s="886"/>
      <c r="L276" s="367"/>
      <c r="M276" s="367"/>
      <c r="N276" s="367"/>
      <c r="O276" s="367"/>
      <c r="P276" s="367"/>
      <c r="Q276" s="367"/>
      <c r="R276" s="367"/>
      <c r="S276" s="367"/>
      <c r="T276" s="367"/>
      <c r="U276" s="368"/>
      <c r="V276" s="141"/>
      <c r="W276" s="141"/>
      <c r="X276" s="141"/>
      <c r="Y276" s="216"/>
      <c r="Z276" s="367"/>
      <c r="AA276" s="367"/>
      <c r="AB276" s="367"/>
    </row>
    <row r="277" spans="1:28" s="266" customFormat="1">
      <c r="A277" s="366"/>
      <c r="B277" s="1102"/>
      <c r="C277" s="919"/>
      <c r="D277" s="883"/>
      <c r="E277" s="883"/>
      <c r="F277" s="883"/>
      <c r="G277" s="883"/>
      <c r="H277" s="1099"/>
      <c r="I277" s="1099"/>
      <c r="J277" s="598"/>
      <c r="K277" s="886"/>
      <c r="L277" s="367"/>
      <c r="M277" s="367"/>
      <c r="N277" s="367"/>
      <c r="O277" s="367"/>
      <c r="P277" s="367"/>
      <c r="Q277" s="367"/>
      <c r="R277" s="367"/>
      <c r="S277" s="367"/>
      <c r="T277" s="367"/>
      <c r="U277" s="368"/>
      <c r="V277" s="141"/>
      <c r="W277" s="141"/>
      <c r="X277" s="141"/>
      <c r="Y277" s="216"/>
      <c r="Z277" s="367"/>
      <c r="AA277" s="367"/>
      <c r="AB277" s="367"/>
    </row>
    <row r="278" spans="1:28" s="266" customFormat="1">
      <c r="A278" s="366"/>
      <c r="B278" s="1102"/>
      <c r="C278" s="919"/>
      <c r="D278" s="883"/>
      <c r="E278" s="883"/>
      <c r="F278" s="883"/>
      <c r="G278" s="883"/>
      <c r="H278" s="1099"/>
      <c r="I278" s="1099"/>
      <c r="J278" s="598"/>
      <c r="K278" s="886"/>
      <c r="L278" s="367"/>
      <c r="M278" s="367"/>
      <c r="N278" s="367"/>
      <c r="O278" s="367"/>
      <c r="P278" s="367"/>
      <c r="Q278" s="367"/>
      <c r="R278" s="367"/>
      <c r="S278" s="367"/>
      <c r="T278" s="367"/>
      <c r="U278" s="368"/>
      <c r="V278" s="141"/>
      <c r="W278" s="141"/>
      <c r="X278" s="141"/>
      <c r="Y278" s="216"/>
      <c r="Z278" s="367"/>
      <c r="AA278" s="367"/>
      <c r="AB278" s="367"/>
    </row>
    <row r="279" spans="1:28" s="266" customFormat="1">
      <c r="A279" s="366"/>
      <c r="B279" s="1102"/>
      <c r="C279" s="919"/>
      <c r="D279" s="883"/>
      <c r="E279" s="883"/>
      <c r="F279" s="883"/>
      <c r="G279" s="883"/>
      <c r="H279" s="1099"/>
      <c r="I279" s="1099"/>
      <c r="J279" s="598"/>
      <c r="K279" s="886"/>
      <c r="L279" s="367"/>
      <c r="M279" s="367"/>
      <c r="N279" s="367"/>
      <c r="O279" s="367"/>
      <c r="P279" s="367"/>
      <c r="Q279" s="367"/>
      <c r="R279" s="367"/>
      <c r="S279" s="367"/>
      <c r="T279" s="367"/>
      <c r="U279" s="368"/>
      <c r="V279" s="141"/>
      <c r="W279" s="141"/>
      <c r="X279" s="141"/>
      <c r="Y279" s="216"/>
      <c r="Z279" s="367"/>
      <c r="AA279" s="367"/>
      <c r="AB279" s="367"/>
    </row>
    <row r="280" spans="1:28" s="266" customFormat="1">
      <c r="A280" s="366"/>
      <c r="B280" s="1102"/>
      <c r="C280" s="919"/>
      <c r="D280" s="883"/>
      <c r="E280" s="883"/>
      <c r="F280" s="883"/>
      <c r="G280" s="883"/>
      <c r="H280" s="1099"/>
      <c r="I280" s="1099"/>
      <c r="J280" s="598"/>
      <c r="K280" s="886"/>
      <c r="L280" s="367"/>
      <c r="M280" s="367"/>
      <c r="N280" s="367"/>
      <c r="O280" s="367"/>
      <c r="P280" s="367"/>
      <c r="Q280" s="367"/>
      <c r="R280" s="367"/>
      <c r="S280" s="367"/>
      <c r="T280" s="367"/>
      <c r="U280" s="368"/>
      <c r="V280" s="141"/>
      <c r="W280" s="141"/>
      <c r="X280" s="141"/>
      <c r="Y280" s="216"/>
      <c r="Z280" s="367"/>
      <c r="AA280" s="367"/>
      <c r="AB280" s="367"/>
    </row>
    <row r="281" spans="1:28" s="266" customFormat="1">
      <c r="A281" s="366"/>
      <c r="B281" s="1102"/>
      <c r="C281" s="919"/>
      <c r="D281" s="883"/>
      <c r="E281" s="883"/>
      <c r="F281" s="883"/>
      <c r="G281" s="883"/>
      <c r="H281" s="1099"/>
      <c r="I281" s="1099"/>
      <c r="J281" s="598"/>
      <c r="K281" s="886"/>
      <c r="L281" s="367"/>
      <c r="M281" s="367"/>
      <c r="N281" s="367"/>
      <c r="O281" s="367"/>
      <c r="P281" s="367"/>
      <c r="Q281" s="367"/>
      <c r="R281" s="367"/>
      <c r="S281" s="367"/>
      <c r="T281" s="367"/>
      <c r="U281" s="368"/>
      <c r="V281" s="141"/>
      <c r="W281" s="141"/>
      <c r="X281" s="141"/>
      <c r="Y281" s="216"/>
      <c r="Z281" s="367"/>
      <c r="AA281" s="367"/>
      <c r="AB281" s="367"/>
    </row>
    <row r="282" spans="1:28" s="266" customFormat="1">
      <c r="A282" s="366"/>
      <c r="B282" s="1102"/>
      <c r="C282" s="919"/>
      <c r="D282" s="883"/>
      <c r="E282" s="883"/>
      <c r="F282" s="883"/>
      <c r="G282" s="883"/>
      <c r="H282" s="1099"/>
      <c r="I282" s="1099"/>
      <c r="J282" s="598"/>
      <c r="K282" s="886"/>
      <c r="L282" s="367"/>
      <c r="M282" s="367"/>
      <c r="N282" s="367"/>
      <c r="O282" s="367"/>
      <c r="P282" s="367"/>
      <c r="Q282" s="367"/>
      <c r="R282" s="367"/>
      <c r="S282" s="367"/>
      <c r="T282" s="367"/>
      <c r="U282" s="368"/>
      <c r="V282" s="141"/>
      <c r="W282" s="141"/>
      <c r="X282" s="141"/>
      <c r="Y282" s="216"/>
      <c r="Z282" s="367"/>
      <c r="AA282" s="367"/>
      <c r="AB282" s="367"/>
    </row>
    <row r="283" spans="1:28" s="266" customFormat="1">
      <c r="A283" s="366"/>
      <c r="B283" s="1102"/>
      <c r="C283" s="919"/>
      <c r="D283" s="883"/>
      <c r="E283" s="883"/>
      <c r="F283" s="883"/>
      <c r="G283" s="883"/>
      <c r="H283" s="1099"/>
      <c r="I283" s="1099"/>
      <c r="J283" s="598"/>
      <c r="K283" s="886"/>
      <c r="L283" s="367"/>
      <c r="M283" s="367"/>
      <c r="N283" s="367"/>
      <c r="O283" s="367"/>
      <c r="P283" s="367"/>
      <c r="Q283" s="367"/>
      <c r="R283" s="367"/>
      <c r="S283" s="367"/>
      <c r="T283" s="367"/>
      <c r="U283" s="368"/>
      <c r="V283" s="141"/>
      <c r="W283" s="141"/>
      <c r="X283" s="141"/>
      <c r="Y283" s="216"/>
      <c r="Z283" s="367"/>
      <c r="AA283" s="367"/>
      <c r="AB283" s="367"/>
    </row>
    <row r="284" spans="1:28" s="266" customFormat="1">
      <c r="A284" s="366"/>
      <c r="B284" s="1102"/>
      <c r="C284" s="919"/>
      <c r="D284" s="883"/>
      <c r="E284" s="883"/>
      <c r="F284" s="883"/>
      <c r="G284" s="883"/>
      <c r="H284" s="1099"/>
      <c r="I284" s="1099"/>
      <c r="J284" s="598"/>
      <c r="K284" s="886"/>
      <c r="L284" s="367"/>
      <c r="M284" s="367"/>
      <c r="N284" s="367"/>
      <c r="O284" s="367"/>
      <c r="P284" s="367"/>
      <c r="Q284" s="367"/>
      <c r="R284" s="367"/>
      <c r="S284" s="367"/>
      <c r="T284" s="367"/>
      <c r="U284" s="368"/>
      <c r="V284" s="141"/>
      <c r="W284" s="141"/>
      <c r="X284" s="141"/>
      <c r="Y284" s="216"/>
      <c r="Z284" s="367"/>
      <c r="AA284" s="367"/>
      <c r="AB284" s="367"/>
    </row>
    <row r="285" spans="1:28" s="266" customFormat="1">
      <c r="A285" s="366"/>
      <c r="B285" s="1102"/>
      <c r="C285" s="919"/>
      <c r="D285" s="883"/>
      <c r="E285" s="883"/>
      <c r="F285" s="883"/>
      <c r="G285" s="883"/>
      <c r="H285" s="1099"/>
      <c r="I285" s="1099"/>
      <c r="J285" s="598"/>
      <c r="K285" s="886"/>
      <c r="L285" s="367"/>
      <c r="M285" s="367"/>
      <c r="N285" s="367"/>
      <c r="O285" s="367"/>
      <c r="P285" s="367"/>
      <c r="Q285" s="367"/>
      <c r="R285" s="367"/>
      <c r="S285" s="367"/>
      <c r="T285" s="367"/>
      <c r="U285" s="368"/>
      <c r="V285" s="141"/>
      <c r="W285" s="141"/>
      <c r="X285" s="141"/>
      <c r="Y285" s="216"/>
      <c r="Z285" s="367"/>
      <c r="AA285" s="367"/>
      <c r="AB285" s="367"/>
    </row>
    <row r="286" spans="1:28" s="266" customFormat="1" ht="15.75" thickBot="1">
      <c r="A286" s="366"/>
      <c r="B286" s="1103"/>
      <c r="C286" s="919"/>
      <c r="D286" s="883"/>
      <c r="E286" s="883"/>
      <c r="F286" s="883"/>
      <c r="G286" s="883"/>
      <c r="H286" s="1100"/>
      <c r="I286" s="1100"/>
      <c r="J286" s="599"/>
      <c r="K286" s="886"/>
      <c r="L286" s="367"/>
      <c r="M286" s="367"/>
      <c r="N286" s="367"/>
      <c r="O286" s="367"/>
      <c r="P286" s="367"/>
      <c r="Q286" s="367"/>
      <c r="R286" s="367"/>
      <c r="S286" s="367"/>
      <c r="T286" s="367"/>
      <c r="U286" s="368"/>
      <c r="V286" s="141"/>
      <c r="W286" s="141"/>
      <c r="X286" s="141"/>
      <c r="Y286" s="216"/>
      <c r="Z286" s="367"/>
      <c r="AA286" s="367"/>
      <c r="AB286" s="367"/>
    </row>
    <row r="287" spans="1:28" s="266" customFormat="1" ht="15.75" thickBot="1">
      <c r="A287" s="366"/>
      <c r="B287" s="264"/>
      <c r="C287" s="265"/>
      <c r="E287" s="886"/>
      <c r="F287" s="886"/>
      <c r="G287" s="886"/>
      <c r="H287" s="886"/>
      <c r="I287" s="886"/>
      <c r="J287" s="886"/>
      <c r="K287" s="886"/>
      <c r="L287" s="367"/>
      <c r="M287" s="367"/>
      <c r="N287" s="367"/>
      <c r="O287" s="367"/>
      <c r="P287" s="367"/>
      <c r="Q287" s="367"/>
      <c r="R287" s="367"/>
      <c r="S287" s="367"/>
      <c r="T287" s="367"/>
      <c r="U287" s="368"/>
      <c r="V287" s="141"/>
      <c r="W287" s="141"/>
      <c r="X287" s="141"/>
      <c r="Y287" s="216"/>
      <c r="Z287" s="367"/>
      <c r="AA287" s="367"/>
      <c r="AB287" s="367"/>
    </row>
    <row r="288" spans="1:28" s="266" customFormat="1" ht="26.25" thickBot="1">
      <c r="A288" s="366"/>
      <c r="B288" s="873" t="s">
        <v>15</v>
      </c>
      <c r="C288" s="884" t="s">
        <v>128</v>
      </c>
      <c r="D288" s="873" t="s">
        <v>23</v>
      </c>
      <c r="E288" s="212" t="s">
        <v>24</v>
      </c>
      <c r="F288" s="212" t="s">
        <v>25</v>
      </c>
      <c r="G288" s="212" t="s">
        <v>26</v>
      </c>
      <c r="H288" s="1104" t="s">
        <v>38</v>
      </c>
      <c r="I288" s="1105"/>
      <c r="J288" s="465" t="s">
        <v>222</v>
      </c>
      <c r="K288" s="886"/>
      <c r="L288" s="367"/>
      <c r="M288" s="367"/>
      <c r="N288" s="367"/>
      <c r="O288" s="367"/>
      <c r="P288" s="367"/>
      <c r="Q288" s="367"/>
      <c r="R288" s="367"/>
      <c r="S288" s="367"/>
      <c r="T288" s="367"/>
      <c r="U288" s="368"/>
      <c r="V288" s="141"/>
      <c r="W288" s="141"/>
      <c r="X288" s="141"/>
      <c r="Y288" s="216"/>
      <c r="Z288" s="367"/>
      <c r="AA288" s="367"/>
      <c r="AB288" s="367"/>
    </row>
    <row r="289" spans="1:28" s="266" customFormat="1">
      <c r="A289" s="366"/>
      <c r="B289" s="1101"/>
      <c r="C289" s="918"/>
      <c r="D289" s="652"/>
      <c r="E289" s="885"/>
      <c r="F289" s="885"/>
      <c r="G289" s="885"/>
      <c r="H289" s="1106"/>
      <c r="I289" s="1106"/>
      <c r="J289" s="596"/>
      <c r="K289" s="886"/>
      <c r="L289" s="367"/>
      <c r="M289" s="367"/>
      <c r="N289" s="367"/>
      <c r="O289" s="367"/>
      <c r="P289" s="367"/>
      <c r="Q289" s="367"/>
      <c r="R289" s="367"/>
      <c r="S289" s="367"/>
      <c r="T289" s="367"/>
      <c r="U289" s="368"/>
      <c r="V289" s="141"/>
      <c r="W289" s="141"/>
      <c r="X289" s="141"/>
      <c r="Y289" s="216"/>
      <c r="Z289" s="367"/>
      <c r="AA289" s="367"/>
      <c r="AB289" s="367"/>
    </row>
    <row r="290" spans="1:28" s="266" customFormat="1">
      <c r="A290" s="366"/>
      <c r="B290" s="1102"/>
      <c r="C290" s="919"/>
      <c r="D290" s="883"/>
      <c r="E290" s="883"/>
      <c r="F290" s="883"/>
      <c r="G290" s="883"/>
      <c r="H290" s="1099"/>
      <c r="I290" s="1099"/>
      <c r="J290" s="597"/>
      <c r="K290" s="886"/>
      <c r="L290" s="367"/>
      <c r="M290" s="367"/>
      <c r="N290" s="367"/>
      <c r="O290" s="367"/>
      <c r="P290" s="367"/>
      <c r="Q290" s="367"/>
      <c r="R290" s="367"/>
      <c r="S290" s="367"/>
      <c r="T290" s="367"/>
      <c r="U290" s="368"/>
      <c r="V290" s="141"/>
      <c r="W290" s="141"/>
      <c r="X290" s="141"/>
      <c r="Y290" s="216"/>
      <c r="Z290" s="367"/>
      <c r="AA290" s="367"/>
      <c r="AB290" s="367"/>
    </row>
    <row r="291" spans="1:28" s="266" customFormat="1">
      <c r="A291" s="366"/>
      <c r="B291" s="1102"/>
      <c r="C291" s="919"/>
      <c r="D291" s="883"/>
      <c r="E291" s="883"/>
      <c r="F291" s="883"/>
      <c r="G291" s="883"/>
      <c r="H291" s="1099"/>
      <c r="I291" s="1099"/>
      <c r="J291" s="597"/>
      <c r="K291" s="886"/>
      <c r="L291" s="367"/>
      <c r="M291" s="367"/>
      <c r="N291" s="367"/>
      <c r="O291" s="367"/>
      <c r="P291" s="367"/>
      <c r="Q291" s="367"/>
      <c r="R291" s="367"/>
      <c r="S291" s="367"/>
      <c r="T291" s="367"/>
      <c r="U291" s="368"/>
      <c r="V291" s="141"/>
      <c r="W291" s="141"/>
      <c r="X291" s="141"/>
      <c r="Y291" s="216"/>
      <c r="Z291" s="367"/>
      <c r="AA291" s="367"/>
      <c r="AB291" s="367"/>
    </row>
    <row r="292" spans="1:28" s="266" customFormat="1">
      <c r="A292" s="366"/>
      <c r="B292" s="1102"/>
      <c r="C292" s="919"/>
      <c r="D292" s="883"/>
      <c r="E292" s="883"/>
      <c r="F292" s="883"/>
      <c r="G292" s="883"/>
      <c r="H292" s="1099"/>
      <c r="I292" s="1099"/>
      <c r="J292" s="597"/>
      <c r="K292" s="886"/>
      <c r="L292" s="367"/>
      <c r="M292" s="367"/>
      <c r="N292" s="367"/>
      <c r="O292" s="367"/>
      <c r="P292" s="367"/>
      <c r="Q292" s="367"/>
      <c r="R292" s="367"/>
      <c r="S292" s="367"/>
      <c r="T292" s="367"/>
      <c r="U292" s="368"/>
      <c r="V292" s="141"/>
      <c r="W292" s="141"/>
      <c r="X292" s="141"/>
      <c r="Y292" s="216"/>
      <c r="Z292" s="367"/>
      <c r="AA292" s="367"/>
      <c r="AB292" s="367"/>
    </row>
    <row r="293" spans="1:28" s="266" customFormat="1">
      <c r="A293" s="366"/>
      <c r="B293" s="1102"/>
      <c r="C293" s="919"/>
      <c r="D293" s="883"/>
      <c r="E293" s="883"/>
      <c r="F293" s="883"/>
      <c r="G293" s="883"/>
      <c r="H293" s="1099"/>
      <c r="I293" s="1099"/>
      <c r="J293" s="597"/>
      <c r="K293" s="886"/>
      <c r="L293" s="367"/>
      <c r="M293" s="367"/>
      <c r="N293" s="367"/>
      <c r="O293" s="367"/>
      <c r="P293" s="367"/>
      <c r="Q293" s="367"/>
      <c r="R293" s="367"/>
      <c r="S293" s="367"/>
      <c r="T293" s="367"/>
      <c r="U293" s="368"/>
      <c r="V293" s="141"/>
      <c r="W293" s="141"/>
      <c r="X293" s="141"/>
      <c r="Y293" s="216"/>
      <c r="Z293" s="367"/>
      <c r="AA293" s="367"/>
      <c r="AB293" s="367"/>
    </row>
    <row r="294" spans="1:28" s="266" customFormat="1">
      <c r="A294" s="366"/>
      <c r="B294" s="1102"/>
      <c r="C294" s="919"/>
      <c r="D294" s="883"/>
      <c r="E294" s="883"/>
      <c r="F294" s="883"/>
      <c r="G294" s="883"/>
      <c r="H294" s="1099"/>
      <c r="I294" s="1099"/>
      <c r="J294" s="598"/>
      <c r="K294" s="886"/>
      <c r="L294" s="367"/>
      <c r="M294" s="367"/>
      <c r="N294" s="367"/>
      <c r="O294" s="367"/>
      <c r="P294" s="367"/>
      <c r="Q294" s="367"/>
      <c r="R294" s="367"/>
      <c r="S294" s="367"/>
      <c r="T294" s="367"/>
      <c r="U294" s="368"/>
      <c r="V294" s="141"/>
      <c r="W294" s="141"/>
      <c r="X294" s="141"/>
      <c r="Y294" s="216"/>
      <c r="Z294" s="367"/>
      <c r="AA294" s="367"/>
      <c r="AB294" s="367"/>
    </row>
    <row r="295" spans="1:28" s="266" customFormat="1">
      <c r="A295" s="366"/>
      <c r="B295" s="1102"/>
      <c r="C295" s="919"/>
      <c r="D295" s="883"/>
      <c r="E295" s="883"/>
      <c r="F295" s="883"/>
      <c r="G295" s="883"/>
      <c r="H295" s="1099"/>
      <c r="I295" s="1099"/>
      <c r="J295" s="598"/>
      <c r="K295" s="886"/>
      <c r="L295" s="367"/>
      <c r="M295" s="367"/>
      <c r="N295" s="367"/>
      <c r="O295" s="367"/>
      <c r="P295" s="367"/>
      <c r="Q295" s="367"/>
      <c r="R295" s="367"/>
      <c r="S295" s="367"/>
      <c r="T295" s="367"/>
      <c r="U295" s="368"/>
      <c r="V295" s="141"/>
      <c r="W295" s="141"/>
      <c r="X295" s="141"/>
      <c r="Y295" s="216"/>
      <c r="Z295" s="367"/>
      <c r="AA295" s="367"/>
      <c r="AB295" s="367"/>
    </row>
    <row r="296" spans="1:28" s="266" customFormat="1">
      <c r="A296" s="366"/>
      <c r="B296" s="1102"/>
      <c r="C296" s="919"/>
      <c r="D296" s="883"/>
      <c r="E296" s="883"/>
      <c r="F296" s="883"/>
      <c r="G296" s="883"/>
      <c r="H296" s="1099"/>
      <c r="I296" s="1099"/>
      <c r="J296" s="598"/>
      <c r="K296" s="886"/>
      <c r="L296" s="367"/>
      <c r="M296" s="367"/>
      <c r="N296" s="367"/>
      <c r="O296" s="367"/>
      <c r="P296" s="367"/>
      <c r="Q296" s="367"/>
      <c r="R296" s="367"/>
      <c r="S296" s="367"/>
      <c r="T296" s="367"/>
      <c r="U296" s="368"/>
      <c r="V296" s="141"/>
      <c r="W296" s="141"/>
      <c r="X296" s="141"/>
      <c r="Y296" s="216"/>
      <c r="Z296" s="367"/>
      <c r="AA296" s="367"/>
      <c r="AB296" s="367"/>
    </row>
    <row r="297" spans="1:28" s="266" customFormat="1">
      <c r="A297" s="366"/>
      <c r="B297" s="1102"/>
      <c r="C297" s="919"/>
      <c r="D297" s="883"/>
      <c r="E297" s="883"/>
      <c r="F297" s="883"/>
      <c r="G297" s="883"/>
      <c r="H297" s="1099"/>
      <c r="I297" s="1099"/>
      <c r="J297" s="598"/>
      <c r="K297" s="886"/>
      <c r="L297" s="367"/>
      <c r="M297" s="367"/>
      <c r="N297" s="367"/>
      <c r="O297" s="367"/>
      <c r="P297" s="367"/>
      <c r="Q297" s="367"/>
      <c r="R297" s="367"/>
      <c r="S297" s="367"/>
      <c r="T297" s="367"/>
      <c r="U297" s="368"/>
      <c r="V297" s="141"/>
      <c r="W297" s="141"/>
      <c r="X297" s="141"/>
      <c r="Y297" s="216"/>
      <c r="Z297" s="367"/>
      <c r="AA297" s="367"/>
      <c r="AB297" s="367"/>
    </row>
    <row r="298" spans="1:28" s="266" customFormat="1">
      <c r="A298" s="366"/>
      <c r="B298" s="1102"/>
      <c r="C298" s="919"/>
      <c r="D298" s="883"/>
      <c r="E298" s="883"/>
      <c r="F298" s="883"/>
      <c r="G298" s="883"/>
      <c r="H298" s="1099"/>
      <c r="I298" s="1099"/>
      <c r="J298" s="598"/>
      <c r="K298" s="886"/>
      <c r="L298" s="367"/>
      <c r="M298" s="367"/>
      <c r="N298" s="367"/>
      <c r="O298" s="367"/>
      <c r="P298" s="367"/>
      <c r="Q298" s="367"/>
      <c r="R298" s="367"/>
      <c r="S298" s="367"/>
      <c r="T298" s="367"/>
      <c r="U298" s="368"/>
      <c r="V298" s="141"/>
      <c r="W298" s="141"/>
      <c r="X298" s="141"/>
      <c r="Y298" s="216"/>
      <c r="Z298" s="367"/>
      <c r="AA298" s="367"/>
      <c r="AB298" s="367"/>
    </row>
    <row r="299" spans="1:28" s="266" customFormat="1">
      <c r="A299" s="366"/>
      <c r="B299" s="1102"/>
      <c r="C299" s="919"/>
      <c r="D299" s="883"/>
      <c r="E299" s="883"/>
      <c r="F299" s="883"/>
      <c r="G299" s="883"/>
      <c r="H299" s="1099"/>
      <c r="I299" s="1099"/>
      <c r="J299" s="598"/>
      <c r="K299" s="886"/>
      <c r="L299" s="367"/>
      <c r="M299" s="367"/>
      <c r="N299" s="367"/>
      <c r="O299" s="367"/>
      <c r="P299" s="367"/>
      <c r="Q299" s="367"/>
      <c r="R299" s="367"/>
      <c r="S299" s="367"/>
      <c r="T299" s="367"/>
      <c r="U299" s="368"/>
      <c r="V299" s="141"/>
      <c r="W299" s="141"/>
      <c r="X299" s="141"/>
      <c r="Y299" s="216"/>
      <c r="Z299" s="367"/>
      <c r="AA299" s="367"/>
      <c r="AB299" s="367"/>
    </row>
    <row r="300" spans="1:28" s="266" customFormat="1">
      <c r="A300" s="366"/>
      <c r="B300" s="1102"/>
      <c r="C300" s="919"/>
      <c r="D300" s="883"/>
      <c r="E300" s="883"/>
      <c r="F300" s="883"/>
      <c r="G300" s="883"/>
      <c r="H300" s="1099"/>
      <c r="I300" s="1099"/>
      <c r="J300" s="598"/>
      <c r="K300" s="886"/>
      <c r="L300" s="367"/>
      <c r="M300" s="367"/>
      <c r="N300" s="367"/>
      <c r="O300" s="367"/>
      <c r="P300" s="367"/>
      <c r="Q300" s="367"/>
      <c r="R300" s="367"/>
      <c r="S300" s="367"/>
      <c r="T300" s="367"/>
      <c r="U300" s="368"/>
      <c r="V300" s="141"/>
      <c r="W300" s="141"/>
      <c r="X300" s="141"/>
      <c r="Y300" s="216"/>
      <c r="Z300" s="367"/>
      <c r="AA300" s="367"/>
      <c r="AB300" s="367"/>
    </row>
    <row r="301" spans="1:28" s="266" customFormat="1">
      <c r="A301" s="366"/>
      <c r="B301" s="1102"/>
      <c r="C301" s="919"/>
      <c r="D301" s="883"/>
      <c r="E301" s="883"/>
      <c r="F301" s="883"/>
      <c r="G301" s="883"/>
      <c r="H301" s="1099"/>
      <c r="I301" s="1099"/>
      <c r="J301" s="598"/>
      <c r="K301" s="886"/>
      <c r="L301" s="367"/>
      <c r="M301" s="367"/>
      <c r="N301" s="367"/>
      <c r="O301" s="367"/>
      <c r="P301" s="367"/>
      <c r="Q301" s="367"/>
      <c r="R301" s="367"/>
      <c r="S301" s="367"/>
      <c r="T301" s="367"/>
      <c r="U301" s="368"/>
      <c r="V301" s="141"/>
      <c r="W301" s="141"/>
      <c r="X301" s="141"/>
      <c r="Y301" s="216"/>
      <c r="Z301" s="367"/>
      <c r="AA301" s="367"/>
      <c r="AB301" s="367"/>
    </row>
    <row r="302" spans="1:28" s="266" customFormat="1">
      <c r="A302" s="366"/>
      <c r="B302" s="1102"/>
      <c r="C302" s="919"/>
      <c r="D302" s="883"/>
      <c r="E302" s="883"/>
      <c r="F302" s="883"/>
      <c r="G302" s="883"/>
      <c r="H302" s="1099"/>
      <c r="I302" s="1099"/>
      <c r="J302" s="598"/>
      <c r="K302" s="886"/>
      <c r="L302" s="367"/>
      <c r="M302" s="367"/>
      <c r="N302" s="367"/>
      <c r="O302" s="367"/>
      <c r="P302" s="367"/>
      <c r="Q302" s="367"/>
      <c r="R302" s="367"/>
      <c r="S302" s="367"/>
      <c r="T302" s="367"/>
      <c r="U302" s="368"/>
      <c r="V302" s="141"/>
      <c r="W302" s="141"/>
      <c r="X302" s="141"/>
      <c r="Y302" s="216"/>
      <c r="Z302" s="367"/>
      <c r="AA302" s="367"/>
      <c r="AB302" s="367"/>
    </row>
    <row r="303" spans="1:28" s="266" customFormat="1">
      <c r="A303" s="366"/>
      <c r="B303" s="1102"/>
      <c r="C303" s="919"/>
      <c r="D303" s="883"/>
      <c r="E303" s="883"/>
      <c r="F303" s="883"/>
      <c r="G303" s="883"/>
      <c r="H303" s="1099"/>
      <c r="I303" s="1099"/>
      <c r="J303" s="598"/>
      <c r="K303" s="886"/>
      <c r="L303" s="367"/>
      <c r="M303" s="367"/>
      <c r="N303" s="367"/>
      <c r="O303" s="367"/>
      <c r="P303" s="367"/>
      <c r="Q303" s="367"/>
      <c r="R303" s="367"/>
      <c r="S303" s="367"/>
      <c r="T303" s="367"/>
      <c r="U303" s="368"/>
      <c r="V303" s="141"/>
      <c r="W303" s="141"/>
      <c r="X303" s="141"/>
      <c r="Y303" s="216"/>
      <c r="Z303" s="367"/>
      <c r="AA303" s="367"/>
      <c r="AB303" s="367"/>
    </row>
    <row r="304" spans="1:28" s="266" customFormat="1">
      <c r="A304" s="366"/>
      <c r="B304" s="1102"/>
      <c r="C304" s="919"/>
      <c r="D304" s="883"/>
      <c r="E304" s="883"/>
      <c r="F304" s="883"/>
      <c r="G304" s="883"/>
      <c r="H304" s="1099"/>
      <c r="I304" s="1099"/>
      <c r="J304" s="598"/>
      <c r="K304" s="886"/>
      <c r="L304" s="367"/>
      <c r="M304" s="367"/>
      <c r="N304" s="367"/>
      <c r="O304" s="367"/>
      <c r="P304" s="367"/>
      <c r="Q304" s="367"/>
      <c r="R304" s="367"/>
      <c r="S304" s="367"/>
      <c r="T304" s="367"/>
      <c r="U304" s="368"/>
      <c r="V304" s="141"/>
      <c r="W304" s="141"/>
      <c r="X304" s="141"/>
      <c r="Y304" s="216"/>
      <c r="Z304" s="367"/>
      <c r="AA304" s="367"/>
      <c r="AB304" s="367"/>
    </row>
    <row r="305" spans="1:30" s="266" customFormat="1">
      <c r="A305" s="366"/>
      <c r="B305" s="1102"/>
      <c r="C305" s="919"/>
      <c r="D305" s="883"/>
      <c r="E305" s="883"/>
      <c r="F305" s="883"/>
      <c r="G305" s="883"/>
      <c r="H305" s="1099"/>
      <c r="I305" s="1099"/>
      <c r="J305" s="598"/>
      <c r="K305" s="886"/>
      <c r="L305" s="367"/>
      <c r="M305" s="367"/>
      <c r="N305" s="367"/>
      <c r="O305" s="367"/>
      <c r="P305" s="367"/>
      <c r="Q305" s="367"/>
      <c r="R305" s="367"/>
      <c r="S305" s="367"/>
      <c r="T305" s="367"/>
      <c r="U305" s="368"/>
      <c r="V305" s="141"/>
      <c r="W305" s="141"/>
      <c r="X305" s="141"/>
      <c r="Y305" s="216"/>
      <c r="Z305" s="367"/>
      <c r="AA305" s="367"/>
      <c r="AB305" s="367"/>
    </row>
    <row r="306" spans="1:30" s="266" customFormat="1">
      <c r="A306" s="366"/>
      <c r="B306" s="1102"/>
      <c r="C306" s="919"/>
      <c r="D306" s="883"/>
      <c r="E306" s="883"/>
      <c r="F306" s="883"/>
      <c r="G306" s="883"/>
      <c r="H306" s="1099"/>
      <c r="I306" s="1099"/>
      <c r="J306" s="598"/>
      <c r="K306" s="886"/>
      <c r="L306" s="367"/>
      <c r="M306" s="367"/>
      <c r="N306" s="367"/>
      <c r="O306" s="367"/>
      <c r="P306" s="367"/>
      <c r="Q306" s="367"/>
      <c r="R306" s="367"/>
      <c r="S306" s="367"/>
      <c r="T306" s="367"/>
      <c r="U306" s="368"/>
      <c r="V306" s="141"/>
      <c r="W306" s="141"/>
      <c r="X306" s="141"/>
      <c r="Y306" s="216"/>
      <c r="Z306" s="367"/>
      <c r="AA306" s="367"/>
      <c r="AB306" s="367"/>
    </row>
    <row r="307" spans="1:30" s="266" customFormat="1">
      <c r="A307" s="366"/>
      <c r="B307" s="1102"/>
      <c r="C307" s="919"/>
      <c r="D307" s="883"/>
      <c r="E307" s="883"/>
      <c r="F307" s="883"/>
      <c r="G307" s="883"/>
      <c r="H307" s="1099"/>
      <c r="I307" s="1099"/>
      <c r="J307" s="598"/>
      <c r="K307" s="886"/>
      <c r="L307" s="367"/>
      <c r="M307" s="367"/>
      <c r="N307" s="367"/>
      <c r="O307" s="367"/>
      <c r="P307" s="367"/>
      <c r="Q307" s="367"/>
      <c r="R307" s="367"/>
      <c r="S307" s="367"/>
      <c r="T307" s="367"/>
      <c r="U307" s="368"/>
      <c r="V307" s="141"/>
      <c r="W307" s="141"/>
      <c r="X307" s="141"/>
      <c r="Y307" s="216"/>
      <c r="Z307" s="367"/>
      <c r="AA307" s="367"/>
      <c r="AB307" s="367"/>
    </row>
    <row r="308" spans="1:30" s="266" customFormat="1" ht="15.75" thickBot="1">
      <c r="A308" s="366"/>
      <c r="B308" s="1103"/>
      <c r="C308" s="919"/>
      <c r="D308" s="883"/>
      <c r="E308" s="883"/>
      <c r="F308" s="883"/>
      <c r="G308" s="883"/>
      <c r="H308" s="1100"/>
      <c r="I308" s="1100"/>
      <c r="J308" s="599"/>
      <c r="K308" s="886"/>
      <c r="L308" s="367"/>
      <c r="M308" s="367"/>
      <c r="N308" s="367"/>
      <c r="O308" s="367"/>
      <c r="P308" s="367"/>
      <c r="Q308" s="367"/>
      <c r="R308" s="367"/>
      <c r="S308" s="367"/>
      <c r="T308" s="367"/>
      <c r="U308" s="368"/>
      <c r="V308" s="141"/>
      <c r="W308" s="141"/>
      <c r="X308" s="141"/>
      <c r="Y308" s="216"/>
      <c r="Z308" s="367"/>
      <c r="AA308" s="367"/>
      <c r="AB308" s="367"/>
    </row>
    <row r="309" spans="1:30" s="266" customFormat="1">
      <c r="A309" s="366"/>
      <c r="B309" s="264"/>
      <c r="C309" s="265"/>
      <c r="G309" s="886"/>
      <c r="H309" s="886"/>
      <c r="I309" s="886"/>
      <c r="J309" s="886"/>
      <c r="K309" s="886"/>
      <c r="L309" s="886"/>
      <c r="M309" s="886"/>
      <c r="N309" s="367"/>
      <c r="O309" s="367"/>
      <c r="P309" s="367"/>
      <c r="Q309" s="367"/>
      <c r="R309" s="367"/>
      <c r="S309" s="367"/>
      <c r="T309" s="367"/>
      <c r="U309" s="367"/>
      <c r="V309" s="367"/>
      <c r="W309" s="368"/>
      <c r="X309" s="141"/>
      <c r="Y309" s="141"/>
      <c r="Z309" s="141"/>
      <c r="AA309" s="216"/>
      <c r="AB309" s="367"/>
      <c r="AC309" s="367"/>
      <c r="AD309" s="367"/>
    </row>
    <row r="310" spans="1:30" s="266" customFormat="1">
      <c r="A310" s="217"/>
      <c r="B310" s="205" t="s">
        <v>130</v>
      </c>
      <c r="C310" s="205"/>
      <c r="D310" s="208"/>
      <c r="E310" s="208"/>
      <c r="F310" s="208"/>
      <c r="G310" s="333"/>
      <c r="H310" s="208"/>
      <c r="I310" s="208"/>
      <c r="J310" s="208"/>
      <c r="K310" s="208"/>
      <c r="L310" s="208"/>
      <c r="M310" s="208"/>
      <c r="N310" s="208"/>
      <c r="O310" s="208"/>
      <c r="P310" s="208"/>
      <c r="Q310" s="208"/>
      <c r="R310" s="367"/>
      <c r="S310" s="367"/>
      <c r="T310" s="367"/>
      <c r="U310" s="367"/>
      <c r="V310" s="367"/>
      <c r="W310" s="368"/>
      <c r="X310" s="141"/>
      <c r="Y310" s="141"/>
      <c r="Z310" s="141"/>
      <c r="AA310" s="216"/>
      <c r="AB310" s="367"/>
      <c r="AC310" s="367"/>
      <c r="AD310" s="367"/>
    </row>
    <row r="311" spans="1:30" s="266" customFormat="1" ht="15.75" thickBot="1">
      <c r="A311" s="217"/>
      <c r="B311" s="205"/>
      <c r="C311" s="205"/>
      <c r="D311" s="208"/>
      <c r="E311" s="208"/>
      <c r="F311" s="208"/>
      <c r="G311" s="333"/>
      <c r="H311" s="208"/>
      <c r="I311" s="208"/>
      <c r="J311" s="208"/>
      <c r="K311" s="208"/>
      <c r="L311" s="208"/>
      <c r="M311" s="208"/>
      <c r="N311" s="208"/>
      <c r="O311" s="208"/>
      <c r="P311" s="208"/>
      <c r="Q311" s="208"/>
      <c r="R311" s="367"/>
      <c r="S311" s="367"/>
      <c r="T311" s="367"/>
      <c r="U311" s="367"/>
      <c r="V311" s="367"/>
      <c r="W311" s="368"/>
      <c r="X311" s="141"/>
      <c r="Y311" s="141"/>
      <c r="Z311" s="141"/>
      <c r="AA311" s="216"/>
      <c r="AB311" s="367"/>
      <c r="AC311" s="367"/>
      <c r="AD311" s="367"/>
    </row>
    <row r="312" spans="1:30" s="266" customFormat="1" ht="200.1" customHeight="1" thickBot="1">
      <c r="A312" s="230"/>
      <c r="B312" s="1215"/>
      <c r="C312" s="1216"/>
      <c r="D312" s="1216"/>
      <c r="E312" s="1216"/>
      <c r="F312" s="1216"/>
      <c r="G312" s="1216"/>
      <c r="H312" s="1216"/>
      <c r="I312" s="1216"/>
      <c r="J312" s="1216"/>
      <c r="K312" s="1216"/>
      <c r="L312" s="1216"/>
      <c r="M312" s="1216"/>
      <c r="N312" s="1216"/>
      <c r="O312" s="1216"/>
      <c r="P312" s="1216"/>
      <c r="Q312" s="1217"/>
      <c r="R312" s="367"/>
      <c r="S312" s="367"/>
      <c r="T312" s="367"/>
      <c r="U312" s="367"/>
      <c r="V312" s="367"/>
      <c r="W312" s="368"/>
      <c r="X312" s="141"/>
      <c r="Y312" s="141"/>
      <c r="Z312" s="141"/>
      <c r="AA312" s="216"/>
      <c r="AB312" s="367"/>
      <c r="AC312" s="367"/>
      <c r="AD312" s="367"/>
    </row>
    <row r="313" spans="1:30" s="266" customFormat="1">
      <c r="A313" s="235"/>
      <c r="B313" s="370"/>
      <c r="C313" s="370"/>
      <c r="D313" s="306"/>
      <c r="E313" s="306"/>
      <c r="F313" s="306"/>
      <c r="G313" s="308"/>
      <c r="H313" s="306"/>
      <c r="I313" s="306"/>
      <c r="J313" s="306"/>
      <c r="K313" s="306"/>
      <c r="L313" s="306"/>
      <c r="M313" s="306"/>
      <c r="N313" s="306"/>
      <c r="O313" s="306"/>
      <c r="P313" s="306"/>
      <c r="Q313" s="306"/>
      <c r="R313" s="367"/>
      <c r="S313" s="367"/>
      <c r="T313" s="367"/>
      <c r="U313" s="367"/>
      <c r="V313" s="367"/>
      <c r="W313" s="368"/>
      <c r="X313" s="141"/>
      <c r="Y313" s="141"/>
      <c r="Z313" s="141"/>
      <c r="AA313" s="216"/>
      <c r="AB313" s="367"/>
      <c r="AC313" s="367"/>
      <c r="AD313" s="367"/>
    </row>
    <row r="314" spans="1:30" s="266" customFormat="1">
      <c r="A314" s="210"/>
      <c r="B314" s="211" t="s">
        <v>890</v>
      </c>
      <c r="C314" s="209"/>
      <c r="D314" s="208"/>
      <c r="E314" s="208"/>
      <c r="F314" s="208"/>
      <c r="G314" s="333"/>
      <c r="H314" s="208"/>
      <c r="I314" s="208"/>
      <c r="J314" s="208"/>
      <c r="K314" s="208"/>
      <c r="L314" s="208"/>
      <c r="M314" s="208"/>
      <c r="N314" s="208"/>
      <c r="O314" s="208"/>
      <c r="P314" s="208"/>
      <c r="Q314" s="208"/>
      <c r="R314" s="367"/>
      <c r="S314" s="367"/>
      <c r="T314" s="367"/>
      <c r="U314" s="367"/>
      <c r="V314" s="367"/>
      <c r="W314" s="368"/>
      <c r="X314" s="141"/>
      <c r="Y314" s="141"/>
      <c r="Z314" s="141"/>
      <c r="AA314" s="216"/>
      <c r="AB314" s="367"/>
      <c r="AC314" s="367"/>
      <c r="AD314" s="367"/>
    </row>
    <row r="315" spans="1:30" s="266" customFormat="1">
      <c r="A315" s="210"/>
      <c r="B315" s="211"/>
      <c r="C315" s="209"/>
      <c r="D315" s="208"/>
      <c r="E315" s="208"/>
      <c r="F315" s="208"/>
      <c r="G315" s="333"/>
      <c r="H315" s="208"/>
      <c r="I315" s="208"/>
      <c r="J315" s="208"/>
      <c r="K315" s="208"/>
      <c r="L315" s="208"/>
      <c r="M315" s="208"/>
      <c r="N315" s="208"/>
      <c r="O315" s="208"/>
      <c r="P315" s="208"/>
      <c r="Q315" s="208"/>
      <c r="R315" s="367"/>
      <c r="S315" s="367"/>
      <c r="T315" s="367"/>
      <c r="U315" s="367"/>
      <c r="V315" s="367"/>
      <c r="W315" s="368"/>
      <c r="X315" s="141"/>
      <c r="Y315" s="141"/>
      <c r="Z315" s="141"/>
      <c r="AA315" s="216"/>
      <c r="AB315" s="367"/>
      <c r="AC315" s="367"/>
      <c r="AD315" s="367"/>
    </row>
    <row r="316" spans="1:30" s="266" customFormat="1">
      <c r="A316" s="210"/>
      <c r="B316" s="982" t="s">
        <v>136</v>
      </c>
      <c r="C316" s="982"/>
      <c r="D316" s="982"/>
      <c r="E316" s="982"/>
      <c r="F316" s="982"/>
      <c r="G316" s="982"/>
      <c r="H316" s="982"/>
      <c r="I316" s="982"/>
      <c r="J316" s="982"/>
      <c r="K316" s="982"/>
      <c r="L316" s="982"/>
      <c r="M316" s="982"/>
      <c r="N316" s="982"/>
      <c r="O316" s="982"/>
      <c r="P316" s="982"/>
      <c r="Q316" s="982"/>
      <c r="R316" s="367"/>
      <c r="S316" s="367"/>
      <c r="T316" s="367"/>
      <c r="U316" s="367"/>
      <c r="V316" s="367"/>
      <c r="W316" s="368"/>
      <c r="X316" s="141"/>
      <c r="Y316" s="141"/>
      <c r="Z316" s="141"/>
      <c r="AA316" s="216"/>
      <c r="AB316" s="367"/>
      <c r="AC316" s="367"/>
      <c r="AD316" s="367"/>
    </row>
    <row r="317" spans="1:30" s="266" customFormat="1" ht="15.75" thickBot="1">
      <c r="A317" s="372"/>
      <c r="B317" s="208"/>
      <c r="C317" s="209"/>
      <c r="D317" s="208"/>
      <c r="E317" s="208"/>
      <c r="F317" s="208"/>
      <c r="G317" s="333"/>
      <c r="H317" s="208"/>
      <c r="I317" s="208"/>
      <c r="J317" s="208"/>
      <c r="K317" s="208"/>
      <c r="L317" s="208"/>
      <c r="M317" s="208"/>
      <c r="N317" s="208"/>
      <c r="O317" s="208"/>
      <c r="P317" s="208"/>
      <c r="Q317" s="208"/>
      <c r="R317" s="367"/>
      <c r="S317" s="367"/>
      <c r="T317" s="367"/>
      <c r="U317" s="367"/>
      <c r="V317" s="367"/>
      <c r="W317" s="368"/>
      <c r="X317" s="141"/>
      <c r="Y317" s="141"/>
      <c r="Z317" s="141"/>
      <c r="AA317" s="216"/>
      <c r="AB317" s="367"/>
      <c r="AC317" s="367"/>
      <c r="AD317" s="367"/>
    </row>
    <row r="318" spans="1:30" s="266" customFormat="1" ht="15.75" thickBot="1">
      <c r="A318" s="372"/>
      <c r="B318" s="1218" t="s">
        <v>889</v>
      </c>
      <c r="C318" s="1060"/>
      <c r="D318" s="1075" t="s">
        <v>41</v>
      </c>
      <c r="E318" s="1076"/>
      <c r="F318" s="1076"/>
      <c r="G318" s="1076"/>
      <c r="H318" s="1060"/>
      <c r="I318" s="1075" t="s">
        <v>159</v>
      </c>
      <c r="J318" s="1076"/>
      <c r="K318" s="1076"/>
      <c r="L318" s="1076"/>
      <c r="M318" s="1076"/>
      <c r="N318" s="1076"/>
      <c r="O318" s="1076"/>
      <c r="P318" s="1076"/>
      <c r="Q318" s="1219"/>
      <c r="R318" s="367"/>
      <c r="S318" s="367"/>
      <c r="T318" s="367"/>
      <c r="U318" s="367"/>
      <c r="V318" s="367"/>
      <c r="W318" s="368"/>
      <c r="X318" s="141"/>
      <c r="Y318" s="141"/>
      <c r="Z318" s="141"/>
      <c r="AA318" s="216"/>
      <c r="AB318" s="367"/>
      <c r="AC318" s="367"/>
      <c r="AD318" s="367"/>
    </row>
    <row r="319" spans="1:30" s="266" customFormat="1">
      <c r="A319" s="372"/>
      <c r="B319" s="1220"/>
      <c r="C319" s="1070"/>
      <c r="D319" s="1221"/>
      <c r="E319" s="1222"/>
      <c r="F319" s="1222"/>
      <c r="G319" s="1222"/>
      <c r="H319" s="1223"/>
      <c r="I319" s="1221"/>
      <c r="J319" s="1222"/>
      <c r="K319" s="1222"/>
      <c r="L319" s="1222"/>
      <c r="M319" s="1222"/>
      <c r="N319" s="1222"/>
      <c r="O319" s="1222"/>
      <c r="P319" s="1222"/>
      <c r="Q319" s="1224"/>
      <c r="R319" s="367"/>
      <c r="S319" s="367"/>
      <c r="T319" s="367"/>
      <c r="U319" s="367"/>
      <c r="V319" s="367"/>
      <c r="W319" s="368"/>
      <c r="X319" s="141"/>
      <c r="Y319" s="141"/>
      <c r="Z319" s="141"/>
      <c r="AA319" s="216"/>
      <c r="AB319" s="367"/>
      <c r="AC319" s="367"/>
      <c r="AD319" s="367"/>
    </row>
    <row r="320" spans="1:30" s="266" customFormat="1">
      <c r="A320" s="372"/>
      <c r="B320" s="1111"/>
      <c r="C320" s="1112"/>
      <c r="D320" s="1109"/>
      <c r="E320" s="1109"/>
      <c r="F320" s="1109"/>
      <c r="G320" s="1109"/>
      <c r="H320" s="1109"/>
      <c r="I320" s="1109"/>
      <c r="J320" s="1109"/>
      <c r="K320" s="1109"/>
      <c r="L320" s="1109"/>
      <c r="M320" s="1109"/>
      <c r="N320" s="1109"/>
      <c r="O320" s="1109"/>
      <c r="P320" s="1109"/>
      <c r="Q320" s="1110"/>
      <c r="R320" s="367"/>
      <c r="S320" s="367"/>
      <c r="T320" s="367"/>
      <c r="U320" s="367"/>
      <c r="V320" s="367"/>
      <c r="W320" s="368"/>
      <c r="X320" s="141"/>
      <c r="Y320" s="141"/>
      <c r="Z320" s="141"/>
      <c r="AA320" s="216"/>
      <c r="AB320" s="367"/>
      <c r="AC320" s="367"/>
      <c r="AD320" s="367"/>
    </row>
    <row r="321" spans="1:30" s="266" customFormat="1">
      <c r="A321" s="372"/>
      <c r="B321" s="1111"/>
      <c r="C321" s="1112"/>
      <c r="D321" s="1109"/>
      <c r="E321" s="1109"/>
      <c r="F321" s="1109"/>
      <c r="G321" s="1109"/>
      <c r="H321" s="1109"/>
      <c r="I321" s="1109"/>
      <c r="J321" s="1109"/>
      <c r="K321" s="1109"/>
      <c r="L321" s="1109"/>
      <c r="M321" s="1109"/>
      <c r="N321" s="1109"/>
      <c r="O321" s="1109"/>
      <c r="P321" s="1109"/>
      <c r="Q321" s="1110"/>
      <c r="R321" s="367"/>
      <c r="S321" s="367"/>
      <c r="T321" s="367"/>
      <c r="U321" s="367"/>
      <c r="V321" s="367"/>
      <c r="W321" s="368"/>
      <c r="X321" s="141"/>
      <c r="Y321" s="141"/>
      <c r="Z321" s="141"/>
      <c r="AA321" s="216"/>
      <c r="AB321" s="367"/>
      <c r="AC321" s="367"/>
      <c r="AD321" s="367"/>
    </row>
    <row r="322" spans="1:30" s="266" customFormat="1">
      <c r="A322" s="372"/>
      <c r="B322" s="1111"/>
      <c r="C322" s="1112"/>
      <c r="D322" s="1109"/>
      <c r="E322" s="1109"/>
      <c r="F322" s="1109"/>
      <c r="G322" s="1109"/>
      <c r="H322" s="1109"/>
      <c r="I322" s="1109"/>
      <c r="J322" s="1109"/>
      <c r="K322" s="1109"/>
      <c r="L322" s="1109"/>
      <c r="M322" s="1109"/>
      <c r="N322" s="1109"/>
      <c r="O322" s="1109"/>
      <c r="P322" s="1109"/>
      <c r="Q322" s="1110"/>
      <c r="R322" s="367"/>
      <c r="S322" s="367"/>
      <c r="T322" s="367"/>
      <c r="U322" s="367"/>
      <c r="V322" s="367"/>
      <c r="W322" s="368"/>
      <c r="X322" s="141"/>
      <c r="Y322" s="141"/>
      <c r="Z322" s="141"/>
      <c r="AA322" s="216"/>
      <c r="AB322" s="367"/>
      <c r="AC322" s="367"/>
      <c r="AD322" s="367"/>
    </row>
    <row r="323" spans="1:30" s="266" customFormat="1">
      <c r="A323" s="372"/>
      <c r="B323" s="1111"/>
      <c r="C323" s="1112"/>
      <c r="D323" s="1109"/>
      <c r="E323" s="1109"/>
      <c r="F323" s="1109"/>
      <c r="G323" s="1109"/>
      <c r="H323" s="1109"/>
      <c r="I323" s="1109"/>
      <c r="J323" s="1109"/>
      <c r="K323" s="1109"/>
      <c r="L323" s="1109"/>
      <c r="M323" s="1109"/>
      <c r="N323" s="1109"/>
      <c r="O323" s="1109"/>
      <c r="P323" s="1109"/>
      <c r="Q323" s="1110"/>
      <c r="R323" s="367"/>
      <c r="S323" s="367"/>
      <c r="T323" s="367"/>
      <c r="U323" s="367"/>
      <c r="V323" s="367"/>
      <c r="W323" s="368"/>
      <c r="X323" s="141"/>
      <c r="Y323" s="141"/>
      <c r="Z323" s="141"/>
      <c r="AA323" s="216"/>
      <c r="AB323" s="367"/>
      <c r="AC323" s="367"/>
      <c r="AD323" s="367"/>
    </row>
    <row r="324" spans="1:30" s="266" customFormat="1">
      <c r="A324" s="372"/>
      <c r="B324" s="1111"/>
      <c r="C324" s="1112"/>
      <c r="D324" s="1109"/>
      <c r="E324" s="1109"/>
      <c r="F324" s="1109"/>
      <c r="G324" s="1109"/>
      <c r="H324" s="1109"/>
      <c r="I324" s="1109"/>
      <c r="J324" s="1109"/>
      <c r="K324" s="1109"/>
      <c r="L324" s="1109"/>
      <c r="M324" s="1109"/>
      <c r="N324" s="1109"/>
      <c r="O324" s="1109"/>
      <c r="P324" s="1109"/>
      <c r="Q324" s="1110"/>
      <c r="R324" s="367"/>
      <c r="S324" s="367"/>
      <c r="T324" s="367"/>
      <c r="U324" s="367"/>
      <c r="V324" s="367"/>
      <c r="W324" s="368"/>
      <c r="X324" s="141"/>
      <c r="Y324" s="141"/>
      <c r="Z324" s="141"/>
      <c r="AA324" s="216"/>
      <c r="AB324" s="367"/>
      <c r="AC324" s="367"/>
      <c r="AD324" s="367"/>
    </row>
    <row r="325" spans="1:30" s="266" customFormat="1">
      <c r="A325" s="372"/>
      <c r="B325" s="1111"/>
      <c r="C325" s="1112"/>
      <c r="D325" s="1109"/>
      <c r="E325" s="1109"/>
      <c r="F325" s="1109"/>
      <c r="G325" s="1109"/>
      <c r="H325" s="1109"/>
      <c r="I325" s="1109"/>
      <c r="J325" s="1109"/>
      <c r="K325" s="1109"/>
      <c r="L325" s="1109"/>
      <c r="M325" s="1109"/>
      <c r="N325" s="1109"/>
      <c r="O325" s="1109"/>
      <c r="P325" s="1109"/>
      <c r="Q325" s="1110"/>
      <c r="R325" s="367"/>
      <c r="S325" s="367"/>
      <c r="T325" s="367"/>
      <c r="U325" s="367"/>
      <c r="V325" s="367"/>
      <c r="W325" s="368"/>
      <c r="X325" s="141"/>
      <c r="Y325" s="141"/>
      <c r="Z325" s="141"/>
      <c r="AA325" s="216"/>
      <c r="AB325" s="367"/>
      <c r="AC325" s="367"/>
      <c r="AD325" s="367"/>
    </row>
    <row r="326" spans="1:30" s="266" customFormat="1">
      <c r="A326" s="372"/>
      <c r="B326" s="1111"/>
      <c r="C326" s="1112"/>
      <c r="D326" s="1109"/>
      <c r="E326" s="1109"/>
      <c r="F326" s="1109"/>
      <c r="G326" s="1109"/>
      <c r="H326" s="1109"/>
      <c r="I326" s="1109"/>
      <c r="J326" s="1109"/>
      <c r="K326" s="1109"/>
      <c r="L326" s="1109"/>
      <c r="M326" s="1109"/>
      <c r="N326" s="1109"/>
      <c r="O326" s="1109"/>
      <c r="P326" s="1109"/>
      <c r="Q326" s="1110"/>
      <c r="R326" s="367"/>
      <c r="S326" s="367"/>
      <c r="T326" s="367"/>
      <c r="U326" s="367"/>
      <c r="V326" s="367"/>
      <c r="W326" s="368"/>
      <c r="X326" s="141"/>
      <c r="Y326" s="141"/>
      <c r="Z326" s="141"/>
      <c r="AA326" s="216"/>
      <c r="AB326" s="367"/>
      <c r="AC326" s="367"/>
      <c r="AD326" s="367"/>
    </row>
    <row r="327" spans="1:30" s="266" customFormat="1">
      <c r="A327" s="372"/>
      <c r="B327" s="1111"/>
      <c r="C327" s="1112"/>
      <c r="D327" s="1109"/>
      <c r="E327" s="1109"/>
      <c r="F327" s="1109"/>
      <c r="G327" s="1109"/>
      <c r="H327" s="1109"/>
      <c r="I327" s="1109"/>
      <c r="J327" s="1109"/>
      <c r="K327" s="1109"/>
      <c r="L327" s="1109"/>
      <c r="M327" s="1109"/>
      <c r="N327" s="1109"/>
      <c r="O327" s="1109"/>
      <c r="P327" s="1109"/>
      <c r="Q327" s="1110"/>
      <c r="R327" s="367"/>
      <c r="S327" s="367"/>
      <c r="T327" s="367"/>
      <c r="U327" s="367"/>
      <c r="V327" s="367"/>
      <c r="W327" s="368"/>
      <c r="X327" s="141"/>
      <c r="Y327" s="141"/>
      <c r="Z327" s="141"/>
      <c r="AA327" s="216"/>
      <c r="AB327" s="367"/>
      <c r="AC327" s="367"/>
      <c r="AD327" s="367"/>
    </row>
    <row r="328" spans="1:30" s="266" customFormat="1">
      <c r="A328" s="372"/>
      <c r="B328" s="1111"/>
      <c r="C328" s="1112"/>
      <c r="D328" s="1109"/>
      <c r="E328" s="1109"/>
      <c r="F328" s="1109"/>
      <c r="G328" s="1109"/>
      <c r="H328" s="1109"/>
      <c r="I328" s="1109"/>
      <c r="J328" s="1109"/>
      <c r="K328" s="1109"/>
      <c r="L328" s="1109"/>
      <c r="M328" s="1109"/>
      <c r="N328" s="1109"/>
      <c r="O328" s="1109"/>
      <c r="P328" s="1109"/>
      <c r="Q328" s="1110"/>
      <c r="R328" s="367"/>
      <c r="S328" s="367"/>
      <c r="T328" s="367"/>
      <c r="U328" s="367"/>
      <c r="V328" s="367"/>
      <c r="W328" s="368"/>
      <c r="X328" s="141"/>
      <c r="Y328" s="141"/>
      <c r="Z328" s="141"/>
      <c r="AA328" s="216"/>
      <c r="AB328" s="367"/>
      <c r="AC328" s="367"/>
      <c r="AD328" s="367"/>
    </row>
    <row r="329" spans="1:30" s="266" customFormat="1">
      <c r="A329" s="372"/>
      <c r="B329" s="1111"/>
      <c r="C329" s="1112"/>
      <c r="D329" s="1109"/>
      <c r="E329" s="1109"/>
      <c r="F329" s="1109"/>
      <c r="G329" s="1109"/>
      <c r="H329" s="1109"/>
      <c r="I329" s="1109"/>
      <c r="J329" s="1109"/>
      <c r="K329" s="1109"/>
      <c r="L329" s="1109"/>
      <c r="M329" s="1109"/>
      <c r="N329" s="1109"/>
      <c r="O329" s="1109"/>
      <c r="P329" s="1109"/>
      <c r="Q329" s="1110"/>
      <c r="R329" s="367"/>
      <c r="S329" s="367"/>
      <c r="T329" s="367"/>
      <c r="U329" s="367"/>
      <c r="V329" s="367"/>
      <c r="W329" s="368"/>
      <c r="X329" s="141"/>
      <c r="Y329" s="141"/>
      <c r="Z329" s="141"/>
      <c r="AA329" s="216"/>
      <c r="AB329" s="367"/>
      <c r="AC329" s="367"/>
      <c r="AD329" s="367"/>
    </row>
    <row r="330" spans="1:30" s="266" customFormat="1">
      <c r="A330" s="372"/>
      <c r="B330" s="1111"/>
      <c r="C330" s="1112"/>
      <c r="D330" s="1109"/>
      <c r="E330" s="1109"/>
      <c r="F330" s="1109"/>
      <c r="G330" s="1109"/>
      <c r="H330" s="1109"/>
      <c r="I330" s="1109"/>
      <c r="J330" s="1109"/>
      <c r="K330" s="1109"/>
      <c r="L330" s="1109"/>
      <c r="M330" s="1109"/>
      <c r="N330" s="1109"/>
      <c r="O330" s="1109"/>
      <c r="P330" s="1109"/>
      <c r="Q330" s="1110"/>
      <c r="R330" s="367"/>
      <c r="S330" s="367"/>
      <c r="T330" s="367"/>
      <c r="U330" s="367"/>
      <c r="V330" s="367"/>
      <c r="W330" s="368"/>
      <c r="X330" s="141"/>
      <c r="Y330" s="141"/>
      <c r="Z330" s="141"/>
      <c r="AA330" s="216"/>
      <c r="AB330" s="367"/>
      <c r="AC330" s="367"/>
      <c r="AD330" s="367"/>
    </row>
    <row r="331" spans="1:30" s="266" customFormat="1">
      <c r="A331" s="372"/>
      <c r="B331" s="1111"/>
      <c r="C331" s="1112"/>
      <c r="D331" s="1109"/>
      <c r="E331" s="1109"/>
      <c r="F331" s="1109"/>
      <c r="G331" s="1109"/>
      <c r="H331" s="1109"/>
      <c r="I331" s="1109"/>
      <c r="J331" s="1109"/>
      <c r="K331" s="1109"/>
      <c r="L331" s="1109"/>
      <c r="M331" s="1109"/>
      <c r="N331" s="1109"/>
      <c r="O331" s="1109"/>
      <c r="P331" s="1109"/>
      <c r="Q331" s="1110"/>
      <c r="R331" s="367"/>
      <c r="S331" s="367"/>
      <c r="T331" s="367"/>
      <c r="U331" s="367"/>
      <c r="V331" s="367"/>
      <c r="W331" s="368"/>
      <c r="X331" s="141"/>
      <c r="Y331" s="141"/>
      <c r="Z331" s="141"/>
      <c r="AA331" s="216"/>
      <c r="AB331" s="367"/>
      <c r="AC331" s="367"/>
      <c r="AD331" s="367"/>
    </row>
    <row r="332" spans="1:30" s="266" customFormat="1">
      <c r="A332" s="372"/>
      <c r="B332" s="1111"/>
      <c r="C332" s="1112"/>
      <c r="D332" s="1109"/>
      <c r="E332" s="1109"/>
      <c r="F332" s="1109"/>
      <c r="G332" s="1109"/>
      <c r="H332" s="1109"/>
      <c r="I332" s="1109"/>
      <c r="J332" s="1109"/>
      <c r="K332" s="1109"/>
      <c r="L332" s="1109"/>
      <c r="M332" s="1109"/>
      <c r="N332" s="1109"/>
      <c r="O332" s="1109"/>
      <c r="P332" s="1109"/>
      <c r="Q332" s="1110"/>
      <c r="R332" s="367"/>
      <c r="S332" s="367"/>
      <c r="T332" s="367"/>
      <c r="U332" s="367"/>
      <c r="V332" s="367"/>
      <c r="W332" s="368"/>
      <c r="X332" s="141"/>
      <c r="Y332" s="141"/>
      <c r="Z332" s="141"/>
      <c r="AA332" s="216"/>
      <c r="AB332" s="367"/>
      <c r="AC332" s="367"/>
      <c r="AD332" s="367"/>
    </row>
    <row r="333" spans="1:30" s="266" customFormat="1">
      <c r="A333" s="372"/>
      <c r="B333" s="1111"/>
      <c r="C333" s="1112"/>
      <c r="D333" s="1109"/>
      <c r="E333" s="1109"/>
      <c r="F333" s="1109"/>
      <c r="G333" s="1109"/>
      <c r="H333" s="1109"/>
      <c r="I333" s="1109"/>
      <c r="J333" s="1109"/>
      <c r="K333" s="1109"/>
      <c r="L333" s="1109"/>
      <c r="M333" s="1109"/>
      <c r="N333" s="1109"/>
      <c r="O333" s="1109"/>
      <c r="P333" s="1109"/>
      <c r="Q333" s="1110"/>
      <c r="R333" s="367"/>
      <c r="S333" s="367"/>
      <c r="T333" s="367"/>
      <c r="U333" s="367"/>
      <c r="V333" s="367"/>
      <c r="W333" s="368"/>
      <c r="X333" s="141"/>
      <c r="Y333" s="141"/>
      <c r="Z333" s="141"/>
      <c r="AA333" s="216"/>
      <c r="AB333" s="367"/>
      <c r="AC333" s="367"/>
      <c r="AD333" s="367"/>
    </row>
    <row r="334" spans="1:30" s="266" customFormat="1">
      <c r="A334" s="372"/>
      <c r="B334" s="1111"/>
      <c r="C334" s="1112"/>
      <c r="D334" s="1109"/>
      <c r="E334" s="1109"/>
      <c r="F334" s="1109"/>
      <c r="G334" s="1109"/>
      <c r="H334" s="1109"/>
      <c r="I334" s="1109"/>
      <c r="J334" s="1109"/>
      <c r="K334" s="1109"/>
      <c r="L334" s="1109"/>
      <c r="M334" s="1109"/>
      <c r="N334" s="1109"/>
      <c r="O334" s="1109"/>
      <c r="P334" s="1109"/>
      <c r="Q334" s="1110"/>
      <c r="R334" s="367"/>
      <c r="S334" s="367"/>
      <c r="T334" s="367"/>
      <c r="U334" s="367"/>
      <c r="V334" s="367"/>
      <c r="W334" s="368"/>
      <c r="X334" s="141"/>
      <c r="Y334" s="141"/>
      <c r="Z334" s="141"/>
      <c r="AA334" s="216"/>
      <c r="AB334" s="367"/>
      <c r="AC334" s="367"/>
      <c r="AD334" s="367"/>
    </row>
    <row r="335" spans="1:30" s="266" customFormat="1">
      <c r="A335" s="372"/>
      <c r="B335" s="1111"/>
      <c r="C335" s="1112"/>
      <c r="D335" s="1109"/>
      <c r="E335" s="1109"/>
      <c r="F335" s="1109"/>
      <c r="G335" s="1109"/>
      <c r="H335" s="1109"/>
      <c r="I335" s="1109"/>
      <c r="J335" s="1109"/>
      <c r="K335" s="1109"/>
      <c r="L335" s="1109"/>
      <c r="M335" s="1109"/>
      <c r="N335" s="1109"/>
      <c r="O335" s="1109"/>
      <c r="P335" s="1109"/>
      <c r="Q335" s="1110"/>
      <c r="R335" s="367"/>
      <c r="S335" s="367"/>
      <c r="T335" s="367"/>
      <c r="U335" s="367"/>
      <c r="V335" s="367"/>
      <c r="W335" s="368"/>
      <c r="X335" s="141"/>
      <c r="Y335" s="141"/>
      <c r="Z335" s="141"/>
      <c r="AA335" s="216"/>
      <c r="AB335" s="367"/>
      <c r="AC335" s="367"/>
      <c r="AD335" s="367"/>
    </row>
    <row r="336" spans="1:30" s="266" customFormat="1">
      <c r="A336" s="372"/>
      <c r="B336" s="1111"/>
      <c r="C336" s="1112"/>
      <c r="D336" s="1109"/>
      <c r="E336" s="1109"/>
      <c r="F336" s="1109"/>
      <c r="G336" s="1109"/>
      <c r="H336" s="1109"/>
      <c r="I336" s="1109"/>
      <c r="J336" s="1109"/>
      <c r="K336" s="1109"/>
      <c r="L336" s="1109"/>
      <c r="M336" s="1109"/>
      <c r="N336" s="1109"/>
      <c r="O336" s="1109"/>
      <c r="P336" s="1109"/>
      <c r="Q336" s="1110"/>
      <c r="R336" s="367"/>
      <c r="S336" s="367"/>
      <c r="T336" s="367"/>
      <c r="U336" s="367"/>
      <c r="V336" s="367"/>
      <c r="W336" s="368"/>
      <c r="X336" s="141"/>
      <c r="Y336" s="141"/>
      <c r="Z336" s="141"/>
      <c r="AA336" s="216"/>
      <c r="AB336" s="367"/>
      <c r="AC336" s="367"/>
      <c r="AD336" s="367"/>
    </row>
    <row r="337" spans="1:30" s="266" customFormat="1">
      <c r="A337" s="372"/>
      <c r="B337" s="1111"/>
      <c r="C337" s="1112"/>
      <c r="D337" s="1109"/>
      <c r="E337" s="1109"/>
      <c r="F337" s="1109"/>
      <c r="G337" s="1109"/>
      <c r="H337" s="1109"/>
      <c r="I337" s="1109"/>
      <c r="J337" s="1109"/>
      <c r="K337" s="1109"/>
      <c r="L337" s="1109"/>
      <c r="M337" s="1109"/>
      <c r="N337" s="1109"/>
      <c r="O337" s="1109"/>
      <c r="P337" s="1109"/>
      <c r="Q337" s="1110"/>
      <c r="R337" s="367"/>
      <c r="S337" s="367"/>
      <c r="T337" s="367"/>
      <c r="U337" s="367"/>
      <c r="V337" s="367"/>
      <c r="W337" s="368"/>
      <c r="X337" s="141"/>
      <c r="Y337" s="141"/>
      <c r="Z337" s="141"/>
      <c r="AA337" s="216"/>
      <c r="AB337" s="367"/>
      <c r="AC337" s="367"/>
      <c r="AD337" s="367"/>
    </row>
    <row r="338" spans="1:30" s="266" customFormat="1">
      <c r="A338" s="372"/>
      <c r="B338" s="1111"/>
      <c r="C338" s="1112"/>
      <c r="D338" s="1109"/>
      <c r="E338" s="1109"/>
      <c r="F338" s="1109"/>
      <c r="G338" s="1109"/>
      <c r="H338" s="1109"/>
      <c r="I338" s="1109"/>
      <c r="J338" s="1109"/>
      <c r="K338" s="1109"/>
      <c r="L338" s="1109"/>
      <c r="M338" s="1109"/>
      <c r="N338" s="1109"/>
      <c r="O338" s="1109"/>
      <c r="P338" s="1109"/>
      <c r="Q338" s="1110"/>
      <c r="R338" s="367"/>
      <c r="S338" s="367"/>
      <c r="T338" s="367"/>
      <c r="U338" s="367"/>
      <c r="V338" s="367"/>
      <c r="W338" s="368"/>
      <c r="X338" s="141"/>
      <c r="Y338" s="141"/>
      <c r="Z338" s="141"/>
      <c r="AA338" s="216"/>
      <c r="AB338" s="367"/>
      <c r="AC338" s="367"/>
      <c r="AD338" s="367"/>
    </row>
    <row r="339" spans="1:30" s="266" customFormat="1">
      <c r="A339" s="372"/>
      <c r="B339" s="1111"/>
      <c r="C339" s="1112"/>
      <c r="D339" s="1109"/>
      <c r="E339" s="1109"/>
      <c r="F339" s="1109"/>
      <c r="G339" s="1109"/>
      <c r="H339" s="1109"/>
      <c r="I339" s="1109"/>
      <c r="J339" s="1109"/>
      <c r="K339" s="1109"/>
      <c r="L339" s="1109"/>
      <c r="M339" s="1109"/>
      <c r="N339" s="1109"/>
      <c r="O339" s="1109"/>
      <c r="P339" s="1109"/>
      <c r="Q339" s="1110"/>
      <c r="R339" s="367"/>
      <c r="S339" s="367"/>
      <c r="T339" s="367"/>
      <c r="U339" s="367"/>
      <c r="V339" s="367"/>
      <c r="W339" s="368"/>
      <c r="X339" s="141"/>
      <c r="Y339" s="141"/>
      <c r="Z339" s="141"/>
      <c r="AA339" s="216"/>
      <c r="AB339" s="367"/>
      <c r="AC339" s="367"/>
      <c r="AD339" s="367"/>
    </row>
    <row r="340" spans="1:30" s="266" customFormat="1">
      <c r="A340" s="372"/>
      <c r="B340" s="1111"/>
      <c r="C340" s="1112"/>
      <c r="D340" s="1109"/>
      <c r="E340" s="1109"/>
      <c r="F340" s="1109"/>
      <c r="G340" s="1109"/>
      <c r="H340" s="1109"/>
      <c r="I340" s="1109"/>
      <c r="J340" s="1109"/>
      <c r="K340" s="1109"/>
      <c r="L340" s="1109"/>
      <c r="M340" s="1109"/>
      <c r="N340" s="1109"/>
      <c r="O340" s="1109"/>
      <c r="P340" s="1109"/>
      <c r="Q340" s="1110"/>
      <c r="R340" s="367"/>
      <c r="S340" s="367"/>
      <c r="T340" s="367"/>
      <c r="U340" s="367"/>
      <c r="V340" s="367"/>
      <c r="W340" s="368"/>
      <c r="X340" s="141"/>
      <c r="Y340" s="141"/>
      <c r="Z340" s="141"/>
      <c r="AA340" s="216"/>
      <c r="AB340" s="367"/>
      <c r="AC340" s="367"/>
      <c r="AD340" s="367"/>
    </row>
    <row r="341" spans="1:30" s="266" customFormat="1">
      <c r="A341" s="372"/>
      <c r="B341" s="1111"/>
      <c r="C341" s="1112"/>
      <c r="D341" s="1109"/>
      <c r="E341" s="1109"/>
      <c r="F341" s="1109"/>
      <c r="G341" s="1109"/>
      <c r="H341" s="1109"/>
      <c r="I341" s="1109"/>
      <c r="J341" s="1109"/>
      <c r="K341" s="1109"/>
      <c r="L341" s="1109"/>
      <c r="M341" s="1109"/>
      <c r="N341" s="1109"/>
      <c r="O341" s="1109"/>
      <c r="P341" s="1109"/>
      <c r="Q341" s="1110"/>
      <c r="R341" s="367"/>
      <c r="S341" s="367"/>
      <c r="T341" s="367"/>
      <c r="U341" s="367"/>
      <c r="V341" s="367"/>
      <c r="W341" s="368"/>
      <c r="X341" s="141"/>
      <c r="Y341" s="141"/>
      <c r="Z341" s="141"/>
      <c r="AA341" s="216"/>
      <c r="AB341" s="367"/>
      <c r="AC341" s="367"/>
      <c r="AD341" s="367"/>
    </row>
    <row r="342" spans="1:30" s="266" customFormat="1">
      <c r="A342" s="372"/>
      <c r="B342" s="1111"/>
      <c r="C342" s="1112"/>
      <c r="D342" s="1109"/>
      <c r="E342" s="1109"/>
      <c r="F342" s="1109"/>
      <c r="G342" s="1109"/>
      <c r="H342" s="1109"/>
      <c r="I342" s="1109"/>
      <c r="J342" s="1109"/>
      <c r="K342" s="1109"/>
      <c r="L342" s="1109"/>
      <c r="M342" s="1109"/>
      <c r="N342" s="1109"/>
      <c r="O342" s="1109"/>
      <c r="P342" s="1109"/>
      <c r="Q342" s="1110"/>
      <c r="R342" s="367"/>
      <c r="S342" s="367"/>
      <c r="T342" s="367"/>
      <c r="U342" s="367"/>
      <c r="V342" s="367"/>
      <c r="W342" s="368"/>
      <c r="X342" s="141"/>
      <c r="Y342" s="141"/>
      <c r="Z342" s="141"/>
      <c r="AA342" s="216"/>
      <c r="AB342" s="367"/>
      <c r="AC342" s="367"/>
      <c r="AD342" s="367"/>
    </row>
    <row r="343" spans="1:30" s="266" customFormat="1">
      <c r="A343" s="372"/>
      <c r="B343" s="1111"/>
      <c r="C343" s="1112"/>
      <c r="D343" s="1109"/>
      <c r="E343" s="1109"/>
      <c r="F343" s="1109"/>
      <c r="G343" s="1109"/>
      <c r="H343" s="1109"/>
      <c r="I343" s="1109"/>
      <c r="J343" s="1109"/>
      <c r="K343" s="1109"/>
      <c r="L343" s="1109"/>
      <c r="M343" s="1109"/>
      <c r="N343" s="1109"/>
      <c r="O343" s="1109"/>
      <c r="P343" s="1109"/>
      <c r="Q343" s="1110"/>
      <c r="R343" s="367"/>
      <c r="S343" s="367"/>
      <c r="T343" s="367"/>
      <c r="U343" s="367"/>
      <c r="V343" s="367"/>
      <c r="W343" s="368"/>
      <c r="X343" s="141"/>
      <c r="Y343" s="141"/>
      <c r="Z343" s="141"/>
      <c r="AA343" s="216"/>
      <c r="AB343" s="367"/>
      <c r="AC343" s="367"/>
      <c r="AD343" s="367"/>
    </row>
    <row r="344" spans="1:30" s="266" customFormat="1">
      <c r="A344" s="372"/>
      <c r="B344" s="1111"/>
      <c r="C344" s="1112"/>
      <c r="D344" s="1109"/>
      <c r="E344" s="1109"/>
      <c r="F344" s="1109"/>
      <c r="G344" s="1109"/>
      <c r="H344" s="1109"/>
      <c r="I344" s="1109"/>
      <c r="J344" s="1109"/>
      <c r="K344" s="1109"/>
      <c r="L344" s="1109"/>
      <c r="M344" s="1109"/>
      <c r="N344" s="1109"/>
      <c r="O344" s="1109"/>
      <c r="P344" s="1109"/>
      <c r="Q344" s="1110"/>
      <c r="R344" s="367"/>
      <c r="S344" s="367"/>
      <c r="T344" s="367"/>
      <c r="U344" s="367"/>
      <c r="V344" s="367"/>
      <c r="W344" s="368"/>
      <c r="X344" s="141"/>
      <c r="Y344" s="141"/>
      <c r="Z344" s="141"/>
      <c r="AA344" s="216"/>
      <c r="AB344" s="367"/>
      <c r="AC344" s="367"/>
      <c r="AD344" s="367"/>
    </row>
    <row r="345" spans="1:30" s="266" customFormat="1">
      <c r="A345" s="372"/>
      <c r="B345" s="1111"/>
      <c r="C345" s="1112"/>
      <c r="D345" s="1109"/>
      <c r="E345" s="1109"/>
      <c r="F345" s="1109"/>
      <c r="G345" s="1109"/>
      <c r="H345" s="1109"/>
      <c r="I345" s="1109"/>
      <c r="J345" s="1109"/>
      <c r="K345" s="1109"/>
      <c r="L345" s="1109"/>
      <c r="M345" s="1109"/>
      <c r="N345" s="1109"/>
      <c r="O345" s="1109"/>
      <c r="P345" s="1109"/>
      <c r="Q345" s="1110"/>
      <c r="R345" s="367"/>
      <c r="S345" s="367"/>
      <c r="T345" s="367"/>
      <c r="U345" s="367"/>
      <c r="V345" s="367"/>
      <c r="W345" s="368"/>
      <c r="X345" s="141"/>
      <c r="Y345" s="141"/>
      <c r="Z345" s="141"/>
      <c r="AA345" s="216"/>
      <c r="AB345" s="367"/>
      <c r="AC345" s="367"/>
      <c r="AD345" s="367"/>
    </row>
    <row r="346" spans="1:30" s="266" customFormat="1">
      <c r="A346" s="372"/>
      <c r="B346" s="1111"/>
      <c r="C346" s="1112"/>
      <c r="D346" s="1109"/>
      <c r="E346" s="1109"/>
      <c r="F346" s="1109"/>
      <c r="G346" s="1109"/>
      <c r="H346" s="1109"/>
      <c r="I346" s="1109"/>
      <c r="J346" s="1109"/>
      <c r="K346" s="1109"/>
      <c r="L346" s="1109"/>
      <c r="M346" s="1109"/>
      <c r="N346" s="1109"/>
      <c r="O346" s="1109"/>
      <c r="P346" s="1109"/>
      <c r="Q346" s="1110"/>
      <c r="R346" s="367"/>
      <c r="S346" s="367"/>
      <c r="T346" s="367"/>
      <c r="U346" s="367"/>
      <c r="V346" s="367"/>
      <c r="W346" s="368"/>
      <c r="X346" s="141"/>
      <c r="Y346" s="141"/>
      <c r="Z346" s="141"/>
      <c r="AA346" s="216"/>
      <c r="AB346" s="367"/>
      <c r="AC346" s="367"/>
      <c r="AD346" s="367"/>
    </row>
    <row r="347" spans="1:30" s="266" customFormat="1">
      <c r="A347" s="372"/>
      <c r="B347" s="1111"/>
      <c r="C347" s="1112"/>
      <c r="D347" s="1109"/>
      <c r="E347" s="1109"/>
      <c r="F347" s="1109"/>
      <c r="G347" s="1109"/>
      <c r="H347" s="1109"/>
      <c r="I347" s="1109"/>
      <c r="J347" s="1109"/>
      <c r="K347" s="1109"/>
      <c r="L347" s="1109"/>
      <c r="M347" s="1109"/>
      <c r="N347" s="1109"/>
      <c r="O347" s="1109"/>
      <c r="P347" s="1109"/>
      <c r="Q347" s="1110"/>
      <c r="R347" s="367"/>
      <c r="S347" s="367"/>
      <c r="T347" s="367"/>
      <c r="U347" s="367"/>
      <c r="V347" s="367"/>
      <c r="W347" s="368"/>
      <c r="X347" s="141"/>
      <c r="Y347" s="141"/>
      <c r="Z347" s="141"/>
      <c r="AA347" s="216"/>
      <c r="AB347" s="367"/>
      <c r="AC347" s="367"/>
      <c r="AD347" s="367"/>
    </row>
    <row r="348" spans="1:30" s="266" customFormat="1" ht="15.75" thickBot="1">
      <c r="A348" s="372"/>
      <c r="B348" s="1157"/>
      <c r="C348" s="1158"/>
      <c r="D348" s="1133"/>
      <c r="E348" s="1133"/>
      <c r="F348" s="1133"/>
      <c r="G348" s="1133"/>
      <c r="H348" s="1133"/>
      <c r="I348" s="1133"/>
      <c r="J348" s="1133"/>
      <c r="K348" s="1133"/>
      <c r="L348" s="1133"/>
      <c r="M348" s="1133"/>
      <c r="N348" s="1133"/>
      <c r="O348" s="1133"/>
      <c r="P348" s="1133"/>
      <c r="Q348" s="1134"/>
      <c r="R348" s="367"/>
      <c r="S348" s="367"/>
      <c r="T348" s="367"/>
      <c r="U348" s="367"/>
      <c r="V348" s="367"/>
      <c r="W348" s="368"/>
      <c r="X348" s="141"/>
      <c r="Y348" s="141"/>
      <c r="Z348" s="141"/>
      <c r="AA348" s="216"/>
      <c r="AB348" s="367"/>
      <c r="AC348" s="367"/>
      <c r="AD348" s="367"/>
    </row>
    <row r="349" spans="1:30" s="266" customFormat="1">
      <c r="A349" s="217"/>
      <c r="B349" s="334"/>
      <c r="C349" s="261"/>
      <c r="D349" s="208"/>
      <c r="E349" s="208"/>
      <c r="F349" s="208"/>
      <c r="G349" s="333"/>
      <c r="H349" s="208"/>
      <c r="I349" s="208"/>
      <c r="J349" s="208"/>
      <c r="K349" s="208"/>
      <c r="L349" s="208"/>
      <c r="M349" s="208"/>
      <c r="N349" s="208"/>
      <c r="O349" s="208"/>
      <c r="P349" s="208"/>
      <c r="Q349" s="208"/>
      <c r="R349" s="367"/>
      <c r="S349" s="367"/>
      <c r="T349" s="367"/>
      <c r="U349" s="367"/>
      <c r="V349" s="367"/>
      <c r="W349" s="368"/>
      <c r="X349" s="141"/>
      <c r="Y349" s="141"/>
      <c r="Z349" s="141"/>
      <c r="AA349" s="216"/>
      <c r="AB349" s="367"/>
      <c r="AC349" s="367"/>
      <c r="AD349" s="367"/>
    </row>
    <row r="350" spans="1:30" s="266" customFormat="1">
      <c r="A350" s="210"/>
      <c r="B350" s="374" t="s">
        <v>210</v>
      </c>
      <c r="C350" s="18"/>
      <c r="D350" s="18"/>
      <c r="E350" s="18"/>
      <c r="F350" s="18"/>
      <c r="G350" s="356"/>
      <c r="H350" s="18"/>
      <c r="I350" s="18"/>
      <c r="J350" s="18"/>
      <c r="K350" s="18"/>
      <c r="L350" s="18"/>
      <c r="M350" s="18"/>
      <c r="N350" s="18"/>
      <c r="O350" s="18"/>
      <c r="P350" s="18"/>
      <c r="Q350" s="18"/>
      <c r="R350" s="367"/>
      <c r="S350" s="367"/>
      <c r="T350" s="367"/>
      <c r="U350" s="367"/>
      <c r="V350" s="367"/>
      <c r="W350" s="368"/>
      <c r="X350" s="141"/>
      <c r="Y350" s="141"/>
      <c r="Z350" s="141"/>
      <c r="AA350" s="216"/>
      <c r="AB350" s="367"/>
      <c r="AC350" s="367"/>
      <c r="AD350" s="367"/>
    </row>
    <row r="351" spans="1:30" s="266" customFormat="1">
      <c r="A351" s="360"/>
      <c r="B351" s="374"/>
      <c r="C351" s="18"/>
      <c r="D351" s="18"/>
      <c r="E351" s="18"/>
      <c r="F351" s="18"/>
      <c r="G351" s="356"/>
      <c r="H351" s="18"/>
      <c r="I351" s="18"/>
      <c r="J351" s="18"/>
      <c r="K351" s="18"/>
      <c r="L351" s="18"/>
      <c r="M351" s="18"/>
      <c r="N351" s="18"/>
      <c r="O351" s="18"/>
      <c r="P351" s="18"/>
      <c r="Q351" s="18"/>
      <c r="R351" s="367"/>
      <c r="S351" s="367"/>
      <c r="T351" s="367"/>
      <c r="U351" s="367"/>
      <c r="V351" s="367"/>
      <c r="W351" s="368"/>
      <c r="X351" s="141"/>
      <c r="Y351" s="141"/>
      <c r="Z351" s="141"/>
      <c r="AA351" s="216"/>
      <c r="AB351" s="367"/>
      <c r="AC351" s="367"/>
      <c r="AD351" s="367"/>
    </row>
    <row r="352" spans="1:30" s="266" customFormat="1">
      <c r="A352" s="360"/>
      <c r="B352" s="982" t="s">
        <v>289</v>
      </c>
      <c r="C352" s="982"/>
      <c r="D352" s="982"/>
      <c r="E352" s="982"/>
      <c r="F352" s="982"/>
      <c r="G352" s="982"/>
      <c r="H352" s="231"/>
      <c r="I352" s="982" t="s">
        <v>283</v>
      </c>
      <c r="J352" s="982"/>
      <c r="K352" s="982"/>
      <c r="L352" s="982"/>
      <c r="M352" s="982"/>
      <c r="N352" s="982"/>
      <c r="O352" s="982"/>
      <c r="P352" s="982"/>
      <c r="Q352" s="982"/>
      <c r="R352" s="367"/>
      <c r="S352" s="367"/>
      <c r="T352" s="367"/>
      <c r="U352" s="367"/>
      <c r="V352" s="367"/>
      <c r="W352" s="368"/>
      <c r="X352" s="141"/>
      <c r="Y352" s="141"/>
      <c r="Z352" s="141"/>
      <c r="AA352" s="216"/>
      <c r="AB352" s="367"/>
      <c r="AC352" s="367"/>
      <c r="AD352" s="367"/>
    </row>
    <row r="353" spans="1:30" s="266" customFormat="1" ht="15.75" thickBot="1">
      <c r="A353" s="360"/>
      <c r="B353" s="205"/>
      <c r="C353" s="215"/>
      <c r="D353" s="18"/>
      <c r="E353" s="18"/>
      <c r="F353" s="18"/>
      <c r="G353" s="356"/>
      <c r="H353" s="18"/>
      <c r="I353" s="18"/>
      <c r="J353" s="18"/>
      <c r="K353" s="18"/>
      <c r="L353" s="18"/>
      <c r="M353" s="18"/>
      <c r="N353" s="18"/>
      <c r="O353" s="18"/>
      <c r="P353" s="18"/>
      <c r="Q353" s="18"/>
      <c r="R353" s="367"/>
      <c r="S353" s="367"/>
      <c r="T353" s="367"/>
      <c r="U353" s="367"/>
      <c r="V353" s="367"/>
      <c r="W353" s="368"/>
      <c r="X353" s="141"/>
      <c r="Y353" s="141"/>
      <c r="Z353" s="141"/>
      <c r="AA353" s="216"/>
      <c r="AB353" s="367"/>
      <c r="AC353" s="367"/>
      <c r="AD353" s="367"/>
    </row>
    <row r="354" spans="1:30" s="266" customFormat="1" ht="26.25" customHeight="1" thickBot="1">
      <c r="A354" s="360"/>
      <c r="B354" s="1107" t="s">
        <v>91</v>
      </c>
      <c r="C354" s="1108"/>
      <c r="D354" s="1108"/>
      <c r="E354" s="1108"/>
      <c r="F354" s="1108" t="s">
        <v>139</v>
      </c>
      <c r="G354" s="1143"/>
      <c r="H354" s="375"/>
      <c r="I354" s="1107" t="s">
        <v>280</v>
      </c>
      <c r="J354" s="1144"/>
      <c r="K354" s="1144"/>
      <c r="L354" s="1144"/>
      <c r="M354" s="1144"/>
      <c r="N354" s="1108"/>
      <c r="O354" s="1108"/>
      <c r="P354" s="1108" t="s">
        <v>139</v>
      </c>
      <c r="Q354" s="1143"/>
      <c r="R354" s="218"/>
      <c r="S354" s="218"/>
      <c r="T354" s="218"/>
      <c r="U354" s="218"/>
      <c r="V354" s="218"/>
      <c r="W354" s="385"/>
      <c r="X354" s="351"/>
      <c r="Y354" s="351"/>
      <c r="Z354" s="351"/>
      <c r="AA354" s="351"/>
      <c r="AB354" s="367"/>
      <c r="AC354" s="367"/>
      <c r="AD354" s="367"/>
    </row>
    <row r="355" spans="1:30" s="266" customFormat="1">
      <c r="A355" s="360"/>
      <c r="B355" s="1145" t="s">
        <v>258</v>
      </c>
      <c r="C355" s="1146"/>
      <c r="D355" s="1146"/>
      <c r="E355" s="1146"/>
      <c r="F355" s="1147" t="s">
        <v>684</v>
      </c>
      <c r="G355" s="1148"/>
      <c r="H355" s="376"/>
      <c r="I355" s="1149"/>
      <c r="J355" s="1150"/>
      <c r="K355" s="1150"/>
      <c r="L355" s="1150"/>
      <c r="M355" s="1150"/>
      <c r="N355" s="1151"/>
      <c r="O355" s="1151"/>
      <c r="P355" s="1151"/>
      <c r="Q355" s="1156"/>
      <c r="R355" s="303"/>
      <c r="S355" s="303"/>
      <c r="T355" s="303"/>
      <c r="U355" s="303"/>
      <c r="V355" s="303"/>
      <c r="W355" s="386"/>
      <c r="X355" s="141"/>
      <c r="Y355" s="141"/>
      <c r="Z355" s="384"/>
      <c r="AA355" s="303"/>
      <c r="AB355" s="367"/>
      <c r="AC355" s="367"/>
      <c r="AD355" s="367"/>
    </row>
    <row r="356" spans="1:30" s="266" customFormat="1">
      <c r="A356" s="360"/>
      <c r="B356" s="1115" t="s">
        <v>141</v>
      </c>
      <c r="C356" s="1116"/>
      <c r="D356" s="1116"/>
      <c r="E356" s="1116"/>
      <c r="F356" s="1154" t="s">
        <v>684</v>
      </c>
      <c r="G356" s="1155"/>
      <c r="H356" s="376"/>
      <c r="I356" s="1041"/>
      <c r="J356" s="1042"/>
      <c r="K356" s="1042"/>
      <c r="L356" s="1042"/>
      <c r="M356" s="1042"/>
      <c r="N356" s="1043"/>
      <c r="O356" s="1043"/>
      <c r="P356" s="1043"/>
      <c r="Q356" s="1113"/>
      <c r="R356" s="303"/>
      <c r="S356" s="303"/>
      <c r="T356" s="303"/>
      <c r="U356" s="303"/>
      <c r="V356" s="303"/>
      <c r="W356" s="386"/>
      <c r="X356" s="141"/>
      <c r="Y356" s="141"/>
      <c r="Z356" s="384"/>
      <c r="AA356" s="303"/>
      <c r="AB356" s="367"/>
      <c r="AC356" s="367"/>
      <c r="AD356" s="367"/>
    </row>
    <row r="357" spans="1:30" s="266" customFormat="1">
      <c r="A357" s="360"/>
      <c r="B357" s="1115" t="s">
        <v>281</v>
      </c>
      <c r="C357" s="1116"/>
      <c r="D357" s="1116"/>
      <c r="E357" s="1116"/>
      <c r="F357" s="1117">
        <v>1000</v>
      </c>
      <c r="G357" s="1118"/>
      <c r="H357" s="376"/>
      <c r="I357" s="1041"/>
      <c r="J357" s="1042"/>
      <c r="K357" s="1042"/>
      <c r="L357" s="1042"/>
      <c r="M357" s="1042"/>
      <c r="N357" s="1043"/>
      <c r="O357" s="1043"/>
      <c r="P357" s="1043"/>
      <c r="Q357" s="1113"/>
      <c r="R357" s="303"/>
      <c r="S357" s="303"/>
      <c r="T357" s="303"/>
      <c r="U357" s="303"/>
      <c r="V357" s="303"/>
      <c r="W357" s="386"/>
      <c r="X357" s="141"/>
      <c r="Y357" s="141"/>
      <c r="Z357" s="384"/>
      <c r="AA357" s="303"/>
      <c r="AB357" s="367"/>
      <c r="AC357" s="367"/>
      <c r="AD357" s="367"/>
    </row>
    <row r="358" spans="1:30" s="266" customFormat="1">
      <c r="A358" s="360"/>
      <c r="B358" s="1115" t="s">
        <v>32</v>
      </c>
      <c r="C358" s="1116"/>
      <c r="D358" s="1116"/>
      <c r="E358" s="1116"/>
      <c r="F358" s="1117">
        <v>1000</v>
      </c>
      <c r="G358" s="1118"/>
      <c r="H358" s="377"/>
      <c r="I358" s="1041"/>
      <c r="J358" s="1042"/>
      <c r="K358" s="1042"/>
      <c r="L358" s="1042"/>
      <c r="M358" s="1042"/>
      <c r="N358" s="1043"/>
      <c r="O358" s="1043"/>
      <c r="P358" s="1043"/>
      <c r="Q358" s="1113"/>
      <c r="R358" s="303"/>
      <c r="S358" s="303"/>
      <c r="T358" s="303"/>
      <c r="U358" s="303"/>
      <c r="V358" s="303"/>
      <c r="W358" s="386"/>
      <c r="X358" s="141"/>
      <c r="Y358" s="141"/>
      <c r="Z358" s="384"/>
      <c r="AA358" s="303"/>
      <c r="AB358" s="367"/>
      <c r="AC358" s="367"/>
      <c r="AD358" s="367"/>
    </row>
    <row r="359" spans="1:30" s="266" customFormat="1" ht="29.25" customHeight="1">
      <c r="A359" s="360"/>
      <c r="B359" s="1115" t="s">
        <v>925</v>
      </c>
      <c r="C359" s="1116"/>
      <c r="D359" s="1116"/>
      <c r="E359" s="1116"/>
      <c r="F359" s="1135"/>
      <c r="G359" s="1136"/>
      <c r="H359" s="377"/>
      <c r="I359" s="1041"/>
      <c r="J359" s="1042"/>
      <c r="K359" s="1042"/>
      <c r="L359" s="1042"/>
      <c r="M359" s="1042"/>
      <c r="N359" s="1043"/>
      <c r="O359" s="1043"/>
      <c r="P359" s="1043"/>
      <c r="Q359" s="1113"/>
      <c r="R359" s="303"/>
      <c r="S359" s="303"/>
      <c r="T359" s="303"/>
      <c r="U359" s="303"/>
      <c r="V359" s="303"/>
      <c r="W359" s="386"/>
      <c r="X359" s="141"/>
      <c r="Y359" s="141"/>
      <c r="Z359" s="384"/>
      <c r="AA359" s="303"/>
      <c r="AB359" s="367"/>
      <c r="AC359" s="367"/>
      <c r="AD359" s="367"/>
    </row>
    <row r="360" spans="1:30" s="266" customFormat="1">
      <c r="A360" s="360"/>
      <c r="B360" s="1115" t="s">
        <v>142</v>
      </c>
      <c r="C360" s="1116"/>
      <c r="D360" s="1116"/>
      <c r="E360" s="1116"/>
      <c r="F360" s="1117">
        <v>1000</v>
      </c>
      <c r="G360" s="1118"/>
      <c r="H360" s="377"/>
      <c r="I360" s="1041"/>
      <c r="J360" s="1042"/>
      <c r="K360" s="1042"/>
      <c r="L360" s="1042"/>
      <c r="M360" s="1042"/>
      <c r="N360" s="1043"/>
      <c r="O360" s="1043"/>
      <c r="P360" s="1043"/>
      <c r="Q360" s="1113"/>
      <c r="R360" s="303"/>
      <c r="S360" s="303"/>
      <c r="T360" s="303"/>
      <c r="U360" s="303"/>
      <c r="V360" s="303"/>
      <c r="W360" s="386"/>
      <c r="X360" s="141"/>
      <c r="Y360" s="141"/>
      <c r="Z360" s="384"/>
      <c r="AA360" s="303"/>
      <c r="AB360" s="367"/>
      <c r="AC360" s="367"/>
      <c r="AD360" s="367"/>
    </row>
    <row r="361" spans="1:30" s="266" customFormat="1">
      <c r="A361" s="360"/>
      <c r="B361" s="1115" t="s">
        <v>140</v>
      </c>
      <c r="C361" s="1116"/>
      <c r="D361" s="1116"/>
      <c r="E361" s="1116"/>
      <c r="F361" s="1117">
        <v>1000</v>
      </c>
      <c r="G361" s="1118"/>
      <c r="H361" s="377"/>
      <c r="I361" s="1041"/>
      <c r="J361" s="1042"/>
      <c r="K361" s="1042"/>
      <c r="L361" s="1042"/>
      <c r="M361" s="1042"/>
      <c r="N361" s="1043"/>
      <c r="O361" s="1043"/>
      <c r="P361" s="1043"/>
      <c r="Q361" s="1113"/>
      <c r="R361" s="303"/>
      <c r="S361" s="303"/>
      <c r="T361" s="303"/>
      <c r="U361" s="303"/>
      <c r="V361" s="303"/>
      <c r="W361" s="386"/>
      <c r="X361" s="141"/>
      <c r="Y361" s="141"/>
      <c r="Z361" s="141"/>
      <c r="AA361" s="303"/>
      <c r="AB361" s="367"/>
      <c r="AC361" s="367"/>
      <c r="AD361" s="367"/>
    </row>
    <row r="362" spans="1:30" s="266" customFormat="1">
      <c r="A362" s="360"/>
      <c r="B362" s="1121" t="s">
        <v>924</v>
      </c>
      <c r="C362" s="1122"/>
      <c r="D362" s="1122"/>
      <c r="E362" s="1123"/>
      <c r="F362" s="1154" t="s">
        <v>684</v>
      </c>
      <c r="G362" s="1155"/>
      <c r="H362" s="377"/>
      <c r="I362" s="1041"/>
      <c r="J362" s="1042"/>
      <c r="K362" s="1042"/>
      <c r="L362" s="1042"/>
      <c r="M362" s="1042"/>
      <c r="N362" s="1043"/>
      <c r="O362" s="1043"/>
      <c r="P362" s="1043"/>
      <c r="Q362" s="1113"/>
      <c r="R362" s="303"/>
      <c r="S362" s="303"/>
      <c r="T362" s="303"/>
      <c r="U362" s="303"/>
      <c r="V362" s="303"/>
      <c r="W362" s="386"/>
      <c r="X362" s="141"/>
      <c r="Y362" s="141"/>
      <c r="Z362" s="141"/>
      <c r="AA362" s="303"/>
      <c r="AB362" s="367"/>
      <c r="AC362" s="367"/>
      <c r="AD362" s="367"/>
    </row>
    <row r="363" spans="1:30" s="266" customFormat="1">
      <c r="A363" s="360"/>
      <c r="B363" s="1121" t="s">
        <v>937</v>
      </c>
      <c r="C363" s="1122"/>
      <c r="D363" s="1122"/>
      <c r="E363" s="1123"/>
      <c r="F363" s="1152" t="s">
        <v>938</v>
      </c>
      <c r="G363" s="1153"/>
      <c r="H363" s="377"/>
      <c r="I363" s="1041"/>
      <c r="J363" s="1042"/>
      <c r="K363" s="1042"/>
      <c r="L363" s="1042"/>
      <c r="M363" s="1042"/>
      <c r="N363" s="1043"/>
      <c r="O363" s="1043"/>
      <c r="P363" s="1043"/>
      <c r="Q363" s="1113"/>
      <c r="R363" s="303"/>
      <c r="S363" s="303"/>
      <c r="T363" s="303"/>
      <c r="U363" s="303"/>
      <c r="V363" s="303"/>
      <c r="W363" s="386"/>
      <c r="X363" s="141"/>
      <c r="Y363" s="141"/>
      <c r="Z363" s="141"/>
      <c r="AA363" s="303"/>
      <c r="AB363" s="367"/>
      <c r="AC363" s="367"/>
      <c r="AD363" s="367"/>
    </row>
    <row r="364" spans="1:30" s="266" customFormat="1">
      <c r="A364" s="360"/>
      <c r="B364" s="1121" t="s">
        <v>29</v>
      </c>
      <c r="C364" s="1122"/>
      <c r="D364" s="1122"/>
      <c r="E364" s="1123"/>
      <c r="F364" s="1117">
        <v>1000</v>
      </c>
      <c r="G364" s="1118"/>
      <c r="H364" s="280"/>
      <c r="I364" s="1041"/>
      <c r="J364" s="1042"/>
      <c r="K364" s="1042"/>
      <c r="L364" s="1042"/>
      <c r="M364" s="1042"/>
      <c r="N364" s="1043"/>
      <c r="O364" s="1043"/>
      <c r="P364" s="1043"/>
      <c r="Q364" s="1113"/>
      <c r="R364" s="303"/>
      <c r="S364" s="303"/>
      <c r="T364" s="303"/>
      <c r="U364" s="303"/>
      <c r="V364" s="303"/>
      <c r="W364" s="386"/>
      <c r="X364" s="141"/>
      <c r="Y364" s="141"/>
      <c r="Z364" s="141"/>
      <c r="AA364" s="303"/>
      <c r="AB364" s="367"/>
      <c r="AC364" s="367"/>
      <c r="AD364" s="367"/>
    </row>
    <row r="365" spans="1:30" s="266" customFormat="1">
      <c r="A365" s="360"/>
      <c r="B365" s="1121" t="s">
        <v>30</v>
      </c>
      <c r="C365" s="1122"/>
      <c r="D365" s="1122"/>
      <c r="E365" s="1123"/>
      <c r="F365" s="1117">
        <v>1000</v>
      </c>
      <c r="G365" s="1118"/>
      <c r="H365" s="377"/>
      <c r="I365" s="1041"/>
      <c r="J365" s="1042"/>
      <c r="K365" s="1042"/>
      <c r="L365" s="1042"/>
      <c r="M365" s="1042"/>
      <c r="N365" s="1043"/>
      <c r="O365" s="1043"/>
      <c r="P365" s="1043"/>
      <c r="Q365" s="1113"/>
      <c r="R365" s="303"/>
      <c r="S365" s="303"/>
      <c r="T365" s="303"/>
      <c r="U365" s="303"/>
      <c r="V365" s="303"/>
      <c r="W365" s="386"/>
      <c r="X365" s="141"/>
      <c r="Y365" s="141"/>
      <c r="Z365" s="141"/>
      <c r="AA365" s="303"/>
      <c r="AB365" s="367"/>
      <c r="AC365" s="367"/>
      <c r="AD365" s="367"/>
    </row>
    <row r="366" spans="1:30" s="266" customFormat="1">
      <c r="A366" s="360"/>
      <c r="B366" s="1121" t="s">
        <v>926</v>
      </c>
      <c r="C366" s="1122"/>
      <c r="D366" s="1122"/>
      <c r="E366" s="1123"/>
      <c r="F366" s="1119">
        <v>10</v>
      </c>
      <c r="G366" s="1120"/>
      <c r="H366" s="377"/>
      <c r="I366" s="1041"/>
      <c r="J366" s="1042"/>
      <c r="K366" s="1042"/>
      <c r="L366" s="1042"/>
      <c r="M366" s="1042"/>
      <c r="N366" s="1043"/>
      <c r="O366" s="1043"/>
      <c r="P366" s="1043"/>
      <c r="Q366" s="1113"/>
      <c r="R366" s="303"/>
      <c r="S366" s="303"/>
      <c r="T366" s="303"/>
      <c r="U366" s="303"/>
      <c r="V366" s="303"/>
      <c r="W366" s="386"/>
      <c r="X366" s="141"/>
      <c r="Y366" s="141"/>
      <c r="Z366" s="141"/>
      <c r="AA366" s="303"/>
      <c r="AB366" s="367"/>
      <c r="AC366" s="367"/>
      <c r="AD366" s="367"/>
    </row>
    <row r="367" spans="1:30" s="266" customFormat="1">
      <c r="A367" s="360"/>
      <c r="B367" s="1121" t="s">
        <v>927</v>
      </c>
      <c r="C367" s="1122"/>
      <c r="D367" s="1122"/>
      <c r="E367" s="1123"/>
      <c r="F367" s="1119">
        <v>10</v>
      </c>
      <c r="G367" s="1120"/>
      <c r="H367" s="377"/>
      <c r="I367" s="1041"/>
      <c r="J367" s="1042"/>
      <c r="K367" s="1042"/>
      <c r="L367" s="1042"/>
      <c r="M367" s="1042"/>
      <c r="N367" s="1043"/>
      <c r="O367" s="1043"/>
      <c r="P367" s="1043"/>
      <c r="Q367" s="1113"/>
      <c r="R367" s="303"/>
      <c r="S367" s="303"/>
      <c r="T367" s="303"/>
      <c r="U367" s="303"/>
      <c r="V367" s="303"/>
      <c r="W367" s="386"/>
      <c r="X367" s="141"/>
      <c r="Y367" s="141"/>
      <c r="Z367" s="141"/>
      <c r="AA367" s="303"/>
      <c r="AB367" s="367"/>
      <c r="AC367" s="367"/>
      <c r="AD367" s="367"/>
    </row>
    <row r="368" spans="1:30" s="266" customFormat="1">
      <c r="A368" s="360"/>
      <c r="B368" s="608" t="s">
        <v>929</v>
      </c>
      <c r="C368" s="609"/>
      <c r="D368" s="609"/>
      <c r="E368" s="610"/>
      <c r="F368" s="1119">
        <v>10</v>
      </c>
      <c r="G368" s="1120"/>
      <c r="H368" s="377"/>
      <c r="I368" s="1041"/>
      <c r="J368" s="1042"/>
      <c r="K368" s="1042"/>
      <c r="L368" s="1042"/>
      <c r="M368" s="1042"/>
      <c r="N368" s="1043"/>
      <c r="O368" s="1043"/>
      <c r="P368" s="1043"/>
      <c r="Q368" s="1113"/>
      <c r="R368" s="303"/>
      <c r="S368" s="303"/>
      <c r="T368" s="303"/>
      <c r="U368" s="303"/>
      <c r="V368" s="303"/>
      <c r="W368" s="386"/>
      <c r="X368" s="141"/>
      <c r="Y368" s="141"/>
      <c r="Z368" s="141"/>
      <c r="AA368" s="303"/>
      <c r="AB368" s="367"/>
      <c r="AC368" s="367"/>
      <c r="AD368" s="367"/>
    </row>
    <row r="369" spans="1:30" s="266" customFormat="1" ht="30" customHeight="1">
      <c r="A369" s="360"/>
      <c r="B369" s="1121" t="s">
        <v>928</v>
      </c>
      <c r="C369" s="1122"/>
      <c r="D369" s="1122"/>
      <c r="E369" s="1123"/>
      <c r="F369" s="1213"/>
      <c r="G369" s="1214"/>
      <c r="H369" s="377"/>
      <c r="I369" s="1041"/>
      <c r="J369" s="1042"/>
      <c r="K369" s="1042"/>
      <c r="L369" s="1042"/>
      <c r="M369" s="1042"/>
      <c r="N369" s="1043"/>
      <c r="O369" s="1043"/>
      <c r="P369" s="1043"/>
      <c r="Q369" s="1113"/>
      <c r="R369" s="303"/>
      <c r="S369" s="303"/>
      <c r="T369" s="303"/>
      <c r="U369" s="303"/>
      <c r="V369" s="303"/>
      <c r="W369" s="386"/>
      <c r="X369" s="141"/>
      <c r="Y369" s="141"/>
      <c r="Z369" s="141"/>
      <c r="AA369" s="303"/>
      <c r="AB369" s="367"/>
      <c r="AC369" s="367"/>
      <c r="AD369" s="367"/>
    </row>
    <row r="370" spans="1:30" s="266" customFormat="1">
      <c r="A370" s="360"/>
      <c r="B370" s="1121" t="s">
        <v>930</v>
      </c>
      <c r="C370" s="1122"/>
      <c r="D370" s="1122"/>
      <c r="E370" s="1123"/>
      <c r="F370" s="1117">
        <v>1000</v>
      </c>
      <c r="G370" s="1118"/>
      <c r="H370" s="377"/>
      <c r="I370" s="1041"/>
      <c r="J370" s="1042"/>
      <c r="K370" s="1042"/>
      <c r="L370" s="1042"/>
      <c r="M370" s="1042"/>
      <c r="N370" s="1043"/>
      <c r="O370" s="1043"/>
      <c r="P370" s="1043"/>
      <c r="Q370" s="1113"/>
      <c r="R370" s="303"/>
      <c r="S370" s="303"/>
      <c r="T370" s="303"/>
      <c r="U370" s="303"/>
      <c r="V370" s="303"/>
      <c r="W370" s="386"/>
      <c r="X370" s="141"/>
      <c r="Y370" s="141"/>
      <c r="Z370" s="141"/>
      <c r="AA370" s="303"/>
      <c r="AB370" s="367"/>
      <c r="AC370" s="367"/>
      <c r="AD370" s="367"/>
    </row>
    <row r="371" spans="1:30" s="266" customFormat="1" ht="29.25" customHeight="1">
      <c r="A371" s="360"/>
      <c r="B371" s="1121" t="s">
        <v>931</v>
      </c>
      <c r="C371" s="1122"/>
      <c r="D371" s="1122"/>
      <c r="E371" s="1123"/>
      <c r="F371" s="1117">
        <v>1000</v>
      </c>
      <c r="G371" s="1118"/>
      <c r="H371" s="377"/>
      <c r="I371" s="1041"/>
      <c r="J371" s="1042"/>
      <c r="K371" s="1042"/>
      <c r="L371" s="1042"/>
      <c r="M371" s="1042"/>
      <c r="N371" s="1043"/>
      <c r="O371" s="1043"/>
      <c r="P371" s="1043"/>
      <c r="Q371" s="1113"/>
      <c r="R371" s="303"/>
      <c r="S371" s="303"/>
      <c r="T371" s="303"/>
      <c r="U371" s="303"/>
      <c r="V371" s="303"/>
      <c r="W371" s="386"/>
      <c r="X371" s="141"/>
      <c r="Y371" s="141"/>
      <c r="Z371" s="141"/>
      <c r="AA371" s="303"/>
      <c r="AB371" s="367"/>
      <c r="AC371" s="367"/>
      <c r="AD371" s="367"/>
    </row>
    <row r="372" spans="1:30" s="266" customFormat="1">
      <c r="A372" s="360"/>
      <c r="B372" s="1121" t="s">
        <v>932</v>
      </c>
      <c r="C372" s="1122"/>
      <c r="D372" s="1122"/>
      <c r="E372" s="1123"/>
      <c r="F372" s="1117">
        <v>1000</v>
      </c>
      <c r="G372" s="1118"/>
      <c r="H372" s="377"/>
      <c r="I372" s="1041"/>
      <c r="J372" s="1042"/>
      <c r="K372" s="1042"/>
      <c r="L372" s="1042"/>
      <c r="M372" s="1042"/>
      <c r="N372" s="1043"/>
      <c r="O372" s="1043"/>
      <c r="P372" s="1043"/>
      <c r="Q372" s="1113"/>
      <c r="R372" s="303"/>
      <c r="S372" s="303"/>
      <c r="T372" s="303"/>
      <c r="U372" s="303"/>
      <c r="V372" s="303"/>
      <c r="W372" s="386"/>
      <c r="X372" s="141"/>
      <c r="Y372" s="141"/>
      <c r="Z372" s="141"/>
      <c r="AA372" s="303"/>
      <c r="AB372" s="367"/>
      <c r="AC372" s="367"/>
      <c r="AD372" s="367"/>
    </row>
    <row r="373" spans="1:30" s="266" customFormat="1">
      <c r="A373" s="360"/>
      <c r="B373" s="1121" t="s">
        <v>933</v>
      </c>
      <c r="C373" s="1122"/>
      <c r="D373" s="1122"/>
      <c r="E373" s="1123"/>
      <c r="F373" s="1117">
        <v>1000</v>
      </c>
      <c r="G373" s="1118"/>
      <c r="H373" s="377"/>
      <c r="I373" s="1041"/>
      <c r="J373" s="1042"/>
      <c r="K373" s="1042"/>
      <c r="L373" s="1042"/>
      <c r="M373" s="1042"/>
      <c r="N373" s="1043"/>
      <c r="O373" s="1043"/>
      <c r="P373" s="1043"/>
      <c r="Q373" s="1113"/>
      <c r="R373" s="303"/>
      <c r="S373" s="303"/>
      <c r="T373" s="303"/>
      <c r="U373" s="303"/>
      <c r="V373" s="303"/>
      <c r="W373" s="386"/>
      <c r="X373" s="141"/>
      <c r="Y373" s="141"/>
      <c r="Z373" s="141"/>
      <c r="AA373" s="303"/>
      <c r="AB373" s="367"/>
      <c r="AC373" s="367"/>
      <c r="AD373" s="367"/>
    </row>
    <row r="374" spans="1:30" s="266" customFormat="1">
      <c r="A374" s="360"/>
      <c r="B374" s="1121" t="s">
        <v>934</v>
      </c>
      <c r="C374" s="1122"/>
      <c r="D374" s="1122"/>
      <c r="E374" s="1123"/>
      <c r="F374" s="1124">
        <v>65</v>
      </c>
      <c r="G374" s="1125"/>
      <c r="H374" s="377"/>
      <c r="I374" s="1041"/>
      <c r="J374" s="1042"/>
      <c r="K374" s="1042"/>
      <c r="L374" s="1042"/>
      <c r="M374" s="1042"/>
      <c r="N374" s="1043"/>
      <c r="O374" s="1043"/>
      <c r="P374" s="1043"/>
      <c r="Q374" s="1113"/>
      <c r="R374" s="303"/>
      <c r="S374" s="303"/>
      <c r="T374" s="303"/>
      <c r="U374" s="303"/>
      <c r="V374" s="303"/>
      <c r="W374" s="386"/>
      <c r="X374" s="141"/>
      <c r="Y374" s="141"/>
      <c r="Z374" s="141"/>
      <c r="AA374" s="303"/>
      <c r="AB374" s="367"/>
      <c r="AC374" s="367"/>
      <c r="AD374" s="367"/>
    </row>
    <row r="375" spans="1:30" s="266" customFormat="1">
      <c r="A375" s="360"/>
      <c r="B375" s="1121" t="s">
        <v>935</v>
      </c>
      <c r="C375" s="1122"/>
      <c r="D375" s="1122"/>
      <c r="E375" s="1123"/>
      <c r="F375" s="1124">
        <v>50</v>
      </c>
      <c r="G375" s="1125"/>
      <c r="H375" s="377"/>
      <c r="I375" s="1041"/>
      <c r="J375" s="1042"/>
      <c r="K375" s="1042"/>
      <c r="L375" s="1042"/>
      <c r="M375" s="1042"/>
      <c r="N375" s="1043"/>
      <c r="O375" s="1043"/>
      <c r="P375" s="1043"/>
      <c r="Q375" s="1113"/>
      <c r="R375" s="303"/>
      <c r="S375" s="303"/>
      <c r="T375" s="303"/>
      <c r="U375" s="303"/>
      <c r="V375" s="303"/>
      <c r="W375" s="386"/>
      <c r="X375" s="141"/>
      <c r="Y375" s="141"/>
      <c r="Z375" s="141"/>
      <c r="AA375" s="303"/>
      <c r="AB375" s="367"/>
      <c r="AC375" s="367"/>
      <c r="AD375" s="367"/>
    </row>
    <row r="376" spans="1:30" s="266" customFormat="1" ht="15.75" thickBot="1">
      <c r="A376" s="360"/>
      <c r="B376" s="1126" t="s">
        <v>936</v>
      </c>
      <c r="C376" s="1127"/>
      <c r="D376" s="1127"/>
      <c r="E376" s="1128"/>
      <c r="F376" s="1129">
        <v>5</v>
      </c>
      <c r="G376" s="1130"/>
      <c r="H376" s="18"/>
      <c r="I376" s="1046"/>
      <c r="J376" s="1047"/>
      <c r="K376" s="1047"/>
      <c r="L376" s="1047"/>
      <c r="M376" s="1047"/>
      <c r="N376" s="1048"/>
      <c r="O376" s="1048"/>
      <c r="P376" s="1048"/>
      <c r="Q376" s="1159"/>
      <c r="R376" s="367"/>
      <c r="S376" s="367"/>
      <c r="T376" s="367"/>
      <c r="U376" s="367"/>
      <c r="V376" s="367"/>
      <c r="W376" s="368"/>
      <c r="X376" s="141"/>
      <c r="Y376" s="141"/>
      <c r="Z376" s="141"/>
      <c r="AA376" s="250"/>
      <c r="AB376" s="367"/>
      <c r="AC376" s="367"/>
      <c r="AD376" s="367"/>
    </row>
    <row r="377" spans="1:30" s="266" customFormat="1" ht="26.25" customHeight="1">
      <c r="A377" s="210"/>
      <c r="B377" s="301" t="s">
        <v>143</v>
      </c>
      <c r="C377" s="18"/>
      <c r="D377" s="18"/>
      <c r="E377" s="18"/>
      <c r="F377" s="18"/>
      <c r="G377" s="356"/>
      <c r="H377" s="18"/>
      <c r="I377" s="18"/>
      <c r="J377" s="18"/>
      <c r="K377" s="18"/>
      <c r="L377" s="18"/>
      <c r="M377" s="18"/>
      <c r="N377" s="18"/>
      <c r="O377" s="18"/>
      <c r="P377" s="18"/>
      <c r="Q377" s="18"/>
      <c r="R377" s="218"/>
      <c r="S377" s="218"/>
      <c r="T377" s="218"/>
      <c r="U377" s="218"/>
      <c r="V377" s="218"/>
      <c r="W377" s="385"/>
      <c r="X377" s="351"/>
      <c r="Y377" s="351"/>
      <c r="Z377" s="351"/>
      <c r="AA377" s="351"/>
      <c r="AB377" s="367"/>
      <c r="AC377" s="367"/>
      <c r="AD377" s="367"/>
    </row>
    <row r="378" spans="1:30" s="266" customFormat="1">
      <c r="A378" s="210"/>
      <c r="B378" s="378"/>
      <c r="C378" s="18"/>
      <c r="D378" s="18"/>
      <c r="E378" s="18"/>
      <c r="F378" s="18"/>
      <c r="G378" s="356"/>
      <c r="H378" s="18"/>
      <c r="I378" s="18"/>
      <c r="J378" s="18"/>
      <c r="K378" s="18"/>
      <c r="L378" s="18"/>
      <c r="M378" s="18"/>
      <c r="N378" s="18"/>
      <c r="O378" s="18"/>
      <c r="P378" s="18"/>
      <c r="Q378" s="18"/>
      <c r="R378" s="303"/>
      <c r="S378" s="303"/>
      <c r="T378" s="303"/>
      <c r="U378" s="303"/>
      <c r="V378" s="303"/>
      <c r="W378" s="386"/>
      <c r="X378" s="141"/>
      <c r="Y378" s="141"/>
      <c r="Z378" s="384"/>
      <c r="AA378" s="303"/>
      <c r="AB378" s="367"/>
      <c r="AC378" s="367"/>
      <c r="AD378" s="367"/>
    </row>
    <row r="379" spans="1:30" s="266" customFormat="1">
      <c r="A379" s="210"/>
      <c r="B379" s="205" t="s">
        <v>144</v>
      </c>
      <c r="C379" s="18"/>
      <c r="D379" s="18"/>
      <c r="E379" s="18"/>
      <c r="F379" s="18"/>
      <c r="G379" s="356"/>
      <c r="H379" s="18"/>
      <c r="I379" s="18"/>
      <c r="J379" s="18"/>
      <c r="K379" s="18"/>
      <c r="L379" s="18"/>
      <c r="M379" s="18"/>
      <c r="N379" s="18"/>
      <c r="O379" s="18"/>
      <c r="P379" s="18"/>
      <c r="Q379" s="18"/>
      <c r="R379" s="303"/>
      <c r="S379" s="303"/>
      <c r="T379" s="303"/>
      <c r="U379" s="303"/>
      <c r="V379" s="303"/>
      <c r="W379" s="386"/>
      <c r="X379" s="141"/>
      <c r="Y379" s="141"/>
      <c r="Z379" s="384"/>
      <c r="AA379" s="303"/>
      <c r="AB379" s="367"/>
      <c r="AC379" s="367"/>
      <c r="AD379" s="367"/>
    </row>
    <row r="380" spans="1:30" s="266" customFormat="1">
      <c r="A380" s="210"/>
      <c r="B380" s="378"/>
      <c r="C380" s="18"/>
      <c r="D380" s="18"/>
      <c r="E380" s="18"/>
      <c r="F380" s="18"/>
      <c r="G380" s="356"/>
      <c r="H380" s="18"/>
      <c r="I380" s="18"/>
      <c r="J380" s="18"/>
      <c r="K380" s="18"/>
      <c r="L380" s="18"/>
      <c r="M380" s="18"/>
      <c r="N380" s="18"/>
      <c r="O380" s="18"/>
      <c r="P380" s="18"/>
      <c r="Q380" s="18"/>
      <c r="R380" s="303"/>
      <c r="S380" s="303"/>
      <c r="T380" s="303"/>
      <c r="U380" s="303"/>
      <c r="V380" s="303"/>
      <c r="W380" s="386"/>
      <c r="X380" s="141"/>
      <c r="Y380" s="141"/>
      <c r="Z380" s="384"/>
      <c r="AA380" s="303"/>
      <c r="AB380" s="367"/>
      <c r="AC380" s="367"/>
      <c r="AD380" s="367"/>
    </row>
    <row r="381" spans="1:30" s="266" customFormat="1">
      <c r="A381" s="210"/>
      <c r="B381" s="281" t="s">
        <v>96</v>
      </c>
      <c r="C381" s="18"/>
      <c r="D381" s="18"/>
      <c r="E381" s="18"/>
      <c r="F381" s="18"/>
      <c r="G381" s="356"/>
      <c r="H381" s="18"/>
      <c r="I381" s="18"/>
      <c r="J381" s="18"/>
      <c r="K381" s="18"/>
      <c r="L381" s="18"/>
      <c r="M381" s="18"/>
      <c r="N381" s="18"/>
      <c r="O381" s="18"/>
      <c r="P381" s="18"/>
      <c r="Q381" s="18"/>
      <c r="R381" s="303"/>
      <c r="S381" s="303"/>
      <c r="T381" s="303"/>
      <c r="U381" s="303"/>
      <c r="V381" s="303"/>
      <c r="W381" s="386"/>
      <c r="X381" s="141"/>
      <c r="Y381" s="141"/>
      <c r="Z381" s="384"/>
      <c r="AA381" s="303"/>
      <c r="AB381" s="367"/>
      <c r="AC381" s="367"/>
      <c r="AD381" s="367"/>
    </row>
    <row r="382" spans="1:30" s="266" customFormat="1">
      <c r="A382" s="210"/>
      <c r="B382" s="374"/>
      <c r="C382" s="18"/>
      <c r="D382" s="18"/>
      <c r="E382" s="18"/>
      <c r="F382" s="18"/>
      <c r="G382" s="356"/>
      <c r="H382" s="18"/>
      <c r="I382" s="18"/>
      <c r="J382" s="18"/>
      <c r="K382" s="18"/>
      <c r="L382" s="18"/>
      <c r="M382" s="18"/>
      <c r="N382" s="18"/>
      <c r="O382" s="18"/>
      <c r="P382" s="18"/>
      <c r="Q382" s="18"/>
      <c r="R382" s="303"/>
      <c r="S382" s="303"/>
      <c r="T382" s="303"/>
      <c r="U382" s="303"/>
      <c r="V382" s="303"/>
      <c r="W382" s="386"/>
      <c r="X382" s="141"/>
      <c r="Y382" s="141"/>
      <c r="Z382" s="384"/>
      <c r="AA382" s="303"/>
      <c r="AB382" s="367"/>
      <c r="AC382" s="367"/>
      <c r="AD382" s="367"/>
    </row>
    <row r="383" spans="1:30" s="266" customFormat="1">
      <c r="A383" s="210"/>
      <c r="B383" s="1114" t="s">
        <v>97</v>
      </c>
      <c r="C383" s="1114"/>
      <c r="D383" s="1114"/>
      <c r="E383" s="379"/>
      <c r="F383" s="18"/>
      <c r="G383" s="356"/>
      <c r="H383" s="18"/>
      <c r="I383" s="18"/>
      <c r="J383" s="18"/>
      <c r="K383" s="18"/>
      <c r="L383" s="18"/>
      <c r="M383" s="18"/>
      <c r="N383" s="18"/>
      <c r="O383" s="18"/>
      <c r="P383" s="18"/>
      <c r="Q383" s="18"/>
      <c r="R383" s="303"/>
      <c r="S383" s="303"/>
      <c r="T383" s="303"/>
      <c r="U383" s="303"/>
      <c r="V383" s="303"/>
      <c r="W383" s="386"/>
      <c r="X383" s="141"/>
      <c r="Y383" s="141"/>
      <c r="Z383" s="141"/>
      <c r="AA383" s="303"/>
      <c r="AB383" s="367"/>
      <c r="AC383" s="367"/>
      <c r="AD383" s="367"/>
    </row>
    <row r="384" spans="1:30" s="266" customFormat="1">
      <c r="A384" s="210"/>
      <c r="B384" s="1114" t="s">
        <v>98</v>
      </c>
      <c r="C384" s="1114"/>
      <c r="D384" s="1114"/>
      <c r="E384" s="379"/>
      <c r="F384" s="18"/>
      <c r="G384" s="356"/>
      <c r="H384" s="18"/>
      <c r="I384" s="18"/>
      <c r="J384" s="18"/>
      <c r="K384" s="18"/>
      <c r="L384" s="18"/>
      <c r="M384" s="18"/>
      <c r="N384" s="18"/>
      <c r="O384" s="18"/>
      <c r="P384" s="18"/>
      <c r="Q384" s="18"/>
      <c r="R384" s="303"/>
      <c r="S384" s="303"/>
      <c r="T384" s="303"/>
      <c r="U384" s="303"/>
      <c r="V384" s="303"/>
      <c r="W384" s="386"/>
      <c r="X384" s="141"/>
      <c r="Y384" s="141"/>
      <c r="Z384" s="141"/>
      <c r="AA384" s="303"/>
      <c r="AB384" s="367"/>
      <c r="AC384" s="367"/>
      <c r="AD384" s="367"/>
    </row>
    <row r="385" spans="1:30" s="266" customFormat="1">
      <c r="A385" s="210"/>
      <c r="B385" s="1114" t="s">
        <v>260</v>
      </c>
      <c r="C385" s="1114"/>
      <c r="D385" s="1114"/>
      <c r="E385" s="379"/>
      <c r="F385" s="18"/>
      <c r="G385" s="356"/>
      <c r="H385" s="18"/>
      <c r="I385" s="18"/>
      <c r="J385" s="18"/>
      <c r="K385" s="18"/>
      <c r="L385" s="18"/>
      <c r="M385" s="18"/>
      <c r="N385" s="18"/>
      <c r="O385" s="18"/>
      <c r="P385" s="18"/>
      <c r="Q385" s="18"/>
      <c r="R385" s="303"/>
      <c r="S385" s="303"/>
      <c r="T385" s="303"/>
      <c r="U385" s="303"/>
      <c r="V385" s="303"/>
      <c r="W385" s="386"/>
      <c r="X385" s="141"/>
      <c r="Y385" s="141"/>
      <c r="Z385" s="141"/>
      <c r="AA385" s="303"/>
      <c r="AB385" s="367"/>
      <c r="AC385" s="367"/>
      <c r="AD385" s="367"/>
    </row>
    <row r="386" spans="1:30" s="266" customFormat="1">
      <c r="A386" s="210"/>
      <c r="B386" s="1114" t="s">
        <v>99</v>
      </c>
      <c r="C386" s="1114"/>
      <c r="D386" s="1114"/>
      <c r="E386" s="379"/>
      <c r="F386" s="18"/>
      <c r="G386" s="380"/>
      <c r="H386" s="18"/>
      <c r="I386" s="18"/>
      <c r="J386" s="18"/>
      <c r="K386" s="18"/>
      <c r="L386" s="18"/>
      <c r="M386" s="18"/>
      <c r="N386" s="18"/>
      <c r="O386" s="18"/>
      <c r="P386" s="18"/>
      <c r="Q386" s="18"/>
      <c r="R386" s="303"/>
      <c r="S386" s="303"/>
      <c r="T386" s="303"/>
      <c r="U386" s="303"/>
      <c r="V386" s="303"/>
      <c r="W386" s="386"/>
      <c r="X386" s="141"/>
      <c r="Y386" s="141"/>
      <c r="Z386" s="141"/>
      <c r="AA386" s="303"/>
      <c r="AB386" s="367"/>
      <c r="AC386" s="367"/>
      <c r="AD386" s="367"/>
    </row>
    <row r="387" spans="1:30" s="266" customFormat="1">
      <c r="A387" s="210"/>
      <c r="B387" s="1114" t="s">
        <v>100</v>
      </c>
      <c r="C387" s="1114"/>
      <c r="D387" s="1114"/>
      <c r="E387" s="379"/>
      <c r="F387" s="18"/>
      <c r="G387" s="356"/>
      <c r="H387" s="18"/>
      <c r="I387" s="18"/>
      <c r="J387" s="18"/>
      <c r="K387" s="18"/>
      <c r="L387" s="18"/>
      <c r="M387" s="18"/>
      <c r="N387" s="18"/>
      <c r="O387" s="18"/>
      <c r="P387" s="18"/>
      <c r="Q387" s="18"/>
      <c r="R387" s="303"/>
      <c r="S387" s="303"/>
      <c r="T387" s="303"/>
      <c r="U387" s="303"/>
      <c r="V387" s="303"/>
      <c r="W387" s="386"/>
      <c r="X387" s="141"/>
      <c r="Y387" s="141"/>
      <c r="Z387" s="141"/>
      <c r="AA387" s="303"/>
      <c r="AB387" s="367"/>
      <c r="AC387" s="367"/>
      <c r="AD387" s="367"/>
    </row>
    <row r="388" spans="1:30" s="266" customFormat="1">
      <c r="A388" s="210"/>
      <c r="B388" s="1114" t="s">
        <v>261</v>
      </c>
      <c r="C388" s="1114"/>
      <c r="D388" s="1114"/>
      <c r="E388" s="379"/>
      <c r="F388" s="18"/>
      <c r="G388" s="356"/>
      <c r="H388" s="18"/>
      <c r="I388" s="18"/>
      <c r="J388" s="18"/>
      <c r="K388" s="18"/>
      <c r="L388" s="18"/>
      <c r="M388" s="18"/>
      <c r="N388" s="18"/>
      <c r="O388" s="18"/>
      <c r="P388" s="18"/>
      <c r="Q388" s="18"/>
      <c r="R388" s="303"/>
      <c r="S388" s="303"/>
      <c r="T388" s="303"/>
      <c r="U388" s="303"/>
      <c r="V388" s="303"/>
      <c r="W388" s="386"/>
      <c r="X388" s="141"/>
      <c r="Y388" s="141"/>
      <c r="Z388" s="141"/>
      <c r="AA388" s="303"/>
      <c r="AB388" s="367"/>
      <c r="AC388" s="367"/>
      <c r="AD388" s="367"/>
    </row>
    <row r="389" spans="1:30" s="266" customFormat="1">
      <c r="A389" s="210"/>
      <c r="B389" s="1114" t="s">
        <v>101</v>
      </c>
      <c r="C389" s="1114"/>
      <c r="D389" s="1114"/>
      <c r="E389" s="379"/>
      <c r="F389" s="18"/>
      <c r="G389" s="356"/>
      <c r="H389" s="18"/>
      <c r="I389" s="18"/>
      <c r="J389" s="18"/>
      <c r="K389" s="18"/>
      <c r="L389" s="18"/>
      <c r="M389" s="18"/>
      <c r="N389" s="18"/>
      <c r="O389" s="18"/>
      <c r="P389" s="18"/>
      <c r="Q389" s="18"/>
      <c r="R389" s="303"/>
      <c r="S389" s="303"/>
      <c r="T389" s="303"/>
      <c r="U389" s="303"/>
      <c r="V389" s="303"/>
      <c r="W389" s="386"/>
      <c r="X389" s="141"/>
      <c r="Y389" s="141"/>
      <c r="Z389" s="141"/>
      <c r="AA389" s="303"/>
      <c r="AB389" s="367"/>
      <c r="AC389" s="367"/>
      <c r="AD389" s="367"/>
    </row>
    <row r="390" spans="1:30" s="266" customFormat="1">
      <c r="A390" s="210"/>
      <c r="B390" s="1114" t="s">
        <v>259</v>
      </c>
      <c r="C390" s="1114"/>
      <c r="D390" s="1114"/>
      <c r="E390" s="379"/>
      <c r="F390" s="18"/>
      <c r="G390" s="356"/>
      <c r="H390" s="18"/>
      <c r="I390" s="18"/>
      <c r="J390" s="18"/>
      <c r="K390" s="18"/>
      <c r="L390" s="18"/>
      <c r="M390" s="18"/>
      <c r="N390" s="18"/>
      <c r="O390" s="18"/>
      <c r="P390" s="18"/>
      <c r="Q390" s="18"/>
      <c r="R390" s="303"/>
      <c r="S390" s="303"/>
      <c r="T390" s="303"/>
      <c r="U390" s="303"/>
      <c r="V390" s="303"/>
      <c r="W390" s="386"/>
      <c r="X390" s="141"/>
      <c r="Y390" s="141"/>
      <c r="Z390" s="141"/>
      <c r="AA390" s="303"/>
      <c r="AB390" s="367"/>
      <c r="AC390" s="367"/>
      <c r="AD390" s="367"/>
    </row>
    <row r="391" spans="1:30" s="266" customFormat="1">
      <c r="A391" s="210"/>
      <c r="B391" s="1173" t="s">
        <v>874</v>
      </c>
      <c r="C391" s="1174"/>
      <c r="D391" s="1175"/>
      <c r="E391" s="379"/>
      <c r="F391" s="18"/>
      <c r="G391" s="356"/>
      <c r="H391" s="18"/>
      <c r="I391" s="18"/>
      <c r="J391" s="18"/>
      <c r="K391" s="18"/>
      <c r="L391" s="18"/>
      <c r="M391" s="18"/>
      <c r="N391" s="18"/>
      <c r="O391" s="18"/>
      <c r="P391" s="18"/>
      <c r="Q391" s="18"/>
      <c r="R391" s="303"/>
      <c r="S391" s="303"/>
      <c r="T391" s="303"/>
      <c r="U391" s="303"/>
      <c r="V391" s="303"/>
      <c r="W391" s="386"/>
      <c r="X391" s="141"/>
      <c r="Y391" s="141"/>
      <c r="Z391" s="141"/>
      <c r="AA391" s="303"/>
      <c r="AB391" s="367"/>
      <c r="AC391" s="367"/>
      <c r="AD391" s="367"/>
    </row>
    <row r="392" spans="1:30" s="266" customFormat="1">
      <c r="A392" s="210"/>
      <c r="B392" s="1173" t="s">
        <v>873</v>
      </c>
      <c r="C392" s="1174"/>
      <c r="D392" s="1175"/>
      <c r="E392" s="379"/>
      <c r="F392" s="18"/>
      <c r="G392" s="356"/>
      <c r="H392" s="18"/>
      <c r="I392" s="18"/>
      <c r="J392" s="18"/>
      <c r="K392" s="18"/>
      <c r="L392" s="18"/>
      <c r="M392" s="18"/>
      <c r="N392" s="18"/>
      <c r="O392" s="18"/>
      <c r="P392" s="18"/>
      <c r="Q392" s="18"/>
      <c r="R392" s="303"/>
      <c r="S392" s="303"/>
      <c r="T392" s="303"/>
      <c r="U392" s="303"/>
      <c r="V392" s="303"/>
      <c r="W392" s="386"/>
      <c r="X392" s="141"/>
      <c r="Y392" s="141"/>
      <c r="Z392" s="141"/>
      <c r="AA392" s="303"/>
      <c r="AB392" s="367"/>
      <c r="AC392" s="367"/>
      <c r="AD392" s="367"/>
    </row>
    <row r="393" spans="1:30" s="266" customFormat="1">
      <c r="A393" s="210"/>
      <c r="E393" s="379"/>
      <c r="F393" s="18"/>
      <c r="G393" s="356"/>
      <c r="H393" s="18"/>
      <c r="I393" s="18"/>
      <c r="J393" s="18"/>
      <c r="K393" s="18"/>
      <c r="L393" s="18"/>
      <c r="M393" s="18"/>
      <c r="N393" s="18"/>
      <c r="O393" s="18"/>
      <c r="P393" s="18"/>
      <c r="Q393" s="18"/>
      <c r="R393" s="367"/>
      <c r="S393" s="367"/>
      <c r="T393" s="367"/>
      <c r="U393" s="367"/>
      <c r="V393" s="367"/>
      <c r="W393" s="368"/>
      <c r="X393" s="141"/>
      <c r="Y393" s="141"/>
      <c r="Z393" s="141"/>
      <c r="AA393" s="250"/>
      <c r="AB393" s="367"/>
      <c r="AC393" s="367"/>
      <c r="AD393" s="367"/>
    </row>
    <row r="394" spans="1:30" s="266" customFormat="1">
      <c r="A394" s="360"/>
      <c r="B394" s="982" t="s">
        <v>164</v>
      </c>
      <c r="C394" s="982"/>
      <c r="D394" s="982"/>
      <c r="E394" s="982"/>
      <c r="F394" s="982"/>
      <c r="G394" s="982"/>
      <c r="H394" s="982"/>
      <c r="I394" s="982"/>
      <c r="J394" s="982"/>
      <c r="K394" s="982"/>
      <c r="L394" s="982"/>
      <c r="M394" s="982"/>
      <c r="N394" s="982"/>
      <c r="O394" s="982"/>
      <c r="P394" s="982"/>
      <c r="Q394" s="982"/>
      <c r="R394" s="303"/>
      <c r="S394" s="303"/>
      <c r="T394" s="303"/>
      <c r="U394" s="303"/>
      <c r="V394" s="303"/>
      <c r="W394" s="386"/>
      <c r="X394" s="141"/>
      <c r="Y394" s="141"/>
      <c r="Z394" s="384"/>
      <c r="AA394" s="303"/>
      <c r="AB394" s="367"/>
      <c r="AC394" s="367"/>
      <c r="AD394" s="367"/>
    </row>
    <row r="395" spans="1:30" s="266" customFormat="1">
      <c r="A395" s="360"/>
      <c r="B395" s="340"/>
      <c r="C395" s="18"/>
      <c r="D395" s="18"/>
      <c r="E395" s="18"/>
      <c r="F395" s="18"/>
      <c r="G395" s="356"/>
      <c r="H395" s="18"/>
      <c r="I395" s="18"/>
      <c r="J395" s="18"/>
      <c r="K395" s="18"/>
      <c r="L395" s="18"/>
      <c r="M395" s="18"/>
      <c r="N395" s="18"/>
      <c r="O395" s="18"/>
      <c r="P395" s="18"/>
      <c r="Q395" s="18"/>
      <c r="R395" s="303"/>
      <c r="S395" s="303"/>
      <c r="T395" s="303"/>
      <c r="U395" s="303"/>
      <c r="V395" s="303"/>
      <c r="W395" s="386"/>
      <c r="X395" s="141"/>
      <c r="Y395" s="141"/>
      <c r="Z395" s="384"/>
      <c r="AA395" s="303"/>
      <c r="AB395" s="367"/>
      <c r="AC395" s="367"/>
      <c r="AD395" s="367"/>
    </row>
    <row r="396" spans="1:30" s="266" customFormat="1">
      <c r="A396" s="360"/>
      <c r="B396" s="381" t="s">
        <v>116</v>
      </c>
      <c r="C396" s="18"/>
      <c r="D396" s="18"/>
      <c r="E396" s="18"/>
      <c r="F396" s="18"/>
      <c r="G396" s="356"/>
      <c r="H396" s="18"/>
      <c r="I396" s="18"/>
      <c r="J396" s="18"/>
      <c r="K396" s="18"/>
      <c r="L396" s="18"/>
      <c r="M396" s="18"/>
      <c r="N396" s="18"/>
      <c r="O396" s="18"/>
      <c r="P396" s="18"/>
      <c r="Q396" s="18"/>
      <c r="R396" s="303"/>
      <c r="S396" s="303"/>
      <c r="T396" s="303"/>
      <c r="U396" s="303"/>
      <c r="V396" s="303"/>
      <c r="W396" s="386"/>
      <c r="X396" s="141"/>
      <c r="Y396" s="141"/>
      <c r="Z396" s="384"/>
      <c r="AA396" s="303"/>
      <c r="AB396" s="367"/>
      <c r="AC396" s="367"/>
      <c r="AD396" s="367"/>
    </row>
    <row r="397" spans="1:30" s="266" customFormat="1" ht="15.75" thickBot="1">
      <c r="A397" s="360"/>
      <c r="B397" s="382"/>
      <c r="C397" s="18"/>
      <c r="D397" s="18"/>
      <c r="E397" s="18"/>
      <c r="F397" s="18"/>
      <c r="G397" s="356"/>
      <c r="H397" s="18"/>
      <c r="I397" s="18"/>
      <c r="J397" s="18"/>
      <c r="K397" s="18"/>
      <c r="L397" s="18"/>
      <c r="M397" s="18"/>
      <c r="N397" s="18"/>
      <c r="O397" s="18"/>
      <c r="P397" s="18"/>
      <c r="Q397" s="18"/>
      <c r="R397" s="303"/>
      <c r="S397" s="303"/>
      <c r="T397" s="303"/>
      <c r="U397" s="303"/>
      <c r="V397" s="303"/>
      <c r="W397" s="386"/>
      <c r="X397" s="141"/>
      <c r="Y397" s="141"/>
      <c r="Z397" s="384"/>
      <c r="AA397" s="303"/>
      <c r="AB397" s="367"/>
      <c r="AC397" s="367"/>
      <c r="AD397" s="367"/>
    </row>
    <row r="398" spans="1:30" s="266" customFormat="1" ht="15.75" customHeight="1" thickBot="1">
      <c r="A398" s="219"/>
      <c r="B398" s="1170" t="s">
        <v>117</v>
      </c>
      <c r="C398" s="1171"/>
      <c r="D398" s="1171"/>
      <c r="E398" s="1172"/>
      <c r="F398" s="1169"/>
      <c r="G398" s="1169"/>
      <c r="H398" s="1169"/>
      <c r="I398" s="351"/>
      <c r="J398" s="351"/>
      <c r="K398" s="351"/>
      <c r="L398" s="351"/>
      <c r="M398" s="351"/>
      <c r="N398" s="383"/>
      <c r="O398" s="303"/>
      <c r="P398" s="303"/>
      <c r="Q398" s="303"/>
      <c r="R398" s="303"/>
      <c r="S398" s="303"/>
      <c r="T398" s="386"/>
      <c r="U398" s="141"/>
      <c r="V398" s="141"/>
      <c r="W398" s="384"/>
      <c r="X398" s="303"/>
      <c r="Y398" s="367"/>
      <c r="Z398" s="367"/>
      <c r="AA398" s="367"/>
    </row>
    <row r="399" spans="1:30" s="266" customFormat="1">
      <c r="A399" s="360"/>
      <c r="B399" s="1166"/>
      <c r="C399" s="1167"/>
      <c r="D399" s="1167"/>
      <c r="E399" s="1168"/>
      <c r="F399" s="1162"/>
      <c r="G399" s="1162"/>
      <c r="H399" s="1162"/>
      <c r="I399" s="261"/>
      <c r="J399" s="261"/>
      <c r="K399" s="261"/>
      <c r="L399" s="261"/>
      <c r="M399" s="261"/>
      <c r="N399" s="18"/>
      <c r="O399" s="303"/>
      <c r="P399" s="303"/>
      <c r="Q399" s="303"/>
      <c r="R399" s="303"/>
      <c r="S399" s="303"/>
      <c r="T399" s="386"/>
      <c r="U399" s="141"/>
      <c r="V399" s="141"/>
      <c r="W399" s="141"/>
      <c r="X399" s="303"/>
      <c r="Y399" s="367"/>
      <c r="Z399" s="367"/>
      <c r="AA399" s="367"/>
    </row>
    <row r="400" spans="1:30" s="266" customFormat="1">
      <c r="A400" s="360"/>
      <c r="B400" s="1163"/>
      <c r="C400" s="1164"/>
      <c r="D400" s="1164"/>
      <c r="E400" s="1165"/>
      <c r="F400" s="352"/>
      <c r="G400" s="352"/>
      <c r="H400" s="352"/>
      <c r="I400" s="261"/>
      <c r="J400" s="261"/>
      <c r="K400" s="261"/>
      <c r="L400" s="261"/>
      <c r="M400" s="261"/>
      <c r="N400" s="18"/>
      <c r="O400" s="303"/>
      <c r="P400" s="303"/>
      <c r="Q400" s="303"/>
      <c r="R400" s="303"/>
      <c r="S400" s="303"/>
      <c r="T400" s="386"/>
      <c r="U400" s="141"/>
      <c r="V400" s="141"/>
      <c r="W400" s="141"/>
      <c r="X400" s="303"/>
      <c r="Y400" s="367"/>
      <c r="Z400" s="367"/>
      <c r="AA400" s="367"/>
    </row>
    <row r="401" spans="1:30" s="266" customFormat="1">
      <c r="A401" s="360"/>
      <c r="B401" s="1163"/>
      <c r="C401" s="1164"/>
      <c r="D401" s="1164"/>
      <c r="E401" s="1165"/>
      <c r="F401" s="352"/>
      <c r="G401" s="352"/>
      <c r="H401" s="352"/>
      <c r="I401" s="261"/>
      <c r="J401" s="261"/>
      <c r="K401" s="261"/>
      <c r="L401" s="261"/>
      <c r="M401" s="261"/>
      <c r="N401" s="18"/>
      <c r="O401" s="303"/>
      <c r="P401" s="303"/>
      <c r="Q401" s="303"/>
      <c r="R401" s="303"/>
      <c r="S401" s="303"/>
      <c r="T401" s="386"/>
      <c r="U401" s="141"/>
      <c r="V401" s="141"/>
      <c r="W401" s="141"/>
      <c r="X401" s="303"/>
      <c r="Y401" s="367"/>
      <c r="Z401" s="367"/>
      <c r="AA401" s="367"/>
    </row>
    <row r="402" spans="1:30" s="266" customFormat="1">
      <c r="A402" s="360"/>
      <c r="B402" s="1163"/>
      <c r="C402" s="1164"/>
      <c r="D402" s="1164"/>
      <c r="E402" s="1165"/>
      <c r="F402" s="352"/>
      <c r="G402" s="352"/>
      <c r="H402" s="352"/>
      <c r="I402" s="261"/>
      <c r="J402" s="261"/>
      <c r="K402" s="261"/>
      <c r="L402" s="261"/>
      <c r="M402" s="261"/>
      <c r="N402" s="18"/>
      <c r="O402" s="303"/>
      <c r="P402" s="303"/>
      <c r="Q402" s="303"/>
      <c r="R402" s="303"/>
      <c r="S402" s="303"/>
      <c r="T402" s="386"/>
      <c r="U402" s="141"/>
      <c r="V402" s="141"/>
      <c r="W402" s="141"/>
      <c r="X402" s="303"/>
      <c r="Y402" s="367"/>
      <c r="Z402" s="367"/>
      <c r="AA402" s="367"/>
    </row>
    <row r="403" spans="1:30" s="266" customFormat="1">
      <c r="A403" s="360"/>
      <c r="B403" s="1163"/>
      <c r="C403" s="1164"/>
      <c r="D403" s="1164"/>
      <c r="E403" s="1165"/>
      <c r="F403" s="352"/>
      <c r="G403" s="352"/>
      <c r="H403" s="352"/>
      <c r="I403" s="261"/>
      <c r="J403" s="261"/>
      <c r="K403" s="261"/>
      <c r="L403" s="261"/>
      <c r="M403" s="261"/>
      <c r="N403" s="18"/>
      <c r="O403" s="303"/>
      <c r="P403" s="303"/>
      <c r="Q403" s="303"/>
      <c r="R403" s="303"/>
      <c r="S403" s="303"/>
      <c r="T403" s="386"/>
      <c r="U403" s="141"/>
      <c r="V403" s="141"/>
      <c r="W403" s="141"/>
      <c r="X403" s="303"/>
      <c r="Y403" s="367"/>
      <c r="Z403" s="367"/>
      <c r="AA403" s="367"/>
    </row>
    <row r="404" spans="1:30" s="266" customFormat="1">
      <c r="A404" s="360"/>
      <c r="B404" s="1163"/>
      <c r="C404" s="1164"/>
      <c r="D404" s="1164"/>
      <c r="E404" s="1165"/>
      <c r="F404" s="352"/>
      <c r="G404" s="352"/>
      <c r="H404" s="352"/>
      <c r="I404" s="261"/>
      <c r="J404" s="261"/>
      <c r="K404" s="261"/>
      <c r="L404" s="261"/>
      <c r="M404" s="261"/>
      <c r="N404" s="18"/>
      <c r="O404" s="303"/>
      <c r="P404" s="303"/>
      <c r="Q404" s="303"/>
      <c r="R404" s="303"/>
      <c r="S404" s="303"/>
      <c r="T404" s="386"/>
      <c r="U404" s="141"/>
      <c r="V404" s="141"/>
      <c r="W404" s="141"/>
      <c r="X404" s="303"/>
      <c r="Y404" s="367"/>
      <c r="Z404" s="367"/>
      <c r="AA404" s="367"/>
    </row>
    <row r="405" spans="1:30" s="266" customFormat="1">
      <c r="A405" s="360"/>
      <c r="B405" s="1163"/>
      <c r="C405" s="1164"/>
      <c r="D405" s="1164"/>
      <c r="E405" s="1165"/>
      <c r="F405" s="352"/>
      <c r="G405" s="352"/>
      <c r="H405" s="352"/>
      <c r="I405" s="261"/>
      <c r="J405" s="261"/>
      <c r="K405" s="261"/>
      <c r="L405" s="261"/>
      <c r="M405" s="261"/>
      <c r="N405" s="18"/>
      <c r="O405" s="303"/>
      <c r="P405" s="303"/>
      <c r="Q405" s="303"/>
      <c r="R405" s="303"/>
      <c r="S405" s="303"/>
      <c r="T405" s="386"/>
      <c r="U405" s="141"/>
      <c r="V405" s="141"/>
      <c r="W405" s="141"/>
      <c r="X405" s="303"/>
      <c r="Y405" s="367"/>
      <c r="Z405" s="367"/>
      <c r="AA405" s="367"/>
    </row>
    <row r="406" spans="1:30" s="266" customFormat="1">
      <c r="A406" s="360"/>
      <c r="B406" s="1163"/>
      <c r="C406" s="1164"/>
      <c r="D406" s="1164"/>
      <c r="E406" s="1165"/>
      <c r="F406" s="352"/>
      <c r="G406" s="352"/>
      <c r="H406" s="352"/>
      <c r="I406" s="261"/>
      <c r="J406" s="261"/>
      <c r="K406" s="261"/>
      <c r="L406" s="261"/>
      <c r="M406" s="261"/>
      <c r="N406" s="18"/>
      <c r="O406" s="367"/>
      <c r="P406" s="367"/>
      <c r="Q406" s="367"/>
      <c r="R406" s="367"/>
      <c r="S406" s="367"/>
      <c r="T406" s="368"/>
      <c r="U406" s="141"/>
      <c r="V406" s="141"/>
      <c r="W406" s="141"/>
      <c r="X406" s="250"/>
      <c r="Y406" s="367"/>
      <c r="Z406" s="367"/>
      <c r="AA406" s="367"/>
    </row>
    <row r="407" spans="1:30" s="266" customFormat="1">
      <c r="A407" s="360"/>
      <c r="B407" s="1163"/>
      <c r="C407" s="1164"/>
      <c r="D407" s="1164"/>
      <c r="E407" s="1165"/>
      <c r="F407" s="1162"/>
      <c r="G407" s="1162"/>
      <c r="H407" s="1162"/>
      <c r="I407" s="261"/>
      <c r="J407" s="261"/>
      <c r="K407" s="261"/>
      <c r="L407" s="261"/>
      <c r="M407" s="261"/>
      <c r="N407" s="18"/>
      <c r="O407" s="218"/>
      <c r="P407" s="218"/>
      <c r="Q407" s="218"/>
      <c r="R407" s="218"/>
      <c r="S407" s="218"/>
      <c r="T407" s="385"/>
      <c r="U407" s="351"/>
      <c r="V407" s="351"/>
      <c r="W407" s="351"/>
      <c r="X407" s="351"/>
      <c r="Y407" s="367"/>
      <c r="Z407" s="367"/>
      <c r="AA407" s="367"/>
    </row>
    <row r="408" spans="1:30" s="266" customFormat="1">
      <c r="A408" s="360"/>
      <c r="B408" s="1163"/>
      <c r="C408" s="1164"/>
      <c r="D408" s="1164"/>
      <c r="E408" s="1165"/>
      <c r="F408" s="1162"/>
      <c r="G408" s="1162"/>
      <c r="H408" s="1162"/>
      <c r="I408" s="228"/>
      <c r="J408" s="228"/>
      <c r="K408" s="228"/>
      <c r="L408" s="228"/>
      <c r="M408" s="228"/>
      <c r="N408" s="18"/>
      <c r="O408" s="303"/>
      <c r="P408" s="303"/>
      <c r="Q408" s="303"/>
      <c r="R408" s="303"/>
      <c r="S408" s="303"/>
      <c r="T408" s="386"/>
      <c r="U408" s="141"/>
      <c r="V408" s="141"/>
      <c r="W408" s="384"/>
      <c r="X408" s="303"/>
      <c r="Y408" s="367"/>
      <c r="Z408" s="367"/>
      <c r="AA408" s="367"/>
    </row>
    <row r="409" spans="1:30" s="266" customFormat="1">
      <c r="A409" s="360"/>
      <c r="B409" s="1163"/>
      <c r="C409" s="1164"/>
      <c r="D409" s="1164"/>
      <c r="E409" s="1165"/>
      <c r="F409" s="1162"/>
      <c r="G409" s="1162"/>
      <c r="H409" s="1162"/>
      <c r="I409" s="228"/>
      <c r="J409" s="228"/>
      <c r="K409" s="228"/>
      <c r="L409" s="228"/>
      <c r="M409" s="228"/>
      <c r="N409" s="18"/>
      <c r="O409" s="303"/>
      <c r="P409" s="303"/>
      <c r="Q409" s="303"/>
      <c r="R409" s="303"/>
      <c r="S409" s="303"/>
      <c r="T409" s="386"/>
      <c r="U409" s="141"/>
      <c r="V409" s="141"/>
      <c r="W409" s="384"/>
      <c r="X409" s="303"/>
      <c r="Y409" s="367"/>
      <c r="Z409" s="367"/>
      <c r="AA409" s="367"/>
    </row>
    <row r="410" spans="1:30" s="266" customFormat="1">
      <c r="A410" s="360"/>
      <c r="B410" s="1163"/>
      <c r="C410" s="1164"/>
      <c r="D410" s="1164"/>
      <c r="E410" s="1165"/>
      <c r="F410" s="1162"/>
      <c r="G410" s="1162"/>
      <c r="H410" s="1162"/>
      <c r="I410" s="228"/>
      <c r="J410" s="228"/>
      <c r="K410" s="228"/>
      <c r="L410" s="228"/>
      <c r="M410" s="228"/>
      <c r="N410" s="18"/>
      <c r="O410" s="303"/>
      <c r="P410" s="303"/>
      <c r="Q410" s="303"/>
      <c r="R410" s="303"/>
      <c r="S410" s="303"/>
      <c r="T410" s="386"/>
      <c r="U410" s="141"/>
      <c r="V410" s="141"/>
      <c r="W410" s="384"/>
      <c r="X410" s="303"/>
      <c r="Y410" s="367"/>
      <c r="Z410" s="367"/>
      <c r="AA410" s="367"/>
    </row>
    <row r="411" spans="1:30" s="266" customFormat="1">
      <c r="A411" s="360"/>
      <c r="B411" s="1163"/>
      <c r="C411" s="1164"/>
      <c r="D411" s="1164"/>
      <c r="E411" s="1165"/>
      <c r="F411" s="1162"/>
      <c r="G411" s="1162"/>
      <c r="H411" s="1162"/>
      <c r="I411" s="228"/>
      <c r="J411" s="228"/>
      <c r="K411" s="228"/>
      <c r="L411" s="228"/>
      <c r="M411" s="228"/>
      <c r="N411" s="18"/>
      <c r="O411" s="303"/>
      <c r="P411" s="303"/>
      <c r="Q411" s="303"/>
      <c r="R411" s="303"/>
      <c r="S411" s="303"/>
      <c r="T411" s="386"/>
      <c r="U411" s="141"/>
      <c r="V411" s="141"/>
      <c r="W411" s="384"/>
      <c r="X411" s="303"/>
      <c r="Y411" s="367"/>
      <c r="Z411" s="367"/>
      <c r="AA411" s="367"/>
    </row>
    <row r="412" spans="1:30" s="266" customFormat="1">
      <c r="A412" s="360"/>
      <c r="B412" s="1163"/>
      <c r="C412" s="1164"/>
      <c r="D412" s="1164"/>
      <c r="E412" s="1165"/>
      <c r="F412" s="1162"/>
      <c r="G412" s="1162"/>
      <c r="H412" s="1162"/>
      <c r="I412" s="228"/>
      <c r="J412" s="228"/>
      <c r="K412" s="228"/>
      <c r="L412" s="228"/>
      <c r="M412" s="228"/>
      <c r="N412" s="18"/>
      <c r="O412" s="303"/>
      <c r="P412" s="303"/>
      <c r="Q412" s="303"/>
      <c r="R412" s="303"/>
      <c r="S412" s="303"/>
      <c r="T412" s="386"/>
      <c r="U412" s="141"/>
      <c r="V412" s="141"/>
      <c r="W412" s="384"/>
      <c r="X412" s="303"/>
      <c r="Y412" s="367"/>
      <c r="Z412" s="367"/>
      <c r="AA412" s="367"/>
    </row>
    <row r="413" spans="1:30" s="266" customFormat="1">
      <c r="A413" s="360"/>
      <c r="B413" s="1163"/>
      <c r="C413" s="1164"/>
      <c r="D413" s="1164"/>
      <c r="E413" s="1165"/>
      <c r="F413" s="1162"/>
      <c r="G413" s="1162"/>
      <c r="H413" s="1162"/>
      <c r="I413" s="228"/>
      <c r="J413" s="228"/>
      <c r="K413" s="228"/>
      <c r="L413" s="228"/>
      <c r="M413" s="228"/>
      <c r="N413" s="18"/>
      <c r="O413" s="303"/>
      <c r="P413" s="303"/>
      <c r="Q413" s="303"/>
      <c r="R413" s="303"/>
      <c r="S413" s="303"/>
      <c r="T413" s="386"/>
      <c r="U413" s="141"/>
      <c r="V413" s="141"/>
      <c r="W413" s="141"/>
      <c r="X413" s="303"/>
      <c r="Y413" s="367"/>
      <c r="Z413" s="367"/>
      <c r="AA413" s="367"/>
    </row>
    <row r="414" spans="1:30" s="266" customFormat="1">
      <c r="A414" s="360"/>
      <c r="B414" s="1163"/>
      <c r="C414" s="1164"/>
      <c r="D414" s="1164"/>
      <c r="E414" s="1165"/>
      <c r="F414" s="1162"/>
      <c r="G414" s="1162"/>
      <c r="H414" s="1162"/>
      <c r="I414" s="228"/>
      <c r="J414" s="228"/>
      <c r="K414" s="228"/>
      <c r="L414" s="228"/>
      <c r="M414" s="228"/>
      <c r="N414" s="18"/>
      <c r="O414" s="303"/>
      <c r="P414" s="303"/>
      <c r="Q414" s="303"/>
      <c r="R414" s="303"/>
      <c r="S414" s="303"/>
      <c r="T414" s="386"/>
      <c r="U414" s="141"/>
      <c r="V414" s="141"/>
      <c r="W414" s="141"/>
      <c r="X414" s="303"/>
      <c r="Y414" s="367"/>
      <c r="Z414" s="367"/>
      <c r="AA414" s="367"/>
    </row>
    <row r="415" spans="1:30" s="266" customFormat="1" ht="15.75" thickBot="1">
      <c r="A415" s="360"/>
      <c r="B415" s="1160"/>
      <c r="C415" s="1055"/>
      <c r="D415" s="1055"/>
      <c r="E415" s="1161"/>
      <c r="F415" s="1162"/>
      <c r="G415" s="1162"/>
      <c r="H415" s="1162"/>
      <c r="I415" s="261"/>
      <c r="J415" s="261"/>
      <c r="K415" s="261"/>
      <c r="L415" s="261"/>
      <c r="M415" s="261"/>
      <c r="N415" s="18"/>
      <c r="O415" s="303"/>
      <c r="P415" s="303"/>
      <c r="Q415" s="303"/>
      <c r="R415" s="303"/>
      <c r="S415" s="303"/>
      <c r="T415" s="386"/>
      <c r="U415" s="141"/>
      <c r="V415" s="141"/>
      <c r="W415" s="141"/>
      <c r="X415" s="303"/>
      <c r="Y415" s="367"/>
      <c r="Z415" s="367"/>
      <c r="AA415" s="367"/>
    </row>
    <row r="416" spans="1:30" s="266" customFormat="1">
      <c r="A416" s="360"/>
      <c r="B416" s="340"/>
      <c r="C416" s="18"/>
      <c r="D416" s="18"/>
      <c r="E416" s="18"/>
      <c r="F416" s="18"/>
      <c r="G416" s="356"/>
      <c r="H416" s="18"/>
      <c r="I416" s="18"/>
      <c r="J416" s="18"/>
      <c r="K416" s="18"/>
      <c r="L416" s="18"/>
      <c r="M416" s="18"/>
      <c r="N416" s="18"/>
      <c r="O416" s="18"/>
      <c r="P416" s="18"/>
      <c r="Q416" s="18"/>
      <c r="R416" s="303"/>
      <c r="S416" s="303"/>
      <c r="T416" s="303"/>
      <c r="U416" s="303"/>
      <c r="V416" s="303"/>
      <c r="W416" s="386"/>
      <c r="X416" s="141"/>
      <c r="Y416" s="141"/>
      <c r="Z416" s="141"/>
      <c r="AA416" s="303"/>
      <c r="AB416" s="367"/>
      <c r="AC416" s="367"/>
      <c r="AD416" s="367"/>
    </row>
    <row r="417" spans="1:33" s="266" customFormat="1">
      <c r="A417" s="210"/>
      <c r="B417" s="301"/>
      <c r="C417" s="18"/>
      <c r="D417" s="18"/>
      <c r="E417" s="18"/>
      <c r="F417" s="18"/>
      <c r="G417" s="356"/>
      <c r="H417" s="18"/>
      <c r="I417" s="18"/>
      <c r="J417" s="18"/>
      <c r="K417" s="18"/>
      <c r="L417" s="18"/>
      <c r="M417" s="18"/>
      <c r="N417" s="18"/>
      <c r="O417" s="18"/>
      <c r="P417" s="18"/>
      <c r="Q417" s="18"/>
      <c r="R417" s="367"/>
      <c r="S417" s="367"/>
      <c r="T417" s="367"/>
      <c r="U417" s="367"/>
      <c r="V417" s="367"/>
      <c r="W417" s="368"/>
      <c r="X417" s="141"/>
      <c r="Y417" s="141"/>
      <c r="Z417" s="141"/>
      <c r="AA417" s="250"/>
      <c r="AB417" s="367"/>
      <c r="AC417" s="367"/>
      <c r="AD417" s="367"/>
    </row>
    <row r="418" spans="1:33">
      <c r="A418" s="18"/>
      <c r="AE418" s="18"/>
      <c r="AF418" s="357"/>
      <c r="AG418" s="359"/>
    </row>
    <row r="419" spans="1:33">
      <c r="A419" s="18"/>
      <c r="AE419" s="18"/>
      <c r="AF419" s="357"/>
      <c r="AG419" s="359"/>
    </row>
    <row r="420" spans="1:33">
      <c r="A420" s="18"/>
      <c r="AE420" s="18"/>
      <c r="AF420" s="357"/>
      <c r="AG420" s="359"/>
    </row>
    <row r="421" spans="1:33">
      <c r="AE421" s="18"/>
      <c r="AF421" s="357"/>
      <c r="AG421" s="359"/>
    </row>
  </sheetData>
  <sheetProtection formatCells="0" formatColumns="0" formatRows="0"/>
  <customSheetViews>
    <customSheetView guid="{B6007CFB-3D06-43CC-8EB0-042D40129E35}" scale="80" showPageBreaks="1" showGridLines="0" printArea="1" hiddenRows="1">
      <selection activeCell="O203" sqref="O203"/>
      <rowBreaks count="5" manualBreakCount="5">
        <brk id="44" max="16383" man="1"/>
        <brk id="787" max="28" man="1"/>
        <brk id="856" max="28" man="1"/>
        <brk id="916" max="16383" man="1"/>
        <brk id="952" max="28" man="1"/>
      </rowBreaks>
      <pageMargins left="0" right="0" top="0.74803149606299213" bottom="0" header="0.31496062992125984" footer="0.31496062992125984"/>
      <pageSetup paperSize="9" scale="49" orientation="landscape" r:id="rId1"/>
    </customSheetView>
  </customSheetViews>
  <mergeCells count="586">
    <mergeCell ref="I372:O372"/>
    <mergeCell ref="P372:Q372"/>
    <mergeCell ref="P359:Q359"/>
    <mergeCell ref="P363:Q363"/>
    <mergeCell ref="P368:Q368"/>
    <mergeCell ref="F370:G370"/>
    <mergeCell ref="F371:G371"/>
    <mergeCell ref="F372:G372"/>
    <mergeCell ref="B312:Q312"/>
    <mergeCell ref="B316:Q316"/>
    <mergeCell ref="B318:C318"/>
    <mergeCell ref="D318:H318"/>
    <mergeCell ref="I318:Q318"/>
    <mergeCell ref="B319:C319"/>
    <mergeCell ref="D319:H319"/>
    <mergeCell ref="I319:Q319"/>
    <mergeCell ref="B320:C320"/>
    <mergeCell ref="B336:C336"/>
    <mergeCell ref="B321:C321"/>
    <mergeCell ref="B322:C322"/>
    <mergeCell ref="B323:C323"/>
    <mergeCell ref="B324:C324"/>
    <mergeCell ref="B325:C325"/>
    <mergeCell ref="B326:C326"/>
    <mergeCell ref="I368:O368"/>
    <mergeCell ref="P370:Q370"/>
    <mergeCell ref="I371:O371"/>
    <mergeCell ref="P371:Q371"/>
    <mergeCell ref="D336:H336"/>
    <mergeCell ref="D321:H321"/>
    <mergeCell ref="I321:Q321"/>
    <mergeCell ref="D322:H322"/>
    <mergeCell ref="I322:Q322"/>
    <mergeCell ref="D323:H323"/>
    <mergeCell ref="I323:Q323"/>
    <mergeCell ref="D324:H324"/>
    <mergeCell ref="I324:Q324"/>
    <mergeCell ref="D325:H325"/>
    <mergeCell ref="I325:Q325"/>
    <mergeCell ref="D326:H326"/>
    <mergeCell ref="I367:O367"/>
    <mergeCell ref="F369:G369"/>
    <mergeCell ref="I369:O369"/>
    <mergeCell ref="I331:Q331"/>
    <mergeCell ref="F365:G365"/>
    <mergeCell ref="F361:G361"/>
    <mergeCell ref="I361:O361"/>
    <mergeCell ref="F364:G364"/>
    <mergeCell ref="D8:E8"/>
    <mergeCell ref="F8:H8"/>
    <mergeCell ref="I8:N8"/>
    <mergeCell ref="D9:E9"/>
    <mergeCell ref="B55:G55"/>
    <mergeCell ref="H44:Q44"/>
    <mergeCell ref="B53:G53"/>
    <mergeCell ref="B54:G54"/>
    <mergeCell ref="H51:Q51"/>
    <mergeCell ref="F9:H9"/>
    <mergeCell ref="I9:N9"/>
    <mergeCell ref="D10:E10"/>
    <mergeCell ref="F10:H10"/>
    <mergeCell ref="I10:N10"/>
    <mergeCell ref="D11:E11"/>
    <mergeCell ref="F11:H11"/>
    <mergeCell ref="I11:N11"/>
    <mergeCell ref="D12:E12"/>
    <mergeCell ref="F12:H12"/>
    <mergeCell ref="I12:N12"/>
    <mergeCell ref="D13:E13"/>
    <mergeCell ref="F13:H13"/>
    <mergeCell ref="I13:N13"/>
    <mergeCell ref="H47:Q47"/>
    <mergeCell ref="D5:E5"/>
    <mergeCell ref="F5:H5"/>
    <mergeCell ref="I5:N5"/>
    <mergeCell ref="D6:E6"/>
    <mergeCell ref="F6:H6"/>
    <mergeCell ref="I6:N6"/>
    <mergeCell ref="D7:E7"/>
    <mergeCell ref="F7:H7"/>
    <mergeCell ref="I7:N7"/>
    <mergeCell ref="B44:G44"/>
    <mergeCell ref="B45:G45"/>
    <mergeCell ref="B46:G46"/>
    <mergeCell ref="B47:G47"/>
    <mergeCell ref="D21:E21"/>
    <mergeCell ref="F21:H21"/>
    <mergeCell ref="I21:N21"/>
    <mergeCell ref="D22:E22"/>
    <mergeCell ref="F22:H22"/>
    <mergeCell ref="H45:Q45"/>
    <mergeCell ref="H46:Q46"/>
    <mergeCell ref="I22:N22"/>
    <mergeCell ref="B58:G58"/>
    <mergeCell ref="B59:G59"/>
    <mergeCell ref="H62:Q62"/>
    <mergeCell ref="B64:G64"/>
    <mergeCell ref="B75:G75"/>
    <mergeCell ref="H104:I104"/>
    <mergeCell ref="B80:Q80"/>
    <mergeCell ref="H90:I90"/>
    <mergeCell ref="H91:I91"/>
    <mergeCell ref="H69:Q69"/>
    <mergeCell ref="B70:G70"/>
    <mergeCell ref="B73:G73"/>
    <mergeCell ref="H73:Q73"/>
    <mergeCell ref="B74:G74"/>
    <mergeCell ref="H74:Q74"/>
    <mergeCell ref="H75:Q75"/>
    <mergeCell ref="B88:Q88"/>
    <mergeCell ref="H72:Q72"/>
    <mergeCell ref="H61:Q61"/>
    <mergeCell ref="H92:I92"/>
    <mergeCell ref="H93:I93"/>
    <mergeCell ref="H94:I94"/>
    <mergeCell ref="H95:I95"/>
    <mergeCell ref="H96:I96"/>
    <mergeCell ref="B51:G51"/>
    <mergeCell ref="B52:G52"/>
    <mergeCell ref="B62:G62"/>
    <mergeCell ref="H52:Q52"/>
    <mergeCell ref="R67:S67"/>
    <mergeCell ref="R68:S68"/>
    <mergeCell ref="R69:S69"/>
    <mergeCell ref="R70:S70"/>
    <mergeCell ref="R71:S71"/>
    <mergeCell ref="H64:Q64"/>
    <mergeCell ref="R61:S61"/>
    <mergeCell ref="R62:S62"/>
    <mergeCell ref="R63:S63"/>
    <mergeCell ref="R64:S64"/>
    <mergeCell ref="H53:Q53"/>
    <mergeCell ref="H54:Q54"/>
    <mergeCell ref="H55:Q55"/>
    <mergeCell ref="B63:G63"/>
    <mergeCell ref="H63:Q63"/>
    <mergeCell ref="H70:Q70"/>
    <mergeCell ref="B71:G71"/>
    <mergeCell ref="H71:Q71"/>
    <mergeCell ref="B56:G56"/>
    <mergeCell ref="B57:G57"/>
    <mergeCell ref="H59:Q59"/>
    <mergeCell ref="B328:C328"/>
    <mergeCell ref="D328:H328"/>
    <mergeCell ref="I328:Q328"/>
    <mergeCell ref="D320:H320"/>
    <mergeCell ref="I320:Q320"/>
    <mergeCell ref="H122:I122"/>
    <mergeCell ref="H123:I123"/>
    <mergeCell ref="H124:I124"/>
    <mergeCell ref="H125:I125"/>
    <mergeCell ref="H126:I126"/>
    <mergeCell ref="H132:I132"/>
    <mergeCell ref="H134:I134"/>
    <mergeCell ref="H135:I135"/>
    <mergeCell ref="H136:I136"/>
    <mergeCell ref="H137:I137"/>
    <mergeCell ref="H127:I127"/>
    <mergeCell ref="H128:I128"/>
    <mergeCell ref="H110:I110"/>
    <mergeCell ref="H105:I105"/>
    <mergeCell ref="H106:I106"/>
    <mergeCell ref="H99:I99"/>
    <mergeCell ref="H100:I100"/>
    <mergeCell ref="H101:I101"/>
    <mergeCell ref="R73:S73"/>
    <mergeCell ref="R74:S74"/>
    <mergeCell ref="R75:S75"/>
    <mergeCell ref="R76:S76"/>
    <mergeCell ref="H107:I107"/>
    <mergeCell ref="H108:I108"/>
    <mergeCell ref="H109:I109"/>
    <mergeCell ref="H121:I121"/>
    <mergeCell ref="B327:C327"/>
    <mergeCell ref="D327:H327"/>
    <mergeCell ref="H102:I102"/>
    <mergeCell ref="H103:I103"/>
    <mergeCell ref="R65:S65"/>
    <mergeCell ref="R66:S66"/>
    <mergeCell ref="B65:G65"/>
    <mergeCell ref="H65:Q65"/>
    <mergeCell ref="B66:G66"/>
    <mergeCell ref="B72:G72"/>
    <mergeCell ref="H66:Q66"/>
    <mergeCell ref="B67:G67"/>
    <mergeCell ref="H67:Q67"/>
    <mergeCell ref="B68:G68"/>
    <mergeCell ref="H68:Q68"/>
    <mergeCell ref="B69:G69"/>
    <mergeCell ref="R72:S72"/>
    <mergeCell ref="B332:C332"/>
    <mergeCell ref="D332:H332"/>
    <mergeCell ref="I332:Q332"/>
    <mergeCell ref="B333:C333"/>
    <mergeCell ref="D333:H333"/>
    <mergeCell ref="I333:Q333"/>
    <mergeCell ref="B334:C334"/>
    <mergeCell ref="D334:H334"/>
    <mergeCell ref="I334:Q334"/>
    <mergeCell ref="B390:D390"/>
    <mergeCell ref="B394:Q394"/>
    <mergeCell ref="B402:E402"/>
    <mergeCell ref="B403:E403"/>
    <mergeCell ref="B404:E404"/>
    <mergeCell ref="B405:E405"/>
    <mergeCell ref="B406:E406"/>
    <mergeCell ref="F414:H414"/>
    <mergeCell ref="B414:E414"/>
    <mergeCell ref="F407:H407"/>
    <mergeCell ref="B407:E407"/>
    <mergeCell ref="B401:E401"/>
    <mergeCell ref="B400:E400"/>
    <mergeCell ref="F399:H399"/>
    <mergeCell ref="B399:E399"/>
    <mergeCell ref="F398:H398"/>
    <mergeCell ref="B398:E398"/>
    <mergeCell ref="B391:D391"/>
    <mergeCell ref="B392:D392"/>
    <mergeCell ref="B415:E415"/>
    <mergeCell ref="F415:H415"/>
    <mergeCell ref="B408:E408"/>
    <mergeCell ref="F408:H408"/>
    <mergeCell ref="B409:E409"/>
    <mergeCell ref="F409:H409"/>
    <mergeCell ref="B410:E410"/>
    <mergeCell ref="F410:H410"/>
    <mergeCell ref="B411:E411"/>
    <mergeCell ref="F411:H411"/>
    <mergeCell ref="B412:E412"/>
    <mergeCell ref="F412:H412"/>
    <mergeCell ref="B413:E413"/>
    <mergeCell ref="F413:H413"/>
    <mergeCell ref="B383:D383"/>
    <mergeCell ref="B384:D384"/>
    <mergeCell ref="B387:D387"/>
    <mergeCell ref="B388:D388"/>
    <mergeCell ref="B389:D389"/>
    <mergeCell ref="B358:E358"/>
    <mergeCell ref="F358:G358"/>
    <mergeCell ref="D348:H348"/>
    <mergeCell ref="I336:Q336"/>
    <mergeCell ref="B342:C342"/>
    <mergeCell ref="D342:H342"/>
    <mergeCell ref="I342:Q342"/>
    <mergeCell ref="I373:O373"/>
    <mergeCell ref="P373:Q373"/>
    <mergeCell ref="I374:O374"/>
    <mergeCell ref="P374:Q374"/>
    <mergeCell ref="I375:O375"/>
    <mergeCell ref="P375:Q375"/>
    <mergeCell ref="I376:O376"/>
    <mergeCell ref="P376:Q376"/>
    <mergeCell ref="B362:E362"/>
    <mergeCell ref="B364:E364"/>
    <mergeCell ref="B365:E365"/>
    <mergeCell ref="B366:E366"/>
    <mergeCell ref="F362:G362"/>
    <mergeCell ref="I362:O362"/>
    <mergeCell ref="P362:Q362"/>
    <mergeCell ref="B357:E357"/>
    <mergeCell ref="F357:G357"/>
    <mergeCell ref="I357:O357"/>
    <mergeCell ref="P357:Q357"/>
    <mergeCell ref="P355:Q355"/>
    <mergeCell ref="B356:E356"/>
    <mergeCell ref="F356:G356"/>
    <mergeCell ref="I356:O356"/>
    <mergeCell ref="P356:Q356"/>
    <mergeCell ref="D17:E17"/>
    <mergeCell ref="F17:H17"/>
    <mergeCell ref="I17:N17"/>
    <mergeCell ref="D346:H346"/>
    <mergeCell ref="I346:Q346"/>
    <mergeCell ref="B347:C347"/>
    <mergeCell ref="D347:H347"/>
    <mergeCell ref="I347:Q347"/>
    <mergeCell ref="B337:C337"/>
    <mergeCell ref="D337:H337"/>
    <mergeCell ref="I337:Q337"/>
    <mergeCell ref="B338:C338"/>
    <mergeCell ref="D338:H338"/>
    <mergeCell ref="I338:Q338"/>
    <mergeCell ref="B339:C339"/>
    <mergeCell ref="D339:H339"/>
    <mergeCell ref="I339:Q339"/>
    <mergeCell ref="B340:C340"/>
    <mergeCell ref="D340:H340"/>
    <mergeCell ref="I340:Q340"/>
    <mergeCell ref="B341:C341"/>
    <mergeCell ref="D18:E18"/>
    <mergeCell ref="F18:H18"/>
    <mergeCell ref="I18:N18"/>
    <mergeCell ref="D14:E14"/>
    <mergeCell ref="F14:H14"/>
    <mergeCell ref="I14:N14"/>
    <mergeCell ref="D15:E15"/>
    <mergeCell ref="F15:H15"/>
    <mergeCell ref="I15:N15"/>
    <mergeCell ref="D16:E16"/>
    <mergeCell ref="F16:H16"/>
    <mergeCell ref="I16:N16"/>
    <mergeCell ref="D19:E19"/>
    <mergeCell ref="F19:H19"/>
    <mergeCell ref="I19:N19"/>
    <mergeCell ref="D20:E20"/>
    <mergeCell ref="F20:H20"/>
    <mergeCell ref="I20:N20"/>
    <mergeCell ref="B24:N24"/>
    <mergeCell ref="B32:N32"/>
    <mergeCell ref="I327:Q327"/>
    <mergeCell ref="B48:G48"/>
    <mergeCell ref="B49:G49"/>
    <mergeCell ref="B50:G50"/>
    <mergeCell ref="B61:G61"/>
    <mergeCell ref="H116:I116"/>
    <mergeCell ref="H117:I117"/>
    <mergeCell ref="H118:I118"/>
    <mergeCell ref="H119:I119"/>
    <mergeCell ref="H120:I120"/>
    <mergeCell ref="H56:Q56"/>
    <mergeCell ref="H48:Q48"/>
    <mergeCell ref="H49:Q49"/>
    <mergeCell ref="H50:Q50"/>
    <mergeCell ref="H57:Q57"/>
    <mergeCell ref="H58:Q58"/>
    <mergeCell ref="I366:O366"/>
    <mergeCell ref="F367:G367"/>
    <mergeCell ref="I348:Q348"/>
    <mergeCell ref="B367:E367"/>
    <mergeCell ref="P365:Q365"/>
    <mergeCell ref="P366:Q366"/>
    <mergeCell ref="P367:Q367"/>
    <mergeCell ref="I365:O365"/>
    <mergeCell ref="F366:G366"/>
    <mergeCell ref="I364:O364"/>
    <mergeCell ref="P364:Q364"/>
    <mergeCell ref="B359:E359"/>
    <mergeCell ref="F359:G359"/>
    <mergeCell ref="I359:O359"/>
    <mergeCell ref="B363:E363"/>
    <mergeCell ref="F354:G354"/>
    <mergeCell ref="I354:O354"/>
    <mergeCell ref="P354:Q354"/>
    <mergeCell ref="B355:E355"/>
    <mergeCell ref="F355:G355"/>
    <mergeCell ref="I355:O355"/>
    <mergeCell ref="F363:G363"/>
    <mergeCell ref="I363:O363"/>
    <mergeCell ref="P361:Q361"/>
    <mergeCell ref="D329:H329"/>
    <mergeCell ref="I329:Q329"/>
    <mergeCell ref="I326:Q326"/>
    <mergeCell ref="B76:G76"/>
    <mergeCell ref="H76:Q76"/>
    <mergeCell ref="H97:I97"/>
    <mergeCell ref="H98:I98"/>
    <mergeCell ref="H112:I112"/>
    <mergeCell ref="H113:I113"/>
    <mergeCell ref="H114:I114"/>
    <mergeCell ref="H115:I115"/>
    <mergeCell ref="B329:C329"/>
    <mergeCell ref="P369:Q369"/>
    <mergeCell ref="B385:D385"/>
    <mergeCell ref="B386:D386"/>
    <mergeCell ref="P358:Q358"/>
    <mergeCell ref="B360:E360"/>
    <mergeCell ref="F360:G360"/>
    <mergeCell ref="I360:O360"/>
    <mergeCell ref="P360:Q360"/>
    <mergeCell ref="B361:E361"/>
    <mergeCell ref="I358:O358"/>
    <mergeCell ref="I370:O370"/>
    <mergeCell ref="F368:G368"/>
    <mergeCell ref="B375:E375"/>
    <mergeCell ref="F375:G375"/>
    <mergeCell ref="B376:E376"/>
    <mergeCell ref="F376:G376"/>
    <mergeCell ref="B369:E369"/>
    <mergeCell ref="B370:E370"/>
    <mergeCell ref="B371:E371"/>
    <mergeCell ref="B372:E372"/>
    <mergeCell ref="B373:E373"/>
    <mergeCell ref="F373:G373"/>
    <mergeCell ref="B374:E374"/>
    <mergeCell ref="F374:G374"/>
    <mergeCell ref="I352:Q352"/>
    <mergeCell ref="B354:E354"/>
    <mergeCell ref="D341:H341"/>
    <mergeCell ref="I341:Q341"/>
    <mergeCell ref="B330:C330"/>
    <mergeCell ref="D330:H330"/>
    <mergeCell ref="I330:Q330"/>
    <mergeCell ref="B331:C331"/>
    <mergeCell ref="D331:H331"/>
    <mergeCell ref="B335:C335"/>
    <mergeCell ref="D335:H335"/>
    <mergeCell ref="I335:Q335"/>
    <mergeCell ref="B346:C346"/>
    <mergeCell ref="B348:C348"/>
    <mergeCell ref="B352:G352"/>
    <mergeCell ref="B343:C343"/>
    <mergeCell ref="D343:H343"/>
    <mergeCell ref="I343:Q343"/>
    <mergeCell ref="B344:C344"/>
    <mergeCell ref="D344:H344"/>
    <mergeCell ref="I344:Q344"/>
    <mergeCell ref="B345:C345"/>
    <mergeCell ref="D345:H345"/>
    <mergeCell ref="I345:Q345"/>
    <mergeCell ref="H129:I129"/>
    <mergeCell ref="H130:I130"/>
    <mergeCell ref="H131:I131"/>
    <mergeCell ref="H143:I143"/>
    <mergeCell ref="H144:I144"/>
    <mergeCell ref="H145:I145"/>
    <mergeCell ref="H146:I146"/>
    <mergeCell ref="H147:I147"/>
    <mergeCell ref="H138:I138"/>
    <mergeCell ref="H139:I139"/>
    <mergeCell ref="H140:I140"/>
    <mergeCell ref="H141:I141"/>
    <mergeCell ref="H142:I142"/>
    <mergeCell ref="H153:I153"/>
    <mergeCell ref="H154:I154"/>
    <mergeCell ref="H156:I156"/>
    <mergeCell ref="H157:I157"/>
    <mergeCell ref="H158:I158"/>
    <mergeCell ref="H148:I148"/>
    <mergeCell ref="H149:I149"/>
    <mergeCell ref="H150:I150"/>
    <mergeCell ref="H151:I151"/>
    <mergeCell ref="H152:I152"/>
    <mergeCell ref="H164:I164"/>
    <mergeCell ref="H165:I165"/>
    <mergeCell ref="H166:I166"/>
    <mergeCell ref="H167:I167"/>
    <mergeCell ref="H168:I168"/>
    <mergeCell ref="H159:I159"/>
    <mergeCell ref="H160:I160"/>
    <mergeCell ref="H161:I161"/>
    <mergeCell ref="H162:I162"/>
    <mergeCell ref="H163:I163"/>
    <mergeCell ref="H174:I174"/>
    <mergeCell ref="H175:I175"/>
    <mergeCell ref="H176:I176"/>
    <mergeCell ref="H178:I178"/>
    <mergeCell ref="H179:I179"/>
    <mergeCell ref="H169:I169"/>
    <mergeCell ref="H170:I170"/>
    <mergeCell ref="H171:I171"/>
    <mergeCell ref="H172:I172"/>
    <mergeCell ref="H173:I173"/>
    <mergeCell ref="H185:I185"/>
    <mergeCell ref="H186:I186"/>
    <mergeCell ref="H187:I187"/>
    <mergeCell ref="H188:I188"/>
    <mergeCell ref="H189:I189"/>
    <mergeCell ref="H180:I180"/>
    <mergeCell ref="H181:I181"/>
    <mergeCell ref="H182:I182"/>
    <mergeCell ref="H183:I183"/>
    <mergeCell ref="H184:I184"/>
    <mergeCell ref="H195:I195"/>
    <mergeCell ref="H196:I196"/>
    <mergeCell ref="H197:I197"/>
    <mergeCell ref="H198:I198"/>
    <mergeCell ref="H200:I200"/>
    <mergeCell ref="H190:I190"/>
    <mergeCell ref="H191:I191"/>
    <mergeCell ref="H192:I192"/>
    <mergeCell ref="H193:I193"/>
    <mergeCell ref="H194:I194"/>
    <mergeCell ref="H206:I206"/>
    <mergeCell ref="H207:I207"/>
    <mergeCell ref="H208:I208"/>
    <mergeCell ref="H209:I209"/>
    <mergeCell ref="H210:I210"/>
    <mergeCell ref="H201:I201"/>
    <mergeCell ref="H202:I202"/>
    <mergeCell ref="H203:I203"/>
    <mergeCell ref="H204:I204"/>
    <mergeCell ref="H205:I205"/>
    <mergeCell ref="H216:I216"/>
    <mergeCell ref="H217:I217"/>
    <mergeCell ref="H218:I218"/>
    <mergeCell ref="H219:I219"/>
    <mergeCell ref="H220:I220"/>
    <mergeCell ref="H211:I211"/>
    <mergeCell ref="H212:I212"/>
    <mergeCell ref="H213:I213"/>
    <mergeCell ref="H214:I214"/>
    <mergeCell ref="H215:I215"/>
    <mergeCell ref="H227:I227"/>
    <mergeCell ref="H228:I228"/>
    <mergeCell ref="H229:I229"/>
    <mergeCell ref="H230:I230"/>
    <mergeCell ref="H231:I231"/>
    <mergeCell ref="H222:I222"/>
    <mergeCell ref="H223:I223"/>
    <mergeCell ref="H224:I224"/>
    <mergeCell ref="H225:I225"/>
    <mergeCell ref="H226:I226"/>
    <mergeCell ref="H237:I237"/>
    <mergeCell ref="H238:I238"/>
    <mergeCell ref="H239:I239"/>
    <mergeCell ref="H240:I240"/>
    <mergeCell ref="H241:I241"/>
    <mergeCell ref="H232:I232"/>
    <mergeCell ref="H233:I233"/>
    <mergeCell ref="H234:I234"/>
    <mergeCell ref="H235:I235"/>
    <mergeCell ref="H236:I236"/>
    <mergeCell ref="H248:I248"/>
    <mergeCell ref="H249:I249"/>
    <mergeCell ref="H250:I250"/>
    <mergeCell ref="H251:I251"/>
    <mergeCell ref="H252:I252"/>
    <mergeCell ref="H242:I242"/>
    <mergeCell ref="H244:I244"/>
    <mergeCell ref="H245:I245"/>
    <mergeCell ref="H246:I246"/>
    <mergeCell ref="H247:I247"/>
    <mergeCell ref="H258:I258"/>
    <mergeCell ref="H259:I259"/>
    <mergeCell ref="H260:I260"/>
    <mergeCell ref="H261:I261"/>
    <mergeCell ref="H262:I262"/>
    <mergeCell ref="H253:I253"/>
    <mergeCell ref="H254:I254"/>
    <mergeCell ref="H255:I255"/>
    <mergeCell ref="H256:I256"/>
    <mergeCell ref="H257:I257"/>
    <mergeCell ref="H269:I269"/>
    <mergeCell ref="H270:I270"/>
    <mergeCell ref="H271:I271"/>
    <mergeCell ref="H272:I272"/>
    <mergeCell ref="H273:I273"/>
    <mergeCell ref="H263:I263"/>
    <mergeCell ref="H264:I264"/>
    <mergeCell ref="H266:I266"/>
    <mergeCell ref="H267:I267"/>
    <mergeCell ref="H268:I268"/>
    <mergeCell ref="H279:I279"/>
    <mergeCell ref="H280:I280"/>
    <mergeCell ref="H281:I281"/>
    <mergeCell ref="H282:I282"/>
    <mergeCell ref="H283:I283"/>
    <mergeCell ref="H274:I274"/>
    <mergeCell ref="H275:I275"/>
    <mergeCell ref="H276:I276"/>
    <mergeCell ref="H277:I277"/>
    <mergeCell ref="H278:I278"/>
    <mergeCell ref="H290:I290"/>
    <mergeCell ref="H291:I291"/>
    <mergeCell ref="H292:I292"/>
    <mergeCell ref="H293:I293"/>
    <mergeCell ref="H294:I294"/>
    <mergeCell ref="H284:I284"/>
    <mergeCell ref="H285:I285"/>
    <mergeCell ref="H286:I286"/>
    <mergeCell ref="H288:I288"/>
    <mergeCell ref="H289:I289"/>
    <mergeCell ref="H305:I305"/>
    <mergeCell ref="H306:I306"/>
    <mergeCell ref="H307:I307"/>
    <mergeCell ref="H308:I308"/>
    <mergeCell ref="B91:B110"/>
    <mergeCell ref="B289:B308"/>
    <mergeCell ref="B267:B286"/>
    <mergeCell ref="B245:B264"/>
    <mergeCell ref="B223:B242"/>
    <mergeCell ref="B201:B220"/>
    <mergeCell ref="B179:B198"/>
    <mergeCell ref="B157:B176"/>
    <mergeCell ref="B135:B154"/>
    <mergeCell ref="B113:B132"/>
    <mergeCell ref="H300:I300"/>
    <mergeCell ref="H301:I301"/>
    <mergeCell ref="H302:I302"/>
    <mergeCell ref="H303:I303"/>
    <mergeCell ref="H304:I304"/>
    <mergeCell ref="H295:I295"/>
    <mergeCell ref="H296:I296"/>
    <mergeCell ref="H297:I297"/>
    <mergeCell ref="H298:I298"/>
    <mergeCell ref="H299:I299"/>
  </mergeCells>
  <dataValidations count="6">
    <dataValidation type="list" allowBlank="1" showInputMessage="1" showErrorMessage="1" sqref="T416:V416 T378:V392 T355:V375 Q398:S405 T394:V397 Q408:S415">
      <formula1>DeferredPost88GMP</formula1>
    </dataValidation>
    <dataValidation type="list" allowBlank="1" showInputMessage="1" showErrorMessage="1" sqref="R416:S416 R378:S392 R355:S375 O398:P405 R394:S397 O408:P415">
      <formula1>DeferredPre88GMP</formula1>
    </dataValidation>
    <dataValidation type="list" allowBlank="1" showInputMessage="1" showErrorMessage="1" sqref="B399:B415">
      <formula1>AllDeferredElements</formula1>
    </dataValidation>
    <dataValidation type="list" allowBlank="1" showInputMessage="1" showErrorMessage="1" sqref="B319:C348">
      <formula1>"Validation, Error, Warning"</formula1>
    </dataValidation>
    <dataValidation type="list" allowBlank="1" showInputMessage="1" showErrorMessage="1" sqref="R62:R76">
      <formula1>"Error, Warning"</formula1>
    </dataValidation>
    <dataValidation type="list" allowBlank="1" showInputMessage="1" showErrorMessage="1" sqref="D33:F33">
      <formula1>"Final aSlary, Money Purchase, Hybrid"</formula1>
    </dataValidation>
  </dataValidations>
  <hyperlinks>
    <hyperlink ref="B27" location="AD_Tranches" display="Tranches"/>
    <hyperlink ref="B28" location="AD_Errors_Warnings" display="Scheme Specific Validations, Errors &amp; Warnings"/>
    <hyperlink ref="B29" location="AD_Letters" display="Letters"/>
    <hyperlink ref="B30" location="AD_Writeback" display="Fields to be posted to the Database"/>
    <hyperlink ref="B33" location="Scheme_Categories" display="Scheme Categories"/>
    <hyperlink ref="B34" location="Contracted_Out" display="Contracted Out"/>
    <hyperlink ref="B35" location="NRA" display="NRA"/>
    <hyperlink ref="B36" location="Pensionable_Salary" display="Pensionable Salary "/>
    <hyperlink ref="B37" location="Career_Average_Revalued_Earnings__CARE" display="Career Average Revalued Earnings (CARE)"/>
    <hyperlink ref="B38" location="Final_Pensionable_Salary" display="Final Pensionable Salary "/>
    <hyperlink ref="B39" location="Pensionable_Service" display="Pensionable Service "/>
    <hyperlink ref="B40" location="Part_Time" display="Part Time"/>
    <hyperlink ref="G34" location="Historic_Benefits" display="Historic Benefits"/>
    <hyperlink ref="G35" location="Additional_Cash" display="Additional Cash"/>
    <hyperlink ref="G36" location="Spouse_Dependants_Benefits" display="Spouse/Dependants Benefits"/>
    <hyperlink ref="G37" location="Death_Lump_Sums" display="Death Lump Sums"/>
    <hyperlink ref="G38" location="Children_s_Benefits" display="Children's Benefits"/>
    <hyperlink ref="G39" location="Refund_of_Contribution_Calculations" display="Refund of Contribution Calculations"/>
    <hyperlink ref="G33" location="Revaluation" display="Revaluation"/>
    <hyperlink ref="B26" location="AD_Members_Pension" display="Members Pension"/>
    <hyperlink ref="B25" location="AD_Categories" display="Categories / Sections of Membership Covered"/>
  </hyperlinks>
  <pageMargins left="0" right="0" top="0.74803149606299213" bottom="0" header="0.31496062992125984" footer="0.31496062992125984"/>
  <pageSetup paperSize="9" scale="43" fitToHeight="3" orientation="portrait" r:id="rId2"/>
  <rowBreaks count="2" manualBreakCount="2">
    <brk id="81" max="19" man="1"/>
    <brk id="349" max="19" man="1"/>
  </rowBreaks>
  <legacyDrawing r:id="rId3"/>
</worksheet>
</file>

<file path=xl/worksheets/sheet6.xml><?xml version="1.0" encoding="utf-8"?>
<worksheet xmlns="http://schemas.openxmlformats.org/spreadsheetml/2006/main" xmlns:r="http://schemas.openxmlformats.org/officeDocument/2006/relationships">
  <sheetPr codeName="Sheet7"/>
  <dimension ref="A1:AL448"/>
  <sheetViews>
    <sheetView showGridLines="0" topLeftCell="A232" zoomScale="85" zoomScaleNormal="85" zoomScaleSheetLayoutView="80" workbookViewId="0">
      <selection activeCell="B86" sqref="B86:S86"/>
    </sheetView>
  </sheetViews>
  <sheetFormatPr defaultRowHeight="15"/>
  <cols>
    <col min="1" max="1" width="3.7109375" style="18" customWidth="1"/>
    <col min="2" max="2" width="26.42578125" style="18" customWidth="1"/>
    <col min="3" max="3" width="22.85546875" style="18" customWidth="1"/>
    <col min="4" max="4" width="10.7109375" style="18" customWidth="1"/>
    <col min="5" max="5" width="14" style="18" customWidth="1"/>
    <col min="6" max="6" width="10.7109375" style="18" customWidth="1"/>
    <col min="7" max="14" width="11.7109375" style="18" customWidth="1"/>
    <col min="15" max="15" width="16.7109375" style="18" customWidth="1"/>
    <col min="16" max="16" width="14.42578125" style="18" customWidth="1"/>
    <col min="17" max="17" width="19.28515625" style="18" customWidth="1"/>
    <col min="18" max="18" width="20" style="18" customWidth="1"/>
    <col min="19" max="19" width="16.140625" style="357" customWidth="1"/>
    <col min="20" max="20" width="14.5703125" style="357" customWidth="1"/>
    <col min="21" max="21" width="16.85546875" style="357" customWidth="1"/>
    <col min="22" max="24" width="15.5703125" style="357" customWidth="1"/>
    <col min="25" max="25" width="11.85546875" style="357" customWidth="1"/>
    <col min="26" max="26" width="12.85546875" style="357" customWidth="1"/>
    <col min="27" max="27" width="19.28515625" style="357" customWidth="1"/>
    <col min="28" max="28" width="9.140625" style="357"/>
    <col min="29" max="29" width="13.140625" style="357" customWidth="1"/>
    <col min="30" max="30" width="12" style="357" customWidth="1"/>
    <col min="31" max="32" width="8.7109375" style="18" customWidth="1"/>
    <col min="33" max="33" width="12.7109375" style="18" customWidth="1"/>
    <col min="34" max="34" width="17.28515625" style="18" customWidth="1"/>
    <col min="35" max="35" width="9.140625" style="357"/>
    <col min="36" max="16384" width="9.140625" style="18"/>
  </cols>
  <sheetData>
    <row r="1" spans="1:35" ht="18.75">
      <c r="A1" s="317"/>
      <c r="B1" s="204" t="s">
        <v>19</v>
      </c>
      <c r="C1" s="209"/>
    </row>
    <row r="2" spans="1:35" ht="18.75">
      <c r="A2" s="317"/>
      <c r="B2" s="204"/>
      <c r="C2" s="209"/>
    </row>
    <row r="3" spans="1:35" ht="15" customHeight="1">
      <c r="A3" s="317"/>
      <c r="B3" s="11" t="s">
        <v>121</v>
      </c>
      <c r="C3" s="209"/>
      <c r="G3" s="356"/>
    </row>
    <row r="4" spans="1:35" ht="15" customHeight="1" thickBot="1">
      <c r="A4" s="317"/>
      <c r="B4" s="204"/>
      <c r="C4" s="209"/>
      <c r="G4" s="356"/>
    </row>
    <row r="5" spans="1:35" ht="15" customHeight="1" thickBot="1">
      <c r="A5" s="317"/>
      <c r="B5" s="487" t="s">
        <v>94</v>
      </c>
      <c r="C5" s="488" t="s">
        <v>122</v>
      </c>
      <c r="D5" s="999" t="s">
        <v>163</v>
      </c>
      <c r="E5" s="999"/>
      <c r="F5" s="999" t="s">
        <v>123</v>
      </c>
      <c r="G5" s="999"/>
      <c r="H5" s="999"/>
      <c r="I5" s="1028" t="s">
        <v>738</v>
      </c>
      <c r="J5" s="1029"/>
      <c r="O5" s="357"/>
      <c r="P5" s="357"/>
      <c r="Q5" s="357"/>
      <c r="R5" s="357"/>
      <c r="AA5" s="18"/>
      <c r="AB5" s="18"/>
      <c r="AC5" s="18"/>
      <c r="AD5" s="18"/>
      <c r="AE5" s="357"/>
      <c r="AI5" s="18"/>
    </row>
    <row r="6" spans="1:35" ht="15" customHeight="1">
      <c r="A6" s="317"/>
      <c r="B6" s="489"/>
      <c r="C6" s="490"/>
      <c r="D6" s="1000"/>
      <c r="E6" s="1000"/>
      <c r="F6" s="1000"/>
      <c r="G6" s="1000"/>
      <c r="H6" s="1000"/>
      <c r="I6" s="997"/>
      <c r="J6" s="998"/>
      <c r="O6" s="357"/>
      <c r="P6" s="357"/>
      <c r="Q6" s="357"/>
      <c r="R6" s="357"/>
      <c r="AA6" s="18"/>
      <c r="AB6" s="18"/>
      <c r="AC6" s="18"/>
      <c r="AD6" s="18"/>
      <c r="AE6" s="357"/>
      <c r="AI6" s="18"/>
    </row>
    <row r="7" spans="1:35" ht="15" customHeight="1">
      <c r="A7" s="317"/>
      <c r="B7" s="491"/>
      <c r="C7" s="468"/>
      <c r="D7" s="1022"/>
      <c r="E7" s="1022"/>
      <c r="F7" s="1022"/>
      <c r="G7" s="1022"/>
      <c r="H7" s="1022"/>
      <c r="I7" s="1023"/>
      <c r="J7" s="1024"/>
      <c r="O7" s="357"/>
      <c r="P7" s="357"/>
      <c r="Q7" s="357"/>
      <c r="R7" s="357"/>
      <c r="AA7" s="18"/>
      <c r="AB7" s="18"/>
      <c r="AC7" s="18"/>
      <c r="AD7" s="18"/>
      <c r="AE7" s="357"/>
      <c r="AI7" s="18"/>
    </row>
    <row r="8" spans="1:35" ht="15" customHeight="1">
      <c r="A8" s="317"/>
      <c r="B8" s="491"/>
      <c r="C8" s="468"/>
      <c r="D8" s="1022"/>
      <c r="E8" s="1022"/>
      <c r="F8" s="1022"/>
      <c r="G8" s="1022"/>
      <c r="H8" s="1022"/>
      <c r="I8" s="1023"/>
      <c r="J8" s="1024"/>
      <c r="O8" s="357"/>
      <c r="P8" s="357"/>
      <c r="Q8" s="357"/>
      <c r="R8" s="357"/>
      <c r="AA8" s="18"/>
      <c r="AB8" s="18"/>
      <c r="AC8" s="18"/>
      <c r="AD8" s="18"/>
      <c r="AE8" s="357"/>
      <c r="AI8" s="18"/>
    </row>
    <row r="9" spans="1:35" ht="15" customHeight="1">
      <c r="A9" s="317"/>
      <c r="B9" s="491"/>
      <c r="C9" s="468"/>
      <c r="D9" s="1022"/>
      <c r="E9" s="1022"/>
      <c r="F9" s="1022"/>
      <c r="G9" s="1022"/>
      <c r="H9" s="1022"/>
      <c r="I9" s="1023"/>
      <c r="J9" s="1024"/>
      <c r="O9" s="357"/>
      <c r="P9" s="357"/>
      <c r="Q9" s="357"/>
      <c r="R9" s="357"/>
      <c r="AA9" s="18"/>
      <c r="AB9" s="18"/>
      <c r="AC9" s="18"/>
      <c r="AD9" s="18"/>
      <c r="AE9" s="357"/>
      <c r="AI9" s="18"/>
    </row>
    <row r="10" spans="1:35" ht="15" customHeight="1">
      <c r="A10" s="317"/>
      <c r="B10" s="491"/>
      <c r="C10" s="468"/>
      <c r="D10" s="1022"/>
      <c r="E10" s="1022"/>
      <c r="F10" s="1022"/>
      <c r="G10" s="1022"/>
      <c r="H10" s="1022"/>
      <c r="I10" s="1023"/>
      <c r="J10" s="1024"/>
      <c r="O10" s="357"/>
      <c r="P10" s="357"/>
      <c r="Q10" s="357"/>
      <c r="R10" s="357"/>
      <c r="AA10" s="18"/>
      <c r="AB10" s="18"/>
      <c r="AC10" s="18"/>
      <c r="AD10" s="18"/>
      <c r="AE10" s="357"/>
      <c r="AI10" s="18"/>
    </row>
    <row r="11" spans="1:35" ht="15" customHeight="1">
      <c r="A11" s="317"/>
      <c r="B11" s="491"/>
      <c r="C11" s="468"/>
      <c r="D11" s="1022"/>
      <c r="E11" s="1022"/>
      <c r="F11" s="1022"/>
      <c r="G11" s="1022"/>
      <c r="H11" s="1022"/>
      <c r="I11" s="1023"/>
      <c r="J11" s="1024"/>
      <c r="O11" s="357"/>
      <c r="P11" s="357"/>
      <c r="Q11" s="357"/>
      <c r="R11" s="357"/>
      <c r="AA11" s="18"/>
      <c r="AB11" s="18"/>
      <c r="AC11" s="18"/>
      <c r="AD11" s="18"/>
      <c r="AE11" s="357"/>
      <c r="AI11" s="18"/>
    </row>
    <row r="12" spans="1:35" ht="15" customHeight="1">
      <c r="A12" s="317"/>
      <c r="B12" s="491"/>
      <c r="C12" s="468"/>
      <c r="D12" s="1022"/>
      <c r="E12" s="1022"/>
      <c r="F12" s="1022"/>
      <c r="G12" s="1022"/>
      <c r="H12" s="1022"/>
      <c r="I12" s="1023"/>
      <c r="J12" s="1024"/>
      <c r="O12" s="357"/>
      <c r="P12" s="357"/>
      <c r="Q12" s="357"/>
      <c r="R12" s="357"/>
      <c r="AA12" s="18"/>
      <c r="AB12" s="18"/>
      <c r="AC12" s="18"/>
      <c r="AD12" s="18"/>
      <c r="AE12" s="357"/>
      <c r="AI12" s="18"/>
    </row>
    <row r="13" spans="1:35" ht="15" customHeight="1">
      <c r="A13" s="317"/>
      <c r="B13" s="491"/>
      <c r="C13" s="468"/>
      <c r="D13" s="1022"/>
      <c r="E13" s="1022"/>
      <c r="F13" s="1022"/>
      <c r="G13" s="1022"/>
      <c r="H13" s="1022"/>
      <c r="I13" s="1023"/>
      <c r="J13" s="1024"/>
      <c r="O13" s="357"/>
      <c r="P13" s="357"/>
      <c r="Q13" s="357"/>
      <c r="R13" s="357"/>
      <c r="AA13" s="18"/>
      <c r="AB13" s="18"/>
      <c r="AC13" s="18"/>
      <c r="AD13" s="18"/>
      <c r="AE13" s="357"/>
      <c r="AI13" s="18"/>
    </row>
    <row r="14" spans="1:35" ht="15" customHeight="1">
      <c r="A14" s="317"/>
      <c r="B14" s="491"/>
      <c r="C14" s="468"/>
      <c r="D14" s="1022"/>
      <c r="E14" s="1022"/>
      <c r="F14" s="1022"/>
      <c r="G14" s="1022"/>
      <c r="H14" s="1022"/>
      <c r="I14" s="1023"/>
      <c r="J14" s="1024"/>
      <c r="O14" s="357"/>
      <c r="P14" s="357"/>
      <c r="Q14" s="357"/>
      <c r="R14" s="357"/>
      <c r="AA14" s="18"/>
      <c r="AB14" s="18"/>
      <c r="AC14" s="18"/>
      <c r="AD14" s="18"/>
      <c r="AE14" s="357"/>
      <c r="AI14" s="18"/>
    </row>
    <row r="15" spans="1:35" ht="15" customHeight="1">
      <c r="A15" s="317"/>
      <c r="B15" s="491"/>
      <c r="C15" s="468"/>
      <c r="D15" s="1022"/>
      <c r="E15" s="1022"/>
      <c r="F15" s="1022"/>
      <c r="G15" s="1022"/>
      <c r="H15" s="1022"/>
      <c r="I15" s="1023"/>
      <c r="J15" s="1024"/>
      <c r="O15" s="357"/>
      <c r="P15" s="357"/>
      <c r="Q15" s="357"/>
      <c r="R15" s="357"/>
      <c r="AA15" s="18"/>
      <c r="AB15" s="18"/>
      <c r="AC15" s="18"/>
      <c r="AD15" s="18"/>
      <c r="AE15" s="357"/>
      <c r="AI15" s="18"/>
    </row>
    <row r="16" spans="1:35" ht="15" customHeight="1">
      <c r="A16" s="317"/>
      <c r="B16" s="491"/>
      <c r="C16" s="468"/>
      <c r="D16" s="1022"/>
      <c r="E16" s="1022"/>
      <c r="F16" s="1022"/>
      <c r="G16" s="1022"/>
      <c r="H16" s="1022"/>
      <c r="I16" s="1023"/>
      <c r="J16" s="1024"/>
      <c r="O16" s="357"/>
      <c r="P16" s="357"/>
      <c r="Q16" s="357"/>
      <c r="R16" s="357"/>
      <c r="AA16" s="18"/>
      <c r="AB16" s="18"/>
      <c r="AC16" s="18"/>
      <c r="AD16" s="18"/>
      <c r="AE16" s="357"/>
      <c r="AI16" s="18"/>
    </row>
    <row r="17" spans="1:35" ht="15" customHeight="1">
      <c r="A17" s="317"/>
      <c r="B17" s="491"/>
      <c r="C17" s="468"/>
      <c r="D17" s="1022"/>
      <c r="E17" s="1022"/>
      <c r="F17" s="1022"/>
      <c r="G17" s="1022"/>
      <c r="H17" s="1022"/>
      <c r="I17" s="1023"/>
      <c r="J17" s="1024"/>
      <c r="O17" s="357"/>
      <c r="P17" s="357"/>
      <c r="Q17" s="357"/>
      <c r="R17" s="357"/>
      <c r="AA17" s="18"/>
      <c r="AB17" s="18"/>
      <c r="AC17" s="18"/>
      <c r="AD17" s="18"/>
      <c r="AE17" s="357"/>
      <c r="AI17" s="18"/>
    </row>
    <row r="18" spans="1:35" ht="15" customHeight="1">
      <c r="A18" s="317"/>
      <c r="B18" s="491"/>
      <c r="C18" s="468"/>
      <c r="D18" s="1022"/>
      <c r="E18" s="1022"/>
      <c r="F18" s="1022"/>
      <c r="G18" s="1022"/>
      <c r="H18" s="1022"/>
      <c r="I18" s="1023"/>
      <c r="J18" s="1024"/>
      <c r="O18" s="357"/>
      <c r="P18" s="357"/>
      <c r="Q18" s="357"/>
      <c r="R18" s="357"/>
      <c r="AA18" s="18"/>
      <c r="AB18" s="18"/>
      <c r="AC18" s="18"/>
      <c r="AD18" s="18"/>
      <c r="AE18" s="357"/>
      <c r="AI18" s="18"/>
    </row>
    <row r="19" spans="1:35" ht="15" customHeight="1">
      <c r="A19" s="317"/>
      <c r="B19" s="491"/>
      <c r="C19" s="468"/>
      <c r="D19" s="1022"/>
      <c r="E19" s="1022"/>
      <c r="F19" s="1022"/>
      <c r="G19" s="1022"/>
      <c r="H19" s="1022"/>
      <c r="I19" s="1023"/>
      <c r="J19" s="1024"/>
      <c r="O19" s="357"/>
      <c r="P19" s="357"/>
      <c r="Q19" s="357"/>
      <c r="R19" s="357"/>
      <c r="AA19" s="18"/>
      <c r="AB19" s="18"/>
      <c r="AC19" s="18"/>
      <c r="AD19" s="18"/>
      <c r="AE19" s="357"/>
      <c r="AI19" s="18"/>
    </row>
    <row r="20" spans="1:35" ht="15" customHeight="1">
      <c r="A20" s="317"/>
      <c r="B20" s="491"/>
      <c r="C20" s="468"/>
      <c r="D20" s="1022"/>
      <c r="E20" s="1022"/>
      <c r="F20" s="1022"/>
      <c r="G20" s="1022"/>
      <c r="H20" s="1022"/>
      <c r="I20" s="1023"/>
      <c r="J20" s="1024"/>
      <c r="O20" s="357"/>
      <c r="P20" s="357"/>
      <c r="Q20" s="357"/>
      <c r="R20" s="357"/>
      <c r="AA20" s="18"/>
      <c r="AB20" s="18"/>
      <c r="AC20" s="18"/>
      <c r="AD20" s="18"/>
      <c r="AE20" s="357"/>
      <c r="AI20" s="18"/>
    </row>
    <row r="21" spans="1:35" ht="15" customHeight="1">
      <c r="A21" s="317"/>
      <c r="B21" s="491"/>
      <c r="C21" s="468"/>
      <c r="D21" s="1022"/>
      <c r="E21" s="1022"/>
      <c r="F21" s="1022"/>
      <c r="G21" s="1022"/>
      <c r="H21" s="1022"/>
      <c r="I21" s="1023"/>
      <c r="J21" s="1024"/>
      <c r="O21" s="357"/>
      <c r="P21" s="357"/>
      <c r="Q21" s="357"/>
      <c r="R21" s="357"/>
      <c r="AA21" s="18"/>
      <c r="AB21" s="18"/>
      <c r="AC21" s="18"/>
      <c r="AD21" s="18"/>
      <c r="AE21" s="357"/>
      <c r="AI21" s="18"/>
    </row>
    <row r="22" spans="1:35" ht="15" customHeight="1" thickBot="1">
      <c r="A22" s="317"/>
      <c r="B22" s="492"/>
      <c r="C22" s="470"/>
      <c r="D22" s="1025"/>
      <c r="E22" s="1025"/>
      <c r="F22" s="1025"/>
      <c r="G22" s="1025"/>
      <c r="H22" s="1025"/>
      <c r="I22" s="1026"/>
      <c r="J22" s="1027"/>
      <c r="O22" s="357"/>
      <c r="P22" s="357"/>
      <c r="Q22" s="357"/>
      <c r="R22" s="357"/>
      <c r="AA22" s="18"/>
      <c r="AB22" s="18"/>
      <c r="AC22" s="18"/>
      <c r="AD22" s="18"/>
      <c r="AE22" s="357"/>
      <c r="AI22" s="18"/>
    </row>
    <row r="23" spans="1:35" s="434" customFormat="1" ht="15" customHeight="1">
      <c r="A23" s="554"/>
      <c r="B23" s="493"/>
      <c r="C23" s="467"/>
      <c r="D23" s="494"/>
      <c r="E23" s="494"/>
      <c r="F23" s="494"/>
      <c r="G23" s="494"/>
      <c r="H23" s="494"/>
      <c r="I23" s="494"/>
      <c r="J23" s="494"/>
      <c r="K23" s="494"/>
      <c r="L23" s="494"/>
      <c r="M23" s="494"/>
      <c r="N23" s="494"/>
      <c r="S23" s="364"/>
      <c r="T23" s="364"/>
      <c r="U23" s="364"/>
      <c r="V23" s="364"/>
      <c r="W23" s="364"/>
      <c r="X23" s="364"/>
      <c r="Y23" s="364"/>
      <c r="Z23" s="364"/>
      <c r="AA23" s="364"/>
      <c r="AB23" s="364"/>
      <c r="AC23" s="364"/>
      <c r="AD23" s="364"/>
      <c r="AI23" s="364"/>
    </row>
    <row r="24" spans="1:35" s="434" customFormat="1" ht="15" customHeight="1">
      <c r="A24" s="554"/>
      <c r="B24" s="982" t="s">
        <v>877</v>
      </c>
      <c r="C24" s="982"/>
      <c r="D24" s="982"/>
      <c r="E24" s="982"/>
      <c r="F24" s="982"/>
      <c r="G24" s="982"/>
      <c r="H24" s="982"/>
      <c r="I24" s="982"/>
      <c r="J24" s="982"/>
      <c r="K24" s="982"/>
      <c r="L24" s="982"/>
      <c r="M24" s="982"/>
      <c r="N24" s="982"/>
      <c r="S24" s="364"/>
      <c r="T24" s="364"/>
      <c r="U24" s="364"/>
      <c r="V24" s="364"/>
      <c r="W24" s="364"/>
      <c r="X24" s="364"/>
      <c r="Y24" s="364"/>
      <c r="Z24" s="364"/>
      <c r="AA24" s="364"/>
      <c r="AB24" s="364"/>
      <c r="AC24" s="364"/>
      <c r="AD24" s="364"/>
      <c r="AI24" s="364"/>
    </row>
    <row r="25" spans="1:35" s="226" customFormat="1" ht="15" customHeight="1">
      <c r="A25" s="235"/>
      <c r="B25" s="549" t="s">
        <v>125</v>
      </c>
      <c r="C25" s="503"/>
      <c r="D25" s="503"/>
      <c r="E25" s="503"/>
      <c r="F25" s="503"/>
      <c r="G25" s="503"/>
      <c r="H25" s="503"/>
      <c r="I25" s="630"/>
      <c r="J25" s="630"/>
      <c r="K25" s="630"/>
      <c r="L25" s="630"/>
      <c r="M25" s="503"/>
      <c r="N25" s="503"/>
      <c r="S25" s="267"/>
      <c r="T25" s="267"/>
      <c r="U25" s="267"/>
      <c r="V25" s="267"/>
      <c r="W25" s="267"/>
      <c r="X25" s="267"/>
      <c r="Y25" s="267"/>
      <c r="Z25" s="267"/>
      <c r="AA25" s="267"/>
      <c r="AB25" s="267"/>
      <c r="AC25" s="267"/>
      <c r="AD25" s="267"/>
      <c r="AI25" s="267"/>
    </row>
    <row r="26" spans="1:35" s="226" customFormat="1" ht="15" customHeight="1">
      <c r="A26" s="235"/>
      <c r="B26" s="549" t="s">
        <v>13</v>
      </c>
      <c r="C26" s="503"/>
      <c r="D26" s="503"/>
      <c r="E26" s="503"/>
      <c r="F26" s="503"/>
      <c r="G26" s="503"/>
      <c r="H26" s="503"/>
      <c r="I26" s="630"/>
      <c r="J26" s="630"/>
      <c r="K26" s="630"/>
      <c r="L26" s="630"/>
      <c r="M26" s="503"/>
      <c r="N26" s="503"/>
      <c r="S26" s="267"/>
      <c r="T26" s="267"/>
      <c r="U26" s="267"/>
      <c r="V26" s="267"/>
      <c r="W26" s="267"/>
      <c r="X26" s="267"/>
      <c r="Y26" s="267"/>
      <c r="Z26" s="267"/>
      <c r="AA26" s="267"/>
      <c r="AB26" s="267"/>
      <c r="AC26" s="267"/>
      <c r="AD26" s="267"/>
      <c r="AI26" s="267"/>
    </row>
    <row r="27" spans="1:35" s="226" customFormat="1" ht="15" customHeight="1">
      <c r="A27" s="235"/>
      <c r="B27" s="549" t="s">
        <v>145</v>
      </c>
      <c r="C27" s="503"/>
      <c r="D27" s="503"/>
      <c r="E27" s="503"/>
      <c r="F27" s="503"/>
      <c r="G27" s="503"/>
      <c r="H27" s="503"/>
      <c r="I27" s="630"/>
      <c r="J27" s="630"/>
      <c r="K27" s="630"/>
      <c r="L27" s="630"/>
      <c r="M27" s="503"/>
      <c r="N27" s="503"/>
      <c r="S27" s="267"/>
      <c r="T27" s="267"/>
      <c r="U27" s="267"/>
      <c r="V27" s="267"/>
      <c r="W27" s="267"/>
      <c r="X27" s="267"/>
      <c r="Y27" s="267"/>
      <c r="Z27" s="267"/>
      <c r="AA27" s="267"/>
      <c r="AB27" s="267"/>
      <c r="AC27" s="267"/>
      <c r="AD27" s="267"/>
      <c r="AI27" s="267"/>
    </row>
    <row r="28" spans="1:35" s="226" customFormat="1" ht="15" customHeight="1">
      <c r="A28" s="235"/>
      <c r="B28" s="549" t="s">
        <v>890</v>
      </c>
      <c r="C28" s="505"/>
      <c r="D28" s="505"/>
      <c r="E28" s="505"/>
      <c r="F28" s="505"/>
      <c r="G28" s="505"/>
      <c r="H28" s="505"/>
      <c r="I28" s="630"/>
      <c r="J28" s="630"/>
      <c r="K28" s="630"/>
      <c r="L28" s="630"/>
      <c r="M28" s="505"/>
      <c r="N28" s="505"/>
      <c r="S28" s="267"/>
      <c r="T28" s="267"/>
      <c r="U28" s="267"/>
      <c r="V28" s="267"/>
      <c r="W28" s="267"/>
      <c r="X28" s="267"/>
      <c r="Y28" s="267"/>
      <c r="Z28" s="267"/>
      <c r="AA28" s="267"/>
      <c r="AB28" s="267"/>
      <c r="AC28" s="267"/>
      <c r="AD28" s="267"/>
      <c r="AI28" s="267"/>
    </row>
    <row r="29" spans="1:35" s="226" customFormat="1" ht="15" customHeight="1">
      <c r="A29" s="235"/>
      <c r="B29" s="549" t="s">
        <v>210</v>
      </c>
      <c r="C29" s="503"/>
      <c r="D29" s="503"/>
      <c r="E29" s="503"/>
      <c r="F29" s="503"/>
      <c r="G29" s="503"/>
      <c r="H29" s="503"/>
      <c r="I29" s="630"/>
      <c r="J29" s="630"/>
      <c r="K29" s="630"/>
      <c r="L29" s="630"/>
      <c r="M29" s="503"/>
      <c r="N29" s="503"/>
      <c r="S29" s="267"/>
      <c r="T29" s="267"/>
      <c r="U29" s="267"/>
      <c r="V29" s="267"/>
      <c r="W29" s="267"/>
      <c r="X29" s="267"/>
      <c r="Y29" s="267"/>
      <c r="Z29" s="267"/>
      <c r="AA29" s="267"/>
      <c r="AB29" s="267"/>
      <c r="AC29" s="267"/>
      <c r="AD29" s="267"/>
      <c r="AI29" s="267"/>
    </row>
    <row r="30" spans="1:35" s="226" customFormat="1" ht="15" customHeight="1">
      <c r="A30" s="235"/>
      <c r="B30" s="551" t="s">
        <v>143</v>
      </c>
      <c r="C30" s="503"/>
      <c r="D30" s="503"/>
      <c r="E30" s="503"/>
      <c r="F30" s="503"/>
      <c r="G30" s="503"/>
      <c r="H30" s="503"/>
      <c r="I30" s="630"/>
      <c r="J30" s="630"/>
      <c r="K30" s="630"/>
      <c r="L30" s="630"/>
      <c r="M30" s="503"/>
      <c r="N30" s="503"/>
      <c r="S30" s="267"/>
      <c r="T30" s="267"/>
      <c r="U30" s="267"/>
      <c r="V30" s="267"/>
      <c r="W30" s="267"/>
      <c r="X30" s="267"/>
      <c r="Y30" s="267"/>
      <c r="Z30" s="267"/>
      <c r="AA30" s="267"/>
      <c r="AB30" s="267"/>
      <c r="AC30" s="267"/>
      <c r="AD30" s="267"/>
      <c r="AI30" s="267"/>
    </row>
    <row r="31" spans="1:35" s="434" customFormat="1" ht="12.75" customHeight="1">
      <c r="A31" s="554"/>
      <c r="B31" s="503"/>
      <c r="C31" s="503"/>
      <c r="D31" s="503"/>
      <c r="E31" s="503"/>
      <c r="F31" s="503"/>
      <c r="G31" s="503"/>
      <c r="H31" s="503"/>
      <c r="I31" s="630"/>
      <c r="J31" s="630"/>
      <c r="K31" s="630"/>
      <c r="L31" s="630"/>
      <c r="M31" s="503"/>
      <c r="N31" s="503"/>
      <c r="S31" s="364"/>
      <c r="T31" s="364"/>
      <c r="U31" s="364"/>
      <c r="V31" s="364"/>
      <c r="W31" s="364"/>
      <c r="X31" s="364"/>
      <c r="Y31" s="364"/>
      <c r="Z31" s="364"/>
      <c r="AA31" s="364"/>
      <c r="AB31" s="364"/>
      <c r="AC31" s="364"/>
      <c r="AD31" s="364"/>
      <c r="AI31" s="364"/>
    </row>
    <row r="32" spans="1:35" s="434" customFormat="1" ht="15" customHeight="1">
      <c r="A32" s="554"/>
      <c r="B32" s="982" t="s">
        <v>870</v>
      </c>
      <c r="C32" s="982"/>
      <c r="D32" s="982"/>
      <c r="E32" s="982"/>
      <c r="F32" s="982"/>
      <c r="G32" s="982"/>
      <c r="H32" s="982"/>
      <c r="I32" s="982"/>
      <c r="J32" s="982"/>
      <c r="K32" s="982"/>
      <c r="L32" s="982"/>
      <c r="M32" s="982"/>
      <c r="N32" s="982"/>
      <c r="S32" s="364"/>
      <c r="T32" s="364"/>
      <c r="U32" s="364"/>
      <c r="V32" s="364"/>
      <c r="W32" s="364"/>
      <c r="X32" s="364"/>
      <c r="Y32" s="364"/>
      <c r="Z32" s="364"/>
      <c r="AA32" s="364"/>
      <c r="AB32" s="364"/>
      <c r="AC32" s="364"/>
      <c r="AD32" s="364"/>
      <c r="AI32" s="364"/>
    </row>
    <row r="33" spans="1:35" s="434" customFormat="1" ht="15" customHeight="1">
      <c r="A33" s="554"/>
      <c r="B33" s="549" t="s">
        <v>14</v>
      </c>
      <c r="C33" s="546"/>
      <c r="D33" s="547"/>
      <c r="E33" s="547"/>
      <c r="F33" s="547"/>
      <c r="G33" s="549" t="s">
        <v>4</v>
      </c>
      <c r="H33" s="226"/>
      <c r="I33" s="226"/>
      <c r="J33" s="226"/>
      <c r="K33" s="226"/>
      <c r="L33" s="226"/>
      <c r="M33" s="325"/>
      <c r="N33" s="325"/>
      <c r="S33" s="364"/>
      <c r="T33" s="364"/>
      <c r="U33" s="364"/>
      <c r="V33" s="364"/>
      <c r="W33" s="364"/>
      <c r="X33" s="364"/>
      <c r="Y33" s="364"/>
      <c r="Z33" s="364"/>
      <c r="AA33" s="364"/>
      <c r="AB33" s="364"/>
      <c r="AC33" s="364"/>
      <c r="AD33" s="364"/>
      <c r="AI33" s="364"/>
    </row>
    <row r="34" spans="1:35" s="434" customFormat="1" ht="15" customHeight="1">
      <c r="A34" s="554"/>
      <c r="B34" s="550" t="s">
        <v>22</v>
      </c>
      <c r="C34" s="546"/>
      <c r="D34" s="547"/>
      <c r="E34" s="547"/>
      <c r="F34" s="547"/>
      <c r="G34" s="549" t="s">
        <v>5</v>
      </c>
      <c r="H34" s="226"/>
      <c r="I34" s="226"/>
      <c r="J34" s="226"/>
      <c r="K34" s="226"/>
      <c r="L34" s="226"/>
      <c r="M34" s="325"/>
      <c r="N34" s="325"/>
      <c r="S34" s="364"/>
      <c r="T34" s="364"/>
      <c r="U34" s="364"/>
      <c r="V34" s="364"/>
      <c r="W34" s="364"/>
      <c r="X34" s="364"/>
      <c r="Y34" s="364"/>
      <c r="Z34" s="364"/>
      <c r="AA34" s="364"/>
      <c r="AB34" s="364"/>
      <c r="AC34" s="364"/>
      <c r="AD34" s="364"/>
      <c r="AI34" s="364"/>
    </row>
    <row r="35" spans="1:35" s="434" customFormat="1" ht="15" customHeight="1">
      <c r="A35" s="554"/>
      <c r="B35" s="550" t="s">
        <v>16</v>
      </c>
      <c r="C35" s="546"/>
      <c r="D35" s="547"/>
      <c r="E35" s="547"/>
      <c r="F35" s="547"/>
      <c r="G35" s="549" t="s">
        <v>659</v>
      </c>
      <c r="H35" s="226"/>
      <c r="I35" s="226"/>
      <c r="J35" s="226"/>
      <c r="K35" s="226"/>
      <c r="L35" s="226"/>
      <c r="M35" s="325"/>
      <c r="N35" s="325"/>
      <c r="S35" s="364"/>
      <c r="T35" s="364"/>
      <c r="U35" s="364"/>
      <c r="V35" s="364"/>
      <c r="W35" s="364"/>
      <c r="X35" s="364"/>
      <c r="Y35" s="364"/>
      <c r="Z35" s="364"/>
      <c r="AA35" s="364"/>
      <c r="AB35" s="364"/>
      <c r="AC35" s="364"/>
      <c r="AD35" s="364"/>
      <c r="AI35" s="364"/>
    </row>
    <row r="36" spans="1:35" s="434" customFormat="1" ht="15" customHeight="1">
      <c r="A36" s="554"/>
      <c r="B36" s="551" t="s">
        <v>864</v>
      </c>
      <c r="C36" s="546"/>
      <c r="D36" s="547"/>
      <c r="E36" s="547"/>
      <c r="F36" s="547"/>
      <c r="G36" s="549" t="s">
        <v>674</v>
      </c>
      <c r="H36" s="226"/>
      <c r="I36" s="226"/>
      <c r="J36" s="226"/>
      <c r="K36" s="226"/>
      <c r="L36" s="226"/>
      <c r="M36" s="325"/>
      <c r="N36" s="325"/>
      <c r="S36" s="364"/>
      <c r="T36" s="364"/>
      <c r="U36" s="364"/>
      <c r="V36" s="364"/>
      <c r="W36" s="364"/>
      <c r="X36" s="364"/>
      <c r="Y36" s="364"/>
      <c r="Z36" s="364"/>
      <c r="AA36" s="364"/>
      <c r="AB36" s="364"/>
      <c r="AC36" s="364"/>
      <c r="AD36" s="364"/>
      <c r="AI36" s="364"/>
    </row>
    <row r="37" spans="1:35" s="434" customFormat="1" ht="15" customHeight="1">
      <c r="A37" s="554"/>
      <c r="B37" s="552" t="s">
        <v>206</v>
      </c>
      <c r="C37" s="546"/>
      <c r="D37" s="547"/>
      <c r="E37" s="547"/>
      <c r="F37" s="547"/>
      <c r="G37" s="549" t="s">
        <v>6</v>
      </c>
      <c r="H37" s="226"/>
      <c r="I37" s="226"/>
      <c r="J37" s="226"/>
      <c r="K37" s="226"/>
      <c r="L37" s="226"/>
      <c r="M37" s="325"/>
      <c r="N37" s="325"/>
      <c r="S37" s="364"/>
      <c r="T37" s="364"/>
      <c r="U37" s="364"/>
      <c r="V37" s="364"/>
      <c r="W37" s="364"/>
      <c r="X37" s="364"/>
      <c r="Y37" s="364"/>
      <c r="Z37" s="364"/>
      <c r="AA37" s="364"/>
      <c r="AB37" s="364"/>
      <c r="AC37" s="364"/>
      <c r="AD37" s="364"/>
      <c r="AI37" s="364"/>
    </row>
    <row r="38" spans="1:35" s="434" customFormat="1" ht="15" customHeight="1">
      <c r="A38" s="554"/>
      <c r="B38" s="549" t="s">
        <v>866</v>
      </c>
      <c r="C38" s="546"/>
      <c r="D38" s="547"/>
      <c r="E38" s="547"/>
      <c r="F38" s="547"/>
      <c r="G38" s="549" t="s">
        <v>681</v>
      </c>
      <c r="H38" s="226"/>
      <c r="I38" s="226"/>
      <c r="J38" s="226"/>
      <c r="K38" s="226"/>
      <c r="L38" s="226"/>
      <c r="M38" s="325"/>
      <c r="N38" s="325"/>
      <c r="S38" s="364"/>
      <c r="T38" s="364"/>
      <c r="U38" s="364"/>
      <c r="V38" s="364"/>
      <c r="W38" s="364"/>
      <c r="X38" s="364"/>
      <c r="Y38" s="364"/>
      <c r="Z38" s="364"/>
      <c r="AA38" s="364"/>
      <c r="AB38" s="364"/>
      <c r="AC38" s="364"/>
      <c r="AD38" s="364"/>
      <c r="AI38" s="364"/>
    </row>
    <row r="39" spans="1:35" s="434" customFormat="1" ht="15" customHeight="1">
      <c r="A39" s="554"/>
      <c r="B39" s="549" t="s">
        <v>33</v>
      </c>
      <c r="C39" s="546"/>
      <c r="D39" s="547"/>
      <c r="E39" s="547"/>
      <c r="F39" s="547"/>
      <c r="G39" s="549" t="s">
        <v>7</v>
      </c>
      <c r="H39" s="226"/>
      <c r="I39" s="226"/>
      <c r="J39" s="226"/>
      <c r="K39" s="226"/>
      <c r="L39" s="226"/>
      <c r="M39" s="494"/>
      <c r="N39" s="494"/>
      <c r="S39" s="364"/>
      <c r="T39" s="364"/>
      <c r="U39" s="364"/>
      <c r="V39" s="364"/>
      <c r="W39" s="364"/>
      <c r="X39" s="364"/>
      <c r="Y39" s="364"/>
      <c r="Z39" s="364"/>
      <c r="AA39" s="364"/>
      <c r="AB39" s="364"/>
      <c r="AC39" s="364"/>
      <c r="AD39" s="364"/>
      <c r="AI39" s="364"/>
    </row>
    <row r="40" spans="1:35" s="434" customFormat="1" ht="15" customHeight="1">
      <c r="A40" s="554"/>
      <c r="B40" s="549" t="s">
        <v>3</v>
      </c>
      <c r="C40" s="546"/>
      <c r="D40" s="547"/>
      <c r="E40" s="547"/>
      <c r="F40" s="547"/>
      <c r="G40" s="549" t="s">
        <v>8</v>
      </c>
      <c r="H40" s="226"/>
      <c r="I40" s="226"/>
      <c r="J40" s="226"/>
      <c r="K40" s="226"/>
      <c r="L40" s="226"/>
      <c r="M40" s="494"/>
      <c r="N40" s="494"/>
      <c r="S40" s="364"/>
      <c r="T40" s="364"/>
      <c r="U40" s="364"/>
      <c r="V40" s="364"/>
      <c r="W40" s="364"/>
      <c r="X40" s="364"/>
      <c r="Y40" s="364"/>
      <c r="Z40" s="364"/>
      <c r="AA40" s="364"/>
      <c r="AB40" s="364"/>
      <c r="AC40" s="364"/>
      <c r="AD40" s="364"/>
      <c r="AI40" s="364"/>
    </row>
    <row r="41" spans="1:35" s="434" customFormat="1" ht="15" customHeight="1">
      <c r="A41" s="554"/>
      <c r="B41" s="553" t="s">
        <v>133</v>
      </c>
      <c r="C41" s="546"/>
      <c r="D41" s="547"/>
      <c r="E41" s="547"/>
      <c r="F41" s="547"/>
      <c r="G41" s="549" t="s">
        <v>215</v>
      </c>
      <c r="H41" s="226"/>
      <c r="I41" s="226"/>
      <c r="J41" s="226"/>
      <c r="K41" s="226"/>
      <c r="L41" s="226"/>
      <c r="M41" s="494"/>
      <c r="N41" s="494"/>
      <c r="S41" s="364"/>
      <c r="T41" s="364"/>
      <c r="U41" s="364"/>
      <c r="V41" s="364"/>
      <c r="W41" s="364"/>
      <c r="X41" s="364"/>
      <c r="Y41" s="364"/>
      <c r="Z41" s="364"/>
      <c r="AA41" s="364"/>
      <c r="AB41" s="364"/>
      <c r="AC41" s="364"/>
      <c r="AD41" s="364"/>
      <c r="AI41" s="364"/>
    </row>
    <row r="42" spans="1:35" s="434" customFormat="1" ht="15" customHeight="1">
      <c r="A42" s="554"/>
      <c r="B42" s="549" t="s">
        <v>865</v>
      </c>
      <c r="C42" s="546"/>
      <c r="D42" s="547"/>
      <c r="E42" s="547"/>
      <c r="F42" s="547"/>
      <c r="G42" s="549" t="s">
        <v>207</v>
      </c>
      <c r="H42" s="226"/>
      <c r="I42" s="226"/>
      <c r="J42" s="226"/>
      <c r="K42" s="226"/>
      <c r="L42" s="226"/>
      <c r="M42" s="494"/>
      <c r="N42" s="494"/>
      <c r="S42" s="364"/>
      <c r="T42" s="364"/>
      <c r="U42" s="364"/>
      <c r="V42" s="364"/>
      <c r="W42" s="364"/>
      <c r="X42" s="364"/>
      <c r="Y42" s="364"/>
      <c r="Z42" s="364"/>
      <c r="AA42" s="364"/>
      <c r="AB42" s="364"/>
      <c r="AC42" s="364"/>
      <c r="AD42" s="364"/>
      <c r="AI42" s="364"/>
    </row>
    <row r="43" spans="1:35" ht="15" customHeight="1">
      <c r="A43" s="317"/>
      <c r="B43" s="204"/>
      <c r="C43" s="209"/>
    </row>
    <row r="44" spans="1:35" ht="15" customHeight="1">
      <c r="A44" s="210"/>
      <c r="B44" s="211" t="s">
        <v>125</v>
      </c>
      <c r="C44" s="209"/>
    </row>
    <row r="45" spans="1:35" ht="15" customHeight="1" thickBot="1"/>
    <row r="46" spans="1:35" s="221" customFormat="1" ht="13.5" thickBot="1">
      <c r="A46" s="387"/>
      <c r="B46" s="1201" t="s">
        <v>36</v>
      </c>
      <c r="C46" s="1202"/>
      <c r="D46" s="1202"/>
      <c r="E46" s="1202"/>
      <c r="F46" s="1202"/>
      <c r="G46" s="1202" t="s">
        <v>37</v>
      </c>
      <c r="H46" s="1202"/>
      <c r="I46" s="1202"/>
      <c r="J46" s="1202"/>
      <c r="K46" s="1202"/>
      <c r="L46" s="1202"/>
      <c r="M46" s="1202"/>
      <c r="N46" s="1202"/>
      <c r="O46" s="1202"/>
      <c r="P46" s="1268"/>
      <c r="Q46" s="1212"/>
      <c r="R46" s="208"/>
      <c r="S46" s="365"/>
      <c r="T46" s="369"/>
      <c r="U46" s="369"/>
      <c r="V46" s="369"/>
      <c r="W46" s="369"/>
      <c r="X46" s="369"/>
      <c r="Y46" s="369"/>
      <c r="Z46" s="369"/>
      <c r="AA46" s="369"/>
      <c r="AB46" s="369"/>
      <c r="AC46" s="369"/>
      <c r="AD46" s="369"/>
      <c r="AI46" s="369"/>
    </row>
    <row r="47" spans="1:35" s="221" customFormat="1" ht="12.75">
      <c r="A47" s="387"/>
      <c r="B47" s="1269"/>
      <c r="C47" s="1266"/>
      <c r="D47" s="1266"/>
      <c r="E47" s="1266"/>
      <c r="F47" s="1270"/>
      <c r="G47" s="1265"/>
      <c r="H47" s="1266"/>
      <c r="I47" s="1266"/>
      <c r="J47" s="1266"/>
      <c r="K47" s="1266"/>
      <c r="L47" s="1266"/>
      <c r="M47" s="1266"/>
      <c r="N47" s="1266"/>
      <c r="O47" s="1266"/>
      <c r="P47" s="1266"/>
      <c r="Q47" s="1267"/>
      <c r="R47" s="208"/>
      <c r="S47" s="365"/>
      <c r="T47" s="369"/>
      <c r="U47" s="369"/>
      <c r="V47" s="369"/>
      <c r="W47" s="369"/>
      <c r="X47" s="369"/>
      <c r="Y47" s="369"/>
      <c r="Z47" s="369"/>
      <c r="AA47" s="369"/>
      <c r="AB47" s="369"/>
      <c r="AC47" s="369"/>
      <c r="AD47" s="369"/>
      <c r="AI47" s="369"/>
    </row>
    <row r="48" spans="1:35" s="221" customFormat="1" ht="12.75">
      <c r="A48" s="387"/>
      <c r="B48" s="1178"/>
      <c r="C48" s="1179"/>
      <c r="D48" s="1179"/>
      <c r="E48" s="1179"/>
      <c r="F48" s="1179"/>
      <c r="G48" s="1179"/>
      <c r="H48" s="1179"/>
      <c r="I48" s="1179"/>
      <c r="J48" s="1179"/>
      <c r="K48" s="1179"/>
      <c r="L48" s="1179"/>
      <c r="M48" s="1179"/>
      <c r="N48" s="1179"/>
      <c r="O48" s="1179"/>
      <c r="P48" s="1183"/>
      <c r="Q48" s="1182"/>
      <c r="R48" s="208"/>
      <c r="S48" s="365"/>
      <c r="T48" s="369"/>
      <c r="U48" s="369"/>
      <c r="V48" s="369"/>
      <c r="W48" s="369"/>
      <c r="X48" s="369"/>
      <c r="Y48" s="369"/>
      <c r="Z48" s="369"/>
      <c r="AA48" s="369"/>
      <c r="AB48" s="369"/>
      <c r="AC48" s="369"/>
      <c r="AD48" s="369"/>
      <c r="AI48" s="369"/>
    </row>
    <row r="49" spans="1:35" s="221" customFormat="1" ht="12.75">
      <c r="A49" s="387"/>
      <c r="B49" s="1178"/>
      <c r="C49" s="1179"/>
      <c r="D49" s="1179"/>
      <c r="E49" s="1179"/>
      <c r="F49" s="1179"/>
      <c r="G49" s="1179"/>
      <c r="H49" s="1179"/>
      <c r="I49" s="1179"/>
      <c r="J49" s="1179"/>
      <c r="K49" s="1179"/>
      <c r="L49" s="1179"/>
      <c r="M49" s="1179"/>
      <c r="N49" s="1179"/>
      <c r="O49" s="1179"/>
      <c r="P49" s="1183"/>
      <c r="Q49" s="1182"/>
      <c r="R49" s="208"/>
      <c r="S49" s="365"/>
      <c r="T49" s="369"/>
      <c r="U49" s="369"/>
      <c r="V49" s="369"/>
      <c r="W49" s="369"/>
      <c r="X49" s="369"/>
      <c r="Y49" s="369"/>
      <c r="Z49" s="369"/>
      <c r="AA49" s="369"/>
      <c r="AB49" s="369"/>
      <c r="AC49" s="369"/>
      <c r="AD49" s="369"/>
      <c r="AI49" s="369"/>
    </row>
    <row r="50" spans="1:35" s="221" customFormat="1" ht="12.75">
      <c r="A50" s="387"/>
      <c r="B50" s="1178"/>
      <c r="C50" s="1179"/>
      <c r="D50" s="1179"/>
      <c r="E50" s="1179"/>
      <c r="F50" s="1179"/>
      <c r="G50" s="1179"/>
      <c r="H50" s="1179"/>
      <c r="I50" s="1179"/>
      <c r="J50" s="1179"/>
      <c r="K50" s="1179"/>
      <c r="L50" s="1179"/>
      <c r="M50" s="1179"/>
      <c r="N50" s="1179"/>
      <c r="O50" s="1179"/>
      <c r="P50" s="1183"/>
      <c r="Q50" s="1182"/>
      <c r="R50" s="208"/>
      <c r="S50" s="365"/>
      <c r="T50" s="369"/>
      <c r="U50" s="369"/>
      <c r="V50" s="369"/>
      <c r="W50" s="369"/>
      <c r="X50" s="369"/>
      <c r="Y50" s="369"/>
      <c r="Z50" s="369"/>
      <c r="AA50" s="369"/>
      <c r="AB50" s="369"/>
      <c r="AC50" s="369"/>
      <c r="AD50" s="369"/>
      <c r="AI50" s="369"/>
    </row>
    <row r="51" spans="1:35" s="221" customFormat="1" ht="12.75">
      <c r="A51" s="387"/>
      <c r="B51" s="1178"/>
      <c r="C51" s="1179"/>
      <c r="D51" s="1179"/>
      <c r="E51" s="1179"/>
      <c r="F51" s="1179"/>
      <c r="G51" s="1179"/>
      <c r="H51" s="1179"/>
      <c r="I51" s="1179"/>
      <c r="J51" s="1179"/>
      <c r="K51" s="1179"/>
      <c r="L51" s="1179"/>
      <c r="M51" s="1179"/>
      <c r="N51" s="1179"/>
      <c r="O51" s="1179"/>
      <c r="P51" s="1183"/>
      <c r="Q51" s="1182"/>
      <c r="R51" s="208"/>
      <c r="S51" s="365"/>
      <c r="T51" s="369"/>
      <c r="U51" s="369"/>
      <c r="V51" s="369"/>
      <c r="W51" s="369"/>
      <c r="X51" s="369"/>
      <c r="Y51" s="369"/>
      <c r="Z51" s="369"/>
      <c r="AA51" s="369"/>
      <c r="AB51" s="369"/>
      <c r="AC51" s="369"/>
      <c r="AD51" s="369"/>
      <c r="AI51" s="369"/>
    </row>
    <row r="52" spans="1:35" s="221" customFormat="1" ht="12.75">
      <c r="A52" s="387"/>
      <c r="B52" s="1178"/>
      <c r="C52" s="1179"/>
      <c r="D52" s="1179"/>
      <c r="E52" s="1179"/>
      <c r="F52" s="1179"/>
      <c r="G52" s="1179"/>
      <c r="H52" s="1179"/>
      <c r="I52" s="1179"/>
      <c r="J52" s="1179"/>
      <c r="K52" s="1179"/>
      <c r="L52" s="1179"/>
      <c r="M52" s="1179"/>
      <c r="N52" s="1179"/>
      <c r="O52" s="1179"/>
      <c r="P52" s="1183"/>
      <c r="Q52" s="1182"/>
      <c r="R52" s="208"/>
      <c r="S52" s="365"/>
      <c r="T52" s="369"/>
      <c r="U52" s="369"/>
      <c r="V52" s="369"/>
      <c r="W52" s="369"/>
      <c r="X52" s="369"/>
      <c r="Y52" s="369"/>
      <c r="Z52" s="369"/>
      <c r="AA52" s="369"/>
      <c r="AB52" s="369"/>
      <c r="AC52" s="369"/>
      <c r="AD52" s="369"/>
      <c r="AI52" s="369"/>
    </row>
    <row r="53" spans="1:35" s="221" customFormat="1" ht="12.75">
      <c r="A53" s="387"/>
      <c r="B53" s="1178"/>
      <c r="C53" s="1179"/>
      <c r="D53" s="1179"/>
      <c r="E53" s="1179"/>
      <c r="F53" s="1179"/>
      <c r="G53" s="1179"/>
      <c r="H53" s="1179"/>
      <c r="I53" s="1179"/>
      <c r="J53" s="1179"/>
      <c r="K53" s="1179"/>
      <c r="L53" s="1179"/>
      <c r="M53" s="1179"/>
      <c r="N53" s="1179"/>
      <c r="O53" s="1179"/>
      <c r="P53" s="1183"/>
      <c r="Q53" s="1182"/>
      <c r="R53" s="208"/>
      <c r="S53" s="365"/>
      <c r="T53" s="369"/>
      <c r="U53" s="369"/>
      <c r="V53" s="369"/>
      <c r="W53" s="369"/>
      <c r="X53" s="369"/>
      <c r="Y53" s="369"/>
      <c r="Z53" s="369"/>
      <c r="AA53" s="369"/>
      <c r="AB53" s="369"/>
      <c r="AC53" s="369"/>
      <c r="AD53" s="369"/>
      <c r="AI53" s="369"/>
    </row>
    <row r="54" spans="1:35" s="221" customFormat="1" ht="12.75">
      <c r="A54" s="387"/>
      <c r="B54" s="1178"/>
      <c r="C54" s="1179"/>
      <c r="D54" s="1179"/>
      <c r="E54" s="1179"/>
      <c r="F54" s="1179"/>
      <c r="G54" s="1179"/>
      <c r="H54" s="1179"/>
      <c r="I54" s="1179"/>
      <c r="J54" s="1179"/>
      <c r="K54" s="1179"/>
      <c r="L54" s="1179"/>
      <c r="M54" s="1179"/>
      <c r="N54" s="1179"/>
      <c r="O54" s="1179"/>
      <c r="P54" s="1183"/>
      <c r="Q54" s="1182"/>
      <c r="R54" s="208"/>
      <c r="S54" s="365"/>
      <c r="T54" s="369"/>
      <c r="U54" s="369"/>
      <c r="V54" s="369"/>
      <c r="W54" s="369"/>
      <c r="X54" s="369"/>
      <c r="Y54" s="369"/>
      <c r="Z54" s="369"/>
      <c r="AA54" s="369"/>
      <c r="AB54" s="369"/>
      <c r="AC54" s="369"/>
      <c r="AD54" s="369"/>
      <c r="AI54" s="369"/>
    </row>
    <row r="55" spans="1:35" s="221" customFormat="1" ht="12.75">
      <c r="A55" s="387"/>
      <c r="B55" s="1178"/>
      <c r="C55" s="1179"/>
      <c r="D55" s="1179"/>
      <c r="E55" s="1179"/>
      <c r="F55" s="1179"/>
      <c r="G55" s="1179"/>
      <c r="H55" s="1179"/>
      <c r="I55" s="1179"/>
      <c r="J55" s="1179"/>
      <c r="K55" s="1179"/>
      <c r="L55" s="1179"/>
      <c r="M55" s="1179"/>
      <c r="N55" s="1179"/>
      <c r="O55" s="1179"/>
      <c r="P55" s="1183"/>
      <c r="Q55" s="1182"/>
      <c r="R55" s="208"/>
      <c r="S55" s="365"/>
      <c r="T55" s="369"/>
      <c r="U55" s="369"/>
      <c r="V55" s="369"/>
      <c r="W55" s="369"/>
      <c r="X55" s="369"/>
      <c r="Y55" s="369"/>
      <c r="Z55" s="369"/>
      <c r="AA55" s="369"/>
      <c r="AB55" s="369"/>
      <c r="AC55" s="369"/>
      <c r="AD55" s="369"/>
      <c r="AI55" s="369"/>
    </row>
    <row r="56" spans="1:35" s="221" customFormat="1" ht="12.75">
      <c r="A56" s="387"/>
      <c r="B56" s="1178"/>
      <c r="C56" s="1179"/>
      <c r="D56" s="1179"/>
      <c r="E56" s="1179"/>
      <c r="F56" s="1179"/>
      <c r="G56" s="1179"/>
      <c r="H56" s="1179"/>
      <c r="I56" s="1179"/>
      <c r="J56" s="1179"/>
      <c r="K56" s="1179"/>
      <c r="L56" s="1179"/>
      <c r="M56" s="1179"/>
      <c r="N56" s="1179"/>
      <c r="O56" s="1179"/>
      <c r="P56" s="1183"/>
      <c r="Q56" s="1182"/>
      <c r="R56" s="208"/>
      <c r="S56" s="365"/>
      <c r="T56" s="369"/>
      <c r="U56" s="369"/>
      <c r="V56" s="369"/>
      <c r="W56" s="369"/>
      <c r="X56" s="369"/>
      <c r="Y56" s="369"/>
      <c r="Z56" s="369"/>
      <c r="AA56" s="369"/>
      <c r="AB56" s="369"/>
      <c r="AC56" s="369"/>
      <c r="AD56" s="369"/>
      <c r="AI56" s="369"/>
    </row>
    <row r="57" spans="1:35" s="221" customFormat="1" ht="12.75">
      <c r="A57" s="387"/>
      <c r="B57" s="1178"/>
      <c r="C57" s="1179"/>
      <c r="D57" s="1179"/>
      <c r="E57" s="1179"/>
      <c r="F57" s="1179"/>
      <c r="G57" s="1179"/>
      <c r="H57" s="1179"/>
      <c r="I57" s="1179"/>
      <c r="J57" s="1179"/>
      <c r="K57" s="1179"/>
      <c r="L57" s="1179"/>
      <c r="M57" s="1179"/>
      <c r="N57" s="1179"/>
      <c r="O57" s="1179"/>
      <c r="P57" s="1183"/>
      <c r="Q57" s="1182"/>
      <c r="R57" s="208"/>
      <c r="S57" s="365"/>
      <c r="T57" s="369"/>
      <c r="U57" s="369"/>
      <c r="V57" s="369"/>
      <c r="W57" s="369"/>
      <c r="X57" s="369"/>
      <c r="Y57" s="369"/>
      <c r="Z57" s="369"/>
      <c r="AA57" s="369"/>
      <c r="AB57" s="369"/>
      <c r="AC57" s="369"/>
      <c r="AD57" s="369"/>
      <c r="AI57" s="369"/>
    </row>
    <row r="58" spans="1:35" s="221" customFormat="1" ht="12.75">
      <c r="A58" s="387"/>
      <c r="B58" s="1178"/>
      <c r="C58" s="1179"/>
      <c r="D58" s="1179"/>
      <c r="E58" s="1179"/>
      <c r="F58" s="1179"/>
      <c r="G58" s="1179"/>
      <c r="H58" s="1179"/>
      <c r="I58" s="1179"/>
      <c r="J58" s="1179"/>
      <c r="K58" s="1179"/>
      <c r="L58" s="1179"/>
      <c r="M58" s="1179"/>
      <c r="N58" s="1179"/>
      <c r="O58" s="1179"/>
      <c r="P58" s="1183"/>
      <c r="Q58" s="1182"/>
      <c r="R58" s="208"/>
      <c r="S58" s="365"/>
      <c r="T58" s="369"/>
      <c r="U58" s="369"/>
      <c r="V58" s="369"/>
      <c r="W58" s="369"/>
      <c r="X58" s="369"/>
      <c r="Y58" s="369"/>
      <c r="Z58" s="369"/>
      <c r="AA58" s="369"/>
      <c r="AB58" s="369"/>
      <c r="AC58" s="369"/>
      <c r="AD58" s="369"/>
      <c r="AI58" s="369"/>
    </row>
    <row r="59" spans="1:35" s="221" customFormat="1" ht="12.75">
      <c r="A59" s="387"/>
      <c r="B59" s="1178"/>
      <c r="C59" s="1179"/>
      <c r="D59" s="1179"/>
      <c r="E59" s="1179"/>
      <c r="F59" s="1179"/>
      <c r="G59" s="1179"/>
      <c r="H59" s="1179"/>
      <c r="I59" s="1179"/>
      <c r="J59" s="1179"/>
      <c r="K59" s="1179"/>
      <c r="L59" s="1179"/>
      <c r="M59" s="1179"/>
      <c r="N59" s="1179"/>
      <c r="O59" s="1179"/>
      <c r="P59" s="1183"/>
      <c r="Q59" s="1182"/>
      <c r="R59" s="208"/>
      <c r="S59" s="365"/>
      <c r="T59" s="369"/>
      <c r="U59" s="369"/>
      <c r="V59" s="369"/>
      <c r="W59" s="369"/>
      <c r="X59" s="369"/>
      <c r="Y59" s="369"/>
      <c r="Z59" s="369"/>
      <c r="AA59" s="369"/>
      <c r="AB59" s="369"/>
      <c r="AC59" s="369"/>
      <c r="AD59" s="369"/>
      <c r="AI59" s="369"/>
    </row>
    <row r="60" spans="1:35" s="221" customFormat="1" ht="12.75">
      <c r="A60" s="387"/>
      <c r="B60" s="1178"/>
      <c r="C60" s="1179"/>
      <c r="D60" s="1179"/>
      <c r="E60" s="1179"/>
      <c r="F60" s="1179"/>
      <c r="G60" s="1179"/>
      <c r="H60" s="1179"/>
      <c r="I60" s="1179"/>
      <c r="J60" s="1179"/>
      <c r="K60" s="1179"/>
      <c r="L60" s="1179"/>
      <c r="M60" s="1179"/>
      <c r="N60" s="1179"/>
      <c r="O60" s="1179"/>
      <c r="P60" s="1183"/>
      <c r="Q60" s="1182"/>
      <c r="R60" s="208"/>
      <c r="S60" s="365"/>
      <c r="T60" s="369"/>
      <c r="U60" s="369"/>
      <c r="V60" s="369"/>
      <c r="W60" s="369"/>
      <c r="X60" s="369"/>
      <c r="Y60" s="369"/>
      <c r="Z60" s="369"/>
      <c r="AA60" s="369"/>
      <c r="AB60" s="369"/>
      <c r="AC60" s="369"/>
      <c r="AD60" s="369"/>
      <c r="AI60" s="369"/>
    </row>
    <row r="61" spans="1:35" s="221" customFormat="1" ht="13.5" thickBot="1">
      <c r="A61" s="387"/>
      <c r="B61" s="1131"/>
      <c r="C61" s="1132"/>
      <c r="D61" s="1132"/>
      <c r="E61" s="1132"/>
      <c r="F61" s="1132"/>
      <c r="G61" s="1132"/>
      <c r="H61" s="1132"/>
      <c r="I61" s="1132"/>
      <c r="J61" s="1132"/>
      <c r="K61" s="1132"/>
      <c r="L61" s="1132"/>
      <c r="M61" s="1132"/>
      <c r="N61" s="1132"/>
      <c r="O61" s="1132"/>
      <c r="P61" s="1260"/>
      <c r="Q61" s="1186"/>
      <c r="R61" s="208"/>
      <c r="S61" s="365"/>
      <c r="T61" s="369"/>
      <c r="U61" s="369"/>
      <c r="V61" s="369"/>
      <c r="W61" s="369"/>
      <c r="X61" s="369"/>
      <c r="Y61" s="369"/>
      <c r="Z61" s="369"/>
      <c r="AA61" s="369"/>
      <c r="AB61" s="369"/>
      <c r="AC61" s="369"/>
      <c r="AD61" s="369"/>
      <c r="AI61" s="369"/>
    </row>
    <row r="62" spans="1:35" s="221" customFormat="1" ht="13.5" thickBot="1">
      <c r="A62" s="387"/>
      <c r="B62" s="338"/>
      <c r="C62" s="338"/>
      <c r="D62" s="338"/>
      <c r="E62" s="268"/>
      <c r="F62" s="268"/>
      <c r="G62" s="208"/>
      <c r="H62" s="208"/>
      <c r="I62" s="208"/>
      <c r="J62" s="208"/>
      <c r="K62" s="208"/>
      <c r="L62" s="208"/>
      <c r="M62" s="208"/>
      <c r="N62" s="208"/>
      <c r="O62" s="208"/>
      <c r="P62" s="208"/>
      <c r="Q62" s="208"/>
      <c r="R62" s="208"/>
      <c r="S62" s="365"/>
      <c r="T62" s="369"/>
      <c r="U62" s="369"/>
      <c r="V62" s="369"/>
      <c r="W62" s="369"/>
      <c r="X62" s="369"/>
      <c r="Y62" s="369"/>
      <c r="Z62" s="369"/>
      <c r="AA62" s="369"/>
      <c r="AB62" s="369"/>
      <c r="AC62" s="369"/>
      <c r="AD62" s="369"/>
      <c r="AI62" s="369"/>
    </row>
    <row r="63" spans="1:35" s="221" customFormat="1" ht="13.5" customHeight="1" thickBot="1">
      <c r="A63" s="387"/>
      <c r="B63" s="1140" t="s">
        <v>578</v>
      </c>
      <c r="C63" s="1141"/>
      <c r="D63" s="1141"/>
      <c r="E63" s="1141"/>
      <c r="F63" s="1142"/>
      <c r="G63" s="1200" t="s">
        <v>37</v>
      </c>
      <c r="H63" s="1141"/>
      <c r="I63" s="1141"/>
      <c r="J63" s="1141"/>
      <c r="K63" s="1141"/>
      <c r="L63" s="1141"/>
      <c r="M63" s="1141"/>
      <c r="N63" s="1141"/>
      <c r="O63" s="1141"/>
      <c r="P63" s="1141"/>
      <c r="Q63" s="1142"/>
      <c r="R63" s="1189" t="s">
        <v>157</v>
      </c>
      <c r="S63" s="1190"/>
      <c r="T63" s="369"/>
      <c r="U63" s="369"/>
      <c r="V63" s="369"/>
      <c r="W63" s="369"/>
      <c r="X63" s="369"/>
      <c r="Y63" s="369"/>
      <c r="Z63" s="369"/>
      <c r="AA63" s="369"/>
      <c r="AB63" s="369"/>
      <c r="AC63" s="369"/>
      <c r="AD63" s="369"/>
      <c r="AI63" s="369"/>
    </row>
    <row r="64" spans="1:35" s="221" customFormat="1" ht="12.75">
      <c r="A64" s="387"/>
      <c r="B64" s="1254"/>
      <c r="C64" s="1255"/>
      <c r="D64" s="1255"/>
      <c r="E64" s="1255"/>
      <c r="F64" s="1255"/>
      <c r="G64" s="1255"/>
      <c r="H64" s="1255"/>
      <c r="I64" s="1255"/>
      <c r="J64" s="1255"/>
      <c r="K64" s="1255"/>
      <c r="L64" s="1255"/>
      <c r="M64" s="1255"/>
      <c r="N64" s="1255"/>
      <c r="O64" s="1255"/>
      <c r="P64" s="1255"/>
      <c r="Q64" s="1255"/>
      <c r="R64" s="1271"/>
      <c r="S64" s="1272"/>
      <c r="T64" s="369"/>
      <c r="U64" s="369"/>
      <c r="V64" s="369"/>
      <c r="W64" s="369"/>
      <c r="X64" s="369"/>
      <c r="Y64" s="369"/>
      <c r="Z64" s="369"/>
      <c r="AA64" s="369"/>
      <c r="AB64" s="369"/>
      <c r="AC64" s="369"/>
      <c r="AD64" s="369"/>
      <c r="AI64" s="369"/>
    </row>
    <row r="65" spans="1:35" s="221" customFormat="1" ht="12.75" customHeight="1">
      <c r="A65" s="387"/>
      <c r="B65" s="1250"/>
      <c r="C65" s="1251"/>
      <c r="D65" s="1251"/>
      <c r="E65" s="1251"/>
      <c r="F65" s="1251"/>
      <c r="G65" s="1251"/>
      <c r="H65" s="1251"/>
      <c r="I65" s="1251"/>
      <c r="J65" s="1251"/>
      <c r="K65" s="1251"/>
      <c r="L65" s="1251"/>
      <c r="M65" s="1251"/>
      <c r="N65" s="1251"/>
      <c r="O65" s="1251"/>
      <c r="P65" s="1251"/>
      <c r="Q65" s="1251"/>
      <c r="R65" s="1248"/>
      <c r="S65" s="1249"/>
      <c r="T65" s="369"/>
      <c r="U65" s="369"/>
      <c r="V65" s="369"/>
      <c r="W65" s="369"/>
      <c r="X65" s="369"/>
      <c r="Y65" s="369"/>
      <c r="Z65" s="369"/>
      <c r="AA65" s="369"/>
      <c r="AB65" s="369"/>
      <c r="AC65" s="369"/>
      <c r="AD65" s="369"/>
      <c r="AI65" s="369"/>
    </row>
    <row r="66" spans="1:35" s="221" customFormat="1" ht="12.75">
      <c r="A66" s="387"/>
      <c r="B66" s="1250"/>
      <c r="C66" s="1251"/>
      <c r="D66" s="1251"/>
      <c r="E66" s="1251"/>
      <c r="F66" s="1251"/>
      <c r="G66" s="1251"/>
      <c r="H66" s="1251"/>
      <c r="I66" s="1251"/>
      <c r="J66" s="1251"/>
      <c r="K66" s="1251"/>
      <c r="L66" s="1251"/>
      <c r="M66" s="1251"/>
      <c r="N66" s="1251"/>
      <c r="O66" s="1251"/>
      <c r="P66" s="1251"/>
      <c r="Q66" s="1251"/>
      <c r="R66" s="1248"/>
      <c r="S66" s="1249"/>
      <c r="T66" s="369"/>
      <c r="U66" s="369"/>
      <c r="V66" s="369"/>
      <c r="W66" s="369"/>
      <c r="X66" s="369"/>
      <c r="Y66" s="369"/>
      <c r="Z66" s="369"/>
      <c r="AA66" s="369"/>
      <c r="AB66" s="369"/>
      <c r="AC66" s="369"/>
      <c r="AD66" s="369"/>
      <c r="AI66" s="369"/>
    </row>
    <row r="67" spans="1:35" s="221" customFormat="1" ht="12.75">
      <c r="A67" s="387"/>
      <c r="B67" s="1250"/>
      <c r="C67" s="1251"/>
      <c r="D67" s="1251"/>
      <c r="E67" s="1251"/>
      <c r="F67" s="1251"/>
      <c r="G67" s="1251"/>
      <c r="H67" s="1251"/>
      <c r="I67" s="1251"/>
      <c r="J67" s="1251"/>
      <c r="K67" s="1251"/>
      <c r="L67" s="1251"/>
      <c r="M67" s="1251"/>
      <c r="N67" s="1251"/>
      <c r="O67" s="1251"/>
      <c r="P67" s="1251"/>
      <c r="Q67" s="1251"/>
      <c r="R67" s="1248"/>
      <c r="S67" s="1249"/>
      <c r="T67" s="369"/>
      <c r="U67" s="369"/>
      <c r="V67" s="369"/>
      <c r="W67" s="369"/>
      <c r="X67" s="369"/>
      <c r="Y67" s="369"/>
      <c r="Z67" s="369"/>
      <c r="AA67" s="369"/>
      <c r="AB67" s="369"/>
      <c r="AC67" s="369"/>
      <c r="AD67" s="369"/>
      <c r="AI67" s="369"/>
    </row>
    <row r="68" spans="1:35" s="221" customFormat="1" ht="12.75">
      <c r="A68" s="387"/>
      <c r="B68" s="1250"/>
      <c r="C68" s="1251"/>
      <c r="D68" s="1251"/>
      <c r="E68" s="1251"/>
      <c r="F68" s="1251"/>
      <c r="G68" s="1251"/>
      <c r="H68" s="1251"/>
      <c r="I68" s="1251"/>
      <c r="J68" s="1251"/>
      <c r="K68" s="1251"/>
      <c r="L68" s="1251"/>
      <c r="M68" s="1251"/>
      <c r="N68" s="1251"/>
      <c r="O68" s="1251"/>
      <c r="P68" s="1251"/>
      <c r="Q68" s="1251"/>
      <c r="R68" s="1248"/>
      <c r="S68" s="1249"/>
      <c r="T68" s="369"/>
      <c r="U68" s="369"/>
      <c r="V68" s="369"/>
      <c r="W68" s="369"/>
      <c r="X68" s="369"/>
      <c r="Y68" s="369"/>
      <c r="Z68" s="369"/>
      <c r="AA68" s="369"/>
      <c r="AB68" s="369"/>
      <c r="AC68" s="369"/>
      <c r="AD68" s="369"/>
      <c r="AI68" s="369"/>
    </row>
    <row r="69" spans="1:35" s="221" customFormat="1" ht="12.75">
      <c r="A69" s="387"/>
      <c r="B69" s="1250"/>
      <c r="C69" s="1251"/>
      <c r="D69" s="1251"/>
      <c r="E69" s="1251"/>
      <c r="F69" s="1251"/>
      <c r="G69" s="1251"/>
      <c r="H69" s="1251"/>
      <c r="I69" s="1251"/>
      <c r="J69" s="1251"/>
      <c r="K69" s="1251"/>
      <c r="L69" s="1251"/>
      <c r="M69" s="1251"/>
      <c r="N69" s="1251"/>
      <c r="O69" s="1251"/>
      <c r="P69" s="1251"/>
      <c r="Q69" s="1251"/>
      <c r="R69" s="1248"/>
      <c r="S69" s="1249"/>
      <c r="T69" s="369"/>
      <c r="U69" s="369"/>
      <c r="V69" s="369"/>
      <c r="W69" s="369"/>
      <c r="X69" s="369"/>
      <c r="Y69" s="369"/>
      <c r="Z69" s="369"/>
      <c r="AA69" s="369"/>
      <c r="AB69" s="369"/>
      <c r="AC69" s="369"/>
      <c r="AD69" s="369"/>
      <c r="AI69" s="369"/>
    </row>
    <row r="70" spans="1:35" s="221" customFormat="1" ht="12.75">
      <c r="A70" s="387"/>
      <c r="B70" s="1250"/>
      <c r="C70" s="1251"/>
      <c r="D70" s="1251"/>
      <c r="E70" s="1251"/>
      <c r="F70" s="1251"/>
      <c r="G70" s="1251"/>
      <c r="H70" s="1251"/>
      <c r="I70" s="1251"/>
      <c r="J70" s="1251"/>
      <c r="K70" s="1251"/>
      <c r="L70" s="1251"/>
      <c r="M70" s="1251"/>
      <c r="N70" s="1251"/>
      <c r="O70" s="1251"/>
      <c r="P70" s="1251"/>
      <c r="Q70" s="1251"/>
      <c r="R70" s="1248"/>
      <c r="S70" s="1249"/>
      <c r="T70" s="369"/>
      <c r="U70" s="369"/>
      <c r="V70" s="369"/>
      <c r="W70" s="369"/>
      <c r="X70" s="369"/>
      <c r="Y70" s="369"/>
      <c r="Z70" s="369"/>
      <c r="AA70" s="369"/>
      <c r="AB70" s="369"/>
      <c r="AC70" s="369"/>
      <c r="AD70" s="369"/>
      <c r="AI70" s="369"/>
    </row>
    <row r="71" spans="1:35" s="221" customFormat="1" ht="12.75">
      <c r="A71" s="387"/>
      <c r="B71" s="1250"/>
      <c r="C71" s="1251"/>
      <c r="D71" s="1251"/>
      <c r="E71" s="1251"/>
      <c r="F71" s="1251"/>
      <c r="G71" s="1251"/>
      <c r="H71" s="1251"/>
      <c r="I71" s="1251"/>
      <c r="J71" s="1251"/>
      <c r="K71" s="1251"/>
      <c r="L71" s="1251"/>
      <c r="M71" s="1251"/>
      <c r="N71" s="1251"/>
      <c r="O71" s="1251"/>
      <c r="P71" s="1251"/>
      <c r="Q71" s="1251"/>
      <c r="R71" s="1248"/>
      <c r="S71" s="1249"/>
      <c r="T71" s="369"/>
      <c r="U71" s="369"/>
      <c r="V71" s="369"/>
      <c r="W71" s="369"/>
      <c r="X71" s="369"/>
      <c r="Y71" s="369"/>
      <c r="Z71" s="369"/>
      <c r="AA71" s="369"/>
      <c r="AB71" s="369"/>
      <c r="AC71" s="369"/>
      <c r="AD71" s="369"/>
      <c r="AI71" s="369"/>
    </row>
    <row r="72" spans="1:35" s="221" customFormat="1" ht="12.75">
      <c r="A72" s="387"/>
      <c r="B72" s="1250"/>
      <c r="C72" s="1251"/>
      <c r="D72" s="1251"/>
      <c r="E72" s="1251"/>
      <c r="F72" s="1251"/>
      <c r="G72" s="1251"/>
      <c r="H72" s="1251"/>
      <c r="I72" s="1251"/>
      <c r="J72" s="1251"/>
      <c r="K72" s="1251"/>
      <c r="L72" s="1251"/>
      <c r="M72" s="1251"/>
      <c r="N72" s="1251"/>
      <c r="O72" s="1251"/>
      <c r="P72" s="1251"/>
      <c r="Q72" s="1251"/>
      <c r="R72" s="1248"/>
      <c r="S72" s="1249"/>
      <c r="T72" s="369"/>
      <c r="U72" s="369"/>
      <c r="V72" s="369"/>
      <c r="W72" s="369"/>
      <c r="X72" s="369"/>
      <c r="Y72" s="369"/>
      <c r="Z72" s="369"/>
      <c r="AA72" s="369"/>
      <c r="AB72" s="369"/>
      <c r="AC72" s="369"/>
      <c r="AD72" s="369"/>
      <c r="AI72" s="369"/>
    </row>
    <row r="73" spans="1:35" s="221" customFormat="1" ht="12.75">
      <c r="A73" s="387"/>
      <c r="B73" s="1250"/>
      <c r="C73" s="1251"/>
      <c r="D73" s="1251"/>
      <c r="E73" s="1251"/>
      <c r="F73" s="1251"/>
      <c r="G73" s="1251"/>
      <c r="H73" s="1251"/>
      <c r="I73" s="1251"/>
      <c r="J73" s="1251"/>
      <c r="K73" s="1251"/>
      <c r="L73" s="1251"/>
      <c r="M73" s="1251"/>
      <c r="N73" s="1251"/>
      <c r="O73" s="1251"/>
      <c r="P73" s="1251"/>
      <c r="Q73" s="1251"/>
      <c r="R73" s="1248"/>
      <c r="S73" s="1249"/>
      <c r="T73" s="369"/>
      <c r="U73" s="369"/>
      <c r="V73" s="369"/>
      <c r="W73" s="369"/>
      <c r="X73" s="369"/>
      <c r="Y73" s="369"/>
      <c r="Z73" s="369"/>
      <c r="AA73" s="369"/>
      <c r="AB73" s="369"/>
      <c r="AC73" s="369"/>
      <c r="AD73" s="369"/>
      <c r="AI73" s="369"/>
    </row>
    <row r="74" spans="1:35" s="221" customFormat="1" ht="12.75">
      <c r="A74" s="387"/>
      <c r="B74" s="1250"/>
      <c r="C74" s="1251"/>
      <c r="D74" s="1251"/>
      <c r="E74" s="1251"/>
      <c r="F74" s="1251"/>
      <c r="G74" s="1251"/>
      <c r="H74" s="1251"/>
      <c r="I74" s="1251"/>
      <c r="J74" s="1251"/>
      <c r="K74" s="1251"/>
      <c r="L74" s="1251"/>
      <c r="M74" s="1251"/>
      <c r="N74" s="1251"/>
      <c r="O74" s="1251"/>
      <c r="P74" s="1251"/>
      <c r="Q74" s="1251"/>
      <c r="R74" s="1248"/>
      <c r="S74" s="1249"/>
      <c r="T74" s="369"/>
      <c r="U74" s="369"/>
      <c r="V74" s="369"/>
      <c r="W74" s="369"/>
      <c r="X74" s="369"/>
      <c r="Y74" s="369"/>
      <c r="Z74" s="369"/>
      <c r="AA74" s="369"/>
      <c r="AB74" s="369"/>
      <c r="AC74" s="369"/>
      <c r="AD74" s="369"/>
      <c r="AI74" s="369"/>
    </row>
    <row r="75" spans="1:35" s="221" customFormat="1" ht="12.75">
      <c r="A75" s="387"/>
      <c r="B75" s="1250"/>
      <c r="C75" s="1251"/>
      <c r="D75" s="1251"/>
      <c r="E75" s="1251"/>
      <c r="F75" s="1251"/>
      <c r="G75" s="1251"/>
      <c r="H75" s="1251"/>
      <c r="I75" s="1251"/>
      <c r="J75" s="1251"/>
      <c r="K75" s="1251"/>
      <c r="L75" s="1251"/>
      <c r="M75" s="1251"/>
      <c r="N75" s="1251"/>
      <c r="O75" s="1251"/>
      <c r="P75" s="1251"/>
      <c r="Q75" s="1251"/>
      <c r="R75" s="1248"/>
      <c r="S75" s="1249"/>
      <c r="T75" s="369"/>
      <c r="U75" s="369"/>
      <c r="V75" s="369"/>
      <c r="W75" s="369"/>
      <c r="X75" s="369"/>
      <c r="Y75" s="369"/>
      <c r="Z75" s="369"/>
      <c r="AA75" s="369"/>
      <c r="AB75" s="369"/>
      <c r="AC75" s="369"/>
      <c r="AD75" s="369"/>
      <c r="AI75" s="369"/>
    </row>
    <row r="76" spans="1:35" s="221" customFormat="1" ht="12.75">
      <c r="A76" s="387"/>
      <c r="B76" s="1250"/>
      <c r="C76" s="1251"/>
      <c r="D76" s="1251"/>
      <c r="E76" s="1251"/>
      <c r="F76" s="1251"/>
      <c r="G76" s="1251"/>
      <c r="H76" s="1251"/>
      <c r="I76" s="1251"/>
      <c r="J76" s="1251"/>
      <c r="K76" s="1251"/>
      <c r="L76" s="1251"/>
      <c r="M76" s="1251"/>
      <c r="N76" s="1251"/>
      <c r="O76" s="1251"/>
      <c r="P76" s="1251"/>
      <c r="Q76" s="1251"/>
      <c r="R76" s="1248"/>
      <c r="S76" s="1249"/>
      <c r="T76" s="369"/>
      <c r="U76" s="369"/>
      <c r="V76" s="369"/>
      <c r="W76" s="369"/>
      <c r="X76" s="369"/>
      <c r="Y76" s="369"/>
      <c r="Z76" s="369"/>
      <c r="AA76" s="369"/>
      <c r="AB76" s="369"/>
      <c r="AC76" s="369"/>
      <c r="AD76" s="369"/>
      <c r="AI76" s="369"/>
    </row>
    <row r="77" spans="1:35" s="221" customFormat="1" ht="12.75">
      <c r="A77" s="387"/>
      <c r="B77" s="1250"/>
      <c r="C77" s="1251"/>
      <c r="D77" s="1251"/>
      <c r="E77" s="1251"/>
      <c r="F77" s="1251"/>
      <c r="G77" s="1251"/>
      <c r="H77" s="1251"/>
      <c r="I77" s="1251"/>
      <c r="J77" s="1251"/>
      <c r="K77" s="1251"/>
      <c r="L77" s="1251"/>
      <c r="M77" s="1251"/>
      <c r="N77" s="1251"/>
      <c r="O77" s="1251"/>
      <c r="P77" s="1251"/>
      <c r="Q77" s="1251"/>
      <c r="R77" s="1248"/>
      <c r="S77" s="1249"/>
      <c r="T77" s="369"/>
      <c r="U77" s="369"/>
      <c r="V77" s="369"/>
      <c r="W77" s="369"/>
      <c r="X77" s="369"/>
      <c r="Y77" s="369"/>
      <c r="Z77" s="369"/>
      <c r="AA77" s="369"/>
      <c r="AB77" s="369"/>
      <c r="AC77" s="369"/>
      <c r="AD77" s="369"/>
      <c r="AI77" s="369"/>
    </row>
    <row r="78" spans="1:35" s="221" customFormat="1" ht="13.5" thickBot="1">
      <c r="A78" s="387"/>
      <c r="B78" s="1256"/>
      <c r="C78" s="1257"/>
      <c r="D78" s="1257"/>
      <c r="E78" s="1257"/>
      <c r="F78" s="1257"/>
      <c r="G78" s="1257"/>
      <c r="H78" s="1257"/>
      <c r="I78" s="1257"/>
      <c r="J78" s="1257"/>
      <c r="K78" s="1257"/>
      <c r="L78" s="1257"/>
      <c r="M78" s="1257"/>
      <c r="N78" s="1257"/>
      <c r="O78" s="1257"/>
      <c r="P78" s="1257"/>
      <c r="Q78" s="1257"/>
      <c r="R78" s="1258"/>
      <c r="S78" s="1259"/>
      <c r="T78" s="369"/>
      <c r="U78" s="369"/>
      <c r="V78" s="369"/>
      <c r="W78" s="369"/>
      <c r="X78" s="369"/>
      <c r="Y78" s="369"/>
      <c r="Z78" s="369"/>
      <c r="AA78" s="369"/>
      <c r="AB78" s="369"/>
      <c r="AC78" s="369"/>
      <c r="AD78" s="369"/>
      <c r="AI78" s="369"/>
    </row>
    <row r="79" spans="1:35" s="221" customFormat="1" ht="12.75">
      <c r="A79" s="387"/>
      <c r="B79" s="209"/>
      <c r="C79" s="209"/>
      <c r="D79" s="208"/>
      <c r="E79" s="208"/>
      <c r="F79" s="208"/>
      <c r="G79" s="208"/>
      <c r="H79" s="208"/>
      <c r="I79" s="208"/>
      <c r="J79" s="208"/>
      <c r="K79" s="208"/>
      <c r="L79" s="208"/>
      <c r="M79" s="208"/>
      <c r="N79" s="208"/>
      <c r="O79" s="208"/>
      <c r="P79" s="208"/>
      <c r="Q79" s="208"/>
      <c r="R79" s="208"/>
      <c r="S79" s="365"/>
      <c r="T79" s="369"/>
      <c r="U79" s="369"/>
      <c r="V79" s="369"/>
      <c r="W79" s="369"/>
      <c r="X79" s="369"/>
      <c r="Y79" s="369"/>
      <c r="Z79" s="369"/>
      <c r="AA79" s="369"/>
      <c r="AB79" s="369"/>
      <c r="AC79" s="369"/>
      <c r="AD79" s="369"/>
      <c r="AI79" s="369"/>
    </row>
    <row r="80" spans="1:35" s="221" customFormat="1" ht="12.75">
      <c r="A80" s="387"/>
      <c r="B80" s="205" t="s">
        <v>130</v>
      </c>
      <c r="C80" s="205"/>
      <c r="D80" s="208"/>
      <c r="E80" s="208"/>
      <c r="F80" s="208"/>
      <c r="G80" s="208"/>
      <c r="H80" s="208"/>
      <c r="I80" s="208"/>
      <c r="J80" s="208"/>
      <c r="K80" s="208"/>
      <c r="L80" s="208"/>
      <c r="M80" s="208"/>
      <c r="N80" s="208"/>
      <c r="O80" s="208"/>
      <c r="P80" s="208"/>
      <c r="Q80" s="208"/>
      <c r="R80" s="208"/>
      <c r="S80" s="365"/>
      <c r="T80" s="369"/>
      <c r="U80" s="369"/>
      <c r="V80" s="369"/>
      <c r="W80" s="369"/>
      <c r="X80" s="369"/>
      <c r="Y80" s="369"/>
      <c r="Z80" s="369"/>
      <c r="AA80" s="369"/>
      <c r="AB80" s="369"/>
      <c r="AC80" s="369"/>
      <c r="AD80" s="369"/>
      <c r="AI80" s="369"/>
    </row>
    <row r="81" spans="1:35" s="221" customFormat="1" ht="13.5" thickBot="1">
      <c r="A81" s="387"/>
      <c r="B81" s="205"/>
      <c r="C81" s="205"/>
      <c r="D81" s="208"/>
      <c r="E81" s="208"/>
      <c r="F81" s="208"/>
      <c r="G81" s="208"/>
      <c r="H81" s="208"/>
      <c r="I81" s="208"/>
      <c r="J81" s="208"/>
      <c r="K81" s="208"/>
      <c r="L81" s="208"/>
      <c r="M81" s="208"/>
      <c r="N81" s="208"/>
      <c r="O81" s="208"/>
      <c r="P81" s="208"/>
      <c r="Q81" s="208"/>
      <c r="R81" s="208"/>
      <c r="S81" s="365"/>
      <c r="T81" s="369"/>
      <c r="U81" s="369"/>
      <c r="V81" s="369"/>
      <c r="W81" s="369"/>
      <c r="X81" s="369"/>
      <c r="Y81" s="369"/>
      <c r="Z81" s="369"/>
      <c r="AA81" s="369"/>
      <c r="AB81" s="369"/>
      <c r="AC81" s="369"/>
      <c r="AD81" s="369"/>
      <c r="AI81" s="369"/>
    </row>
    <row r="82" spans="1:35" s="221" customFormat="1" ht="200.1" customHeight="1" thickBot="1">
      <c r="A82" s="387"/>
      <c r="B82" s="1196"/>
      <c r="C82" s="1197"/>
      <c r="D82" s="1197"/>
      <c r="E82" s="1197"/>
      <c r="F82" s="1197"/>
      <c r="G82" s="1197"/>
      <c r="H82" s="1197"/>
      <c r="I82" s="1197"/>
      <c r="J82" s="1197"/>
      <c r="K82" s="1197"/>
      <c r="L82" s="1197"/>
      <c r="M82" s="1197"/>
      <c r="N82" s="1197"/>
      <c r="O82" s="1197"/>
      <c r="P82" s="1197"/>
      <c r="Q82" s="1198"/>
      <c r="R82" s="208"/>
      <c r="S82" s="365"/>
      <c r="T82" s="369"/>
      <c r="U82" s="369"/>
      <c r="V82" s="369"/>
      <c r="W82" s="369"/>
      <c r="X82" s="369"/>
      <c r="Y82" s="369"/>
      <c r="Z82" s="369"/>
      <c r="AA82" s="369"/>
      <c r="AB82" s="369"/>
      <c r="AC82" s="369"/>
      <c r="AD82" s="369"/>
      <c r="AI82" s="369"/>
    </row>
    <row r="83" spans="1:35" s="208" customFormat="1" ht="12.75">
      <c r="A83" s="209"/>
      <c r="B83" s="209"/>
      <c r="C83" s="209"/>
      <c r="S83" s="365"/>
      <c r="T83" s="365"/>
      <c r="U83" s="365"/>
      <c r="V83" s="365"/>
      <c r="W83" s="365"/>
      <c r="X83" s="365"/>
      <c r="Y83" s="365"/>
      <c r="Z83" s="365"/>
      <c r="AA83" s="365"/>
      <c r="AB83" s="365"/>
      <c r="AC83" s="365"/>
      <c r="AD83" s="365"/>
      <c r="AI83" s="365"/>
    </row>
    <row r="84" spans="1:35" s="208" customFormat="1">
      <c r="A84" s="209"/>
      <c r="B84" s="211" t="s">
        <v>13</v>
      </c>
      <c r="C84" s="209"/>
      <c r="M84" s="264"/>
      <c r="N84" s="307"/>
      <c r="O84" s="307"/>
      <c r="P84" s="307"/>
      <c r="S84" s="365"/>
      <c r="T84" s="365"/>
      <c r="U84" s="365"/>
      <c r="V84" s="365"/>
      <c r="W84" s="365"/>
      <c r="X84" s="365"/>
      <c r="Y84" s="365"/>
      <c r="Z84" s="365"/>
      <c r="AA84" s="365"/>
      <c r="AB84" s="365"/>
      <c r="AC84" s="365"/>
      <c r="AD84" s="365"/>
      <c r="AI84" s="365"/>
    </row>
    <row r="85" spans="1:35" s="208" customFormat="1">
      <c r="A85" s="209"/>
      <c r="B85" s="211"/>
      <c r="C85" s="209"/>
      <c r="M85" s="264"/>
      <c r="N85" s="307"/>
      <c r="O85" s="307"/>
      <c r="P85" s="307"/>
      <c r="S85" s="365"/>
      <c r="T85" s="365"/>
      <c r="U85" s="365"/>
      <c r="V85" s="365"/>
      <c r="W85" s="365"/>
      <c r="X85" s="365"/>
      <c r="Y85" s="365"/>
      <c r="Z85" s="365"/>
      <c r="AA85" s="365"/>
      <c r="AB85" s="365"/>
      <c r="AC85" s="365"/>
      <c r="AD85" s="365"/>
      <c r="AI85" s="365"/>
    </row>
    <row r="86" spans="1:35" s="208" customFormat="1" ht="65.25" customHeight="1">
      <c r="A86" s="209"/>
      <c r="B86" s="1247" t="s">
        <v>888</v>
      </c>
      <c r="C86" s="1247"/>
      <c r="D86" s="1247"/>
      <c r="E86" s="1247"/>
      <c r="F86" s="1247"/>
      <c r="G86" s="1247"/>
      <c r="H86" s="1247"/>
      <c r="I86" s="1247"/>
      <c r="J86" s="1247"/>
      <c r="K86" s="1247"/>
      <c r="L86" s="1247"/>
      <c r="M86" s="1247"/>
      <c r="N86" s="1247"/>
      <c r="O86" s="1247"/>
      <c r="P86" s="1247"/>
      <c r="Q86" s="1247"/>
      <c r="R86" s="1247"/>
      <c r="S86" s="1247"/>
      <c r="T86" s="365"/>
      <c r="U86" s="365"/>
      <c r="V86" s="365"/>
      <c r="W86" s="365"/>
      <c r="X86" s="365"/>
      <c r="Y86" s="365"/>
      <c r="Z86" s="365"/>
      <c r="AA86" s="365"/>
      <c r="AB86" s="365"/>
      <c r="AC86" s="365"/>
      <c r="AD86" s="365"/>
      <c r="AI86" s="365"/>
    </row>
    <row r="87" spans="1:35">
      <c r="B87" s="211"/>
      <c r="C87" s="209"/>
      <c r="D87" s="208"/>
      <c r="E87" s="208"/>
      <c r="F87" s="208"/>
      <c r="G87" s="208"/>
      <c r="H87" s="208"/>
      <c r="I87" s="208"/>
      <c r="J87" s="208"/>
      <c r="K87" s="208"/>
      <c r="L87" s="208"/>
      <c r="M87" s="264"/>
      <c r="N87" s="307"/>
      <c r="O87" s="307"/>
      <c r="P87" s="307"/>
      <c r="Q87" s="208"/>
      <c r="R87" s="208"/>
      <c r="S87" s="365"/>
    </row>
    <row r="88" spans="1:35" s="306" customFormat="1" ht="20.25" customHeight="1">
      <c r="A88" s="388"/>
      <c r="B88" s="1261" t="s">
        <v>209</v>
      </c>
      <c r="C88" s="1261"/>
      <c r="D88" s="1261"/>
      <c r="E88" s="1261"/>
      <c r="F88" s="1261"/>
      <c r="G88" s="1253"/>
      <c r="H88" s="1253"/>
      <c r="I88" s="1253"/>
      <c r="J88" s="1253"/>
      <c r="K88" s="1253"/>
      <c r="L88" s="1253"/>
      <c r="M88" s="1253"/>
      <c r="N88" s="1253"/>
      <c r="O88" s="1253"/>
      <c r="P88" s="1253"/>
      <c r="Q88" s="1253"/>
      <c r="S88" s="371"/>
      <c r="T88" s="371"/>
      <c r="U88" s="371"/>
      <c r="V88" s="371"/>
      <c r="W88" s="371"/>
      <c r="X88" s="371"/>
      <c r="Y88" s="371"/>
      <c r="Z88" s="371"/>
      <c r="AA88" s="371"/>
      <c r="AB88" s="371"/>
      <c r="AC88" s="371"/>
      <c r="AD88" s="371"/>
      <c r="AI88" s="371"/>
    </row>
    <row r="89" spans="1:35" s="306" customFormat="1" ht="36" customHeight="1">
      <c r="A89" s="388"/>
      <c r="B89" s="1261" t="s">
        <v>917</v>
      </c>
      <c r="C89" s="1261"/>
      <c r="D89" s="1261"/>
      <c r="E89" s="1261"/>
      <c r="F89" s="1261"/>
      <c r="G89" s="1262"/>
      <c r="H89" s="1263"/>
      <c r="I89" s="1263"/>
      <c r="J89" s="1263"/>
      <c r="K89" s="1263"/>
      <c r="L89" s="1263"/>
      <c r="M89" s="1263"/>
      <c r="N89" s="1263"/>
      <c r="O89" s="1263"/>
      <c r="P89" s="1263"/>
      <c r="Q89" s="1264"/>
      <c r="S89" s="371"/>
      <c r="T89" s="371"/>
      <c r="U89" s="371"/>
      <c r="V89" s="371"/>
      <c r="W89" s="371"/>
      <c r="X89" s="371"/>
      <c r="Y89" s="371"/>
      <c r="Z89" s="371"/>
      <c r="AA89" s="371"/>
      <c r="AB89" s="371"/>
      <c r="AC89" s="371"/>
      <c r="AD89" s="371"/>
      <c r="AI89" s="371"/>
    </row>
    <row r="90" spans="1:35" s="306" customFormat="1" ht="12.75">
      <c r="A90" s="388"/>
      <c r="B90" s="370"/>
      <c r="C90" s="370"/>
      <c r="S90" s="371"/>
      <c r="T90" s="365"/>
      <c r="U90" s="371"/>
      <c r="V90" s="371"/>
      <c r="W90" s="371"/>
      <c r="X90" s="371"/>
      <c r="Y90" s="371"/>
      <c r="Z90" s="371"/>
      <c r="AA90" s="371"/>
      <c r="AB90" s="371"/>
      <c r="AC90" s="371"/>
      <c r="AD90" s="371"/>
      <c r="AI90" s="371"/>
    </row>
    <row r="91" spans="1:35">
      <c r="B91" s="211" t="s">
        <v>145</v>
      </c>
      <c r="C91" s="209"/>
      <c r="D91" s="208"/>
      <c r="E91" s="208"/>
      <c r="F91" s="208"/>
      <c r="G91" s="208"/>
      <c r="H91" s="208"/>
      <c r="I91" s="208"/>
      <c r="J91" s="208"/>
      <c r="K91" s="208"/>
      <c r="L91" s="208"/>
      <c r="M91" s="264"/>
      <c r="N91" s="307"/>
      <c r="O91" s="307"/>
      <c r="P91" s="307"/>
      <c r="Q91" s="208"/>
      <c r="R91" s="208"/>
      <c r="S91" s="365"/>
    </row>
    <row r="92" spans="1:35">
      <c r="B92" s="209"/>
      <c r="C92" s="209"/>
      <c r="D92" s="208"/>
      <c r="E92" s="208"/>
      <c r="F92" s="208"/>
      <c r="G92" s="208"/>
      <c r="H92" s="208"/>
      <c r="I92" s="208"/>
      <c r="J92" s="208"/>
      <c r="K92" s="208"/>
      <c r="L92" s="208"/>
      <c r="M92" s="264"/>
      <c r="N92" s="307"/>
      <c r="O92" s="307"/>
      <c r="P92" s="307"/>
      <c r="Q92" s="208"/>
      <c r="R92" s="208"/>
      <c r="S92" s="365"/>
    </row>
    <row r="93" spans="1:35" ht="15.75" thickBot="1">
      <c r="B93" s="1252" t="s">
        <v>663</v>
      </c>
      <c r="C93" s="1252"/>
      <c r="D93" s="1252"/>
      <c r="E93" s="1252"/>
      <c r="F93" s="1252"/>
      <c r="G93" s="1252"/>
      <c r="H93" s="1252"/>
      <c r="I93" s="1252"/>
      <c r="J93" s="1252"/>
      <c r="K93" s="1252"/>
      <c r="L93" s="1252"/>
      <c r="M93" s="1252"/>
      <c r="N93" s="1252"/>
      <c r="O93" s="1252"/>
      <c r="P93" s="1252"/>
      <c r="Q93" s="1252"/>
      <c r="R93" s="1252"/>
      <c r="S93" s="1252"/>
      <c r="T93" s="1252"/>
    </row>
    <row r="94" spans="1:35" s="101" customFormat="1" ht="30" customHeight="1" thickBot="1">
      <c r="B94" s="280"/>
      <c r="C94" s="280"/>
      <c r="D94" s="634"/>
      <c r="E94" s="634"/>
      <c r="F94" s="634"/>
      <c r="G94" s="634"/>
      <c r="H94" s="280"/>
      <c r="I94" s="280"/>
      <c r="J94" s="1228" t="s">
        <v>705</v>
      </c>
      <c r="K94" s="1229"/>
      <c r="L94" s="1230" t="s">
        <v>618</v>
      </c>
      <c r="M94" s="1231"/>
      <c r="N94" s="1228" t="s">
        <v>706</v>
      </c>
      <c r="O94" s="1229"/>
      <c r="P94" s="1232" t="s">
        <v>707</v>
      </c>
      <c r="Q94" s="1233"/>
      <c r="R94" s="663"/>
      <c r="S94" s="663"/>
      <c r="T94" s="389"/>
      <c r="U94" s="389"/>
      <c r="V94" s="389"/>
      <c r="W94" s="389"/>
      <c r="X94" s="389"/>
      <c r="Y94" s="389"/>
      <c r="Z94" s="389"/>
      <c r="AA94" s="389"/>
      <c r="AF94" s="389"/>
    </row>
    <row r="95" spans="1:35" ht="45" customHeight="1" thickBot="1">
      <c r="B95" s="875" t="s">
        <v>15</v>
      </c>
      <c r="C95" s="884" t="s">
        <v>128</v>
      </c>
      <c r="D95" s="628" t="s">
        <v>23</v>
      </c>
      <c r="E95" s="212" t="s">
        <v>24</v>
      </c>
      <c r="F95" s="212" t="s">
        <v>25</v>
      </c>
      <c r="G95" s="212" t="s">
        <v>26</v>
      </c>
      <c r="H95" s="655" t="s">
        <v>38</v>
      </c>
      <c r="I95" s="305" t="s">
        <v>571</v>
      </c>
      <c r="J95" s="400" t="s">
        <v>669</v>
      </c>
      <c r="K95" s="401" t="s">
        <v>314</v>
      </c>
      <c r="L95" s="401" t="s">
        <v>669</v>
      </c>
      <c r="M95" s="481" t="s">
        <v>314</v>
      </c>
      <c r="N95" s="484" t="s">
        <v>669</v>
      </c>
      <c r="O95" s="485" t="s">
        <v>314</v>
      </c>
      <c r="P95" s="485" t="s">
        <v>669</v>
      </c>
      <c r="Q95" s="486" t="s">
        <v>314</v>
      </c>
      <c r="R95" s="212" t="s">
        <v>976</v>
      </c>
      <c r="S95" s="212" t="s">
        <v>984</v>
      </c>
      <c r="T95" s="212" t="s">
        <v>975</v>
      </c>
      <c r="U95" s="212" t="s">
        <v>983</v>
      </c>
      <c r="V95" s="18"/>
      <c r="W95" s="18"/>
      <c r="X95" s="18"/>
      <c r="Y95" s="18"/>
      <c r="Z95" s="18"/>
      <c r="AA95" s="18"/>
      <c r="AB95" s="18"/>
      <c r="AC95" s="18"/>
      <c r="AD95" s="18"/>
      <c r="AI95" s="18"/>
    </row>
    <row r="96" spans="1:35" ht="15" customHeight="1">
      <c r="B96" s="1101" t="str">
        <f>'Scheme Definitions'!B121</f>
        <v/>
      </c>
      <c r="C96" s="918"/>
      <c r="D96" s="652"/>
      <c r="E96" s="653"/>
      <c r="F96" s="653"/>
      <c r="G96" s="660"/>
      <c r="H96" s="656"/>
      <c r="I96" s="600"/>
      <c r="J96" s="405"/>
      <c r="K96" s="194"/>
      <c r="L96" s="313"/>
      <c r="M96" s="478"/>
      <c r="N96" s="482"/>
      <c r="O96" s="483"/>
      <c r="P96" s="309" t="s">
        <v>34</v>
      </c>
      <c r="Q96" s="310"/>
      <c r="R96" s="664"/>
      <c r="S96" s="310"/>
      <c r="T96" s="1225"/>
      <c r="U96" s="1225"/>
      <c r="V96" s="18"/>
      <c r="W96" s="18"/>
      <c r="X96" s="18"/>
      <c r="Y96" s="18"/>
      <c r="Z96" s="18"/>
      <c r="AA96" s="18"/>
      <c r="AB96" s="18"/>
      <c r="AC96" s="18"/>
      <c r="AD96" s="18"/>
      <c r="AI96" s="18"/>
    </row>
    <row r="97" spans="1:35">
      <c r="B97" s="1102"/>
      <c r="C97" s="919"/>
      <c r="D97" s="654"/>
      <c r="E97" s="654"/>
      <c r="F97" s="654"/>
      <c r="G97" s="661"/>
      <c r="H97" s="657"/>
      <c r="I97" s="601"/>
      <c r="J97" s="406"/>
      <c r="K97" s="193"/>
      <c r="L97" s="315"/>
      <c r="M97" s="479"/>
      <c r="N97" s="406"/>
      <c r="O97" s="193"/>
      <c r="P97" s="315" t="s">
        <v>34</v>
      </c>
      <c r="Q97" s="316"/>
      <c r="R97" s="664"/>
      <c r="S97" s="310"/>
      <c r="T97" s="1226"/>
      <c r="U97" s="1226"/>
      <c r="V97" s="18"/>
      <c r="W97" s="18"/>
      <c r="X97" s="18"/>
      <c r="Y97" s="18"/>
      <c r="Z97" s="18"/>
      <c r="AA97" s="18"/>
      <c r="AB97" s="18"/>
      <c r="AC97" s="18"/>
      <c r="AD97" s="18"/>
      <c r="AI97" s="18"/>
    </row>
    <row r="98" spans="1:35">
      <c r="B98" s="1102"/>
      <c r="C98" s="919"/>
      <c r="D98" s="654"/>
      <c r="E98" s="654"/>
      <c r="F98" s="654"/>
      <c r="G98" s="661"/>
      <c r="H98" s="657"/>
      <c r="I98" s="601"/>
      <c r="J98" s="406"/>
      <c r="K98" s="193"/>
      <c r="L98" s="315"/>
      <c r="M98" s="479"/>
      <c r="N98" s="406"/>
      <c r="O98" s="193"/>
      <c r="P98" s="315" t="s">
        <v>34</v>
      </c>
      <c r="Q98" s="316"/>
      <c r="R98" s="664"/>
      <c r="S98" s="310"/>
      <c r="T98" s="1226"/>
      <c r="U98" s="1226"/>
      <c r="V98" s="18"/>
      <c r="W98" s="18"/>
      <c r="X98" s="18"/>
      <c r="Y98" s="18"/>
      <c r="Z98" s="18"/>
      <c r="AA98" s="18"/>
      <c r="AB98" s="18"/>
      <c r="AC98" s="18"/>
      <c r="AD98" s="18"/>
      <c r="AI98" s="18"/>
    </row>
    <row r="99" spans="1:35">
      <c r="B99" s="1102"/>
      <c r="C99" s="919"/>
      <c r="D99" s="654"/>
      <c r="E99" s="654"/>
      <c r="F99" s="654"/>
      <c r="G99" s="661"/>
      <c r="H99" s="657"/>
      <c r="I99" s="601"/>
      <c r="J99" s="406"/>
      <c r="K99" s="193"/>
      <c r="L99" s="315"/>
      <c r="M99" s="479"/>
      <c r="N99" s="406"/>
      <c r="O99" s="193"/>
      <c r="P99" s="315" t="s">
        <v>34</v>
      </c>
      <c r="Q99" s="316"/>
      <c r="R99" s="664"/>
      <c r="S99" s="310"/>
      <c r="T99" s="1226"/>
      <c r="U99" s="1226"/>
      <c r="V99" s="18"/>
      <c r="W99" s="18"/>
      <c r="X99" s="18"/>
      <c r="Y99" s="18"/>
      <c r="Z99" s="18"/>
      <c r="AA99" s="18"/>
      <c r="AB99" s="18"/>
      <c r="AC99" s="18"/>
      <c r="AD99" s="18"/>
      <c r="AI99" s="18"/>
    </row>
    <row r="100" spans="1:35">
      <c r="B100" s="1102"/>
      <c r="C100" s="919"/>
      <c r="D100" s="654"/>
      <c r="E100" s="654"/>
      <c r="F100" s="654"/>
      <c r="G100" s="661"/>
      <c r="H100" s="657"/>
      <c r="I100" s="601"/>
      <c r="J100" s="406"/>
      <c r="K100" s="193"/>
      <c r="L100" s="315"/>
      <c r="M100" s="479"/>
      <c r="N100" s="406"/>
      <c r="O100" s="193"/>
      <c r="P100" s="315" t="s">
        <v>34</v>
      </c>
      <c r="Q100" s="316"/>
      <c r="R100" s="664"/>
      <c r="S100" s="310"/>
      <c r="T100" s="1226"/>
      <c r="U100" s="1226"/>
      <c r="V100" s="18"/>
      <c r="W100" s="18"/>
      <c r="X100" s="18"/>
      <c r="Y100" s="18"/>
      <c r="Z100" s="18"/>
      <c r="AA100" s="18"/>
      <c r="AB100" s="18"/>
      <c r="AC100" s="18"/>
      <c r="AD100" s="18"/>
      <c r="AI100" s="18"/>
    </row>
    <row r="101" spans="1:35" s="266" customFormat="1">
      <c r="B101" s="1102"/>
      <c r="C101" s="919"/>
      <c r="D101" s="654"/>
      <c r="E101" s="654"/>
      <c r="F101" s="654"/>
      <c r="G101" s="661"/>
      <c r="H101" s="658"/>
      <c r="I101" s="602"/>
      <c r="J101" s="406"/>
      <c r="K101" s="193"/>
      <c r="L101" s="315"/>
      <c r="M101" s="479"/>
      <c r="N101" s="406"/>
      <c r="O101" s="193"/>
      <c r="P101" s="315" t="s">
        <v>34</v>
      </c>
      <c r="Q101" s="316"/>
      <c r="R101" s="664"/>
      <c r="S101" s="310"/>
      <c r="T101" s="1226"/>
      <c r="U101" s="1226"/>
    </row>
    <row r="102" spans="1:35" s="208" customFormat="1" ht="12.75">
      <c r="A102" s="209"/>
      <c r="B102" s="1102"/>
      <c r="C102" s="919"/>
      <c r="D102" s="654"/>
      <c r="E102" s="654"/>
      <c r="F102" s="654"/>
      <c r="G102" s="661"/>
      <c r="H102" s="658"/>
      <c r="I102" s="602"/>
      <c r="J102" s="406"/>
      <c r="K102" s="193"/>
      <c r="L102" s="315"/>
      <c r="M102" s="479"/>
      <c r="N102" s="406"/>
      <c r="O102" s="193"/>
      <c r="P102" s="315" t="s">
        <v>34</v>
      </c>
      <c r="Q102" s="316"/>
      <c r="R102" s="664"/>
      <c r="S102" s="310"/>
      <c r="T102" s="1226"/>
      <c r="U102" s="1226"/>
    </row>
    <row r="103" spans="1:35" s="208" customFormat="1" ht="12.75">
      <c r="A103" s="209"/>
      <c r="B103" s="1102"/>
      <c r="C103" s="919"/>
      <c r="D103" s="654"/>
      <c r="E103" s="654"/>
      <c r="F103" s="654"/>
      <c r="G103" s="661"/>
      <c r="H103" s="658"/>
      <c r="I103" s="602"/>
      <c r="J103" s="406"/>
      <c r="K103" s="193"/>
      <c r="L103" s="315"/>
      <c r="M103" s="479"/>
      <c r="N103" s="406"/>
      <c r="O103" s="193"/>
      <c r="P103" s="315" t="s">
        <v>34</v>
      </c>
      <c r="Q103" s="316"/>
      <c r="R103" s="664"/>
      <c r="S103" s="310"/>
      <c r="T103" s="1226"/>
      <c r="U103" s="1226"/>
    </row>
    <row r="104" spans="1:35" s="208" customFormat="1" ht="12.75">
      <c r="A104" s="209"/>
      <c r="B104" s="1102"/>
      <c r="C104" s="919"/>
      <c r="D104" s="654"/>
      <c r="E104" s="654"/>
      <c r="F104" s="654"/>
      <c r="G104" s="661"/>
      <c r="H104" s="658"/>
      <c r="I104" s="602"/>
      <c r="J104" s="406"/>
      <c r="K104" s="193"/>
      <c r="L104" s="315"/>
      <c r="M104" s="479"/>
      <c r="N104" s="406"/>
      <c r="O104" s="193"/>
      <c r="P104" s="315" t="s">
        <v>34</v>
      </c>
      <c r="Q104" s="316"/>
      <c r="R104" s="664"/>
      <c r="S104" s="310"/>
      <c r="T104" s="1226"/>
      <c r="U104" s="1226"/>
    </row>
    <row r="105" spans="1:35" s="208" customFormat="1" ht="12.75">
      <c r="A105" s="209"/>
      <c r="B105" s="1102"/>
      <c r="C105" s="919"/>
      <c r="D105" s="654"/>
      <c r="E105" s="654"/>
      <c r="F105" s="654"/>
      <c r="G105" s="661"/>
      <c r="H105" s="658"/>
      <c r="I105" s="602"/>
      <c r="J105" s="406"/>
      <c r="K105" s="193"/>
      <c r="L105" s="315"/>
      <c r="M105" s="479"/>
      <c r="N105" s="406"/>
      <c r="O105" s="193"/>
      <c r="P105" s="315" t="s">
        <v>34</v>
      </c>
      <c r="Q105" s="316"/>
      <c r="R105" s="664"/>
      <c r="S105" s="310"/>
      <c r="T105" s="1226"/>
      <c r="U105" s="1226"/>
    </row>
    <row r="106" spans="1:35" s="208" customFormat="1" ht="12.75">
      <c r="A106" s="209"/>
      <c r="B106" s="1102"/>
      <c r="C106" s="919"/>
      <c r="D106" s="654"/>
      <c r="E106" s="654"/>
      <c r="F106" s="654"/>
      <c r="G106" s="661"/>
      <c r="H106" s="658"/>
      <c r="I106" s="602"/>
      <c r="J106" s="406"/>
      <c r="K106" s="193"/>
      <c r="L106" s="315"/>
      <c r="M106" s="479"/>
      <c r="N106" s="406"/>
      <c r="O106" s="193"/>
      <c r="P106" s="315" t="s">
        <v>34</v>
      </c>
      <c r="Q106" s="316"/>
      <c r="R106" s="664"/>
      <c r="S106" s="310"/>
      <c r="T106" s="1226"/>
      <c r="U106" s="1226"/>
    </row>
    <row r="107" spans="1:35" s="208" customFormat="1" ht="12.75">
      <c r="A107" s="209"/>
      <c r="B107" s="1102"/>
      <c r="C107" s="919"/>
      <c r="D107" s="654"/>
      <c r="E107" s="654"/>
      <c r="F107" s="654"/>
      <c r="G107" s="661"/>
      <c r="H107" s="658"/>
      <c r="I107" s="602"/>
      <c r="J107" s="406"/>
      <c r="K107" s="193"/>
      <c r="L107" s="315"/>
      <c r="M107" s="479"/>
      <c r="N107" s="406"/>
      <c r="O107" s="193"/>
      <c r="P107" s="315" t="s">
        <v>34</v>
      </c>
      <c r="Q107" s="316"/>
      <c r="R107" s="664"/>
      <c r="S107" s="310"/>
      <c r="T107" s="1226"/>
      <c r="U107" s="1226"/>
    </row>
    <row r="108" spans="1:35" s="208" customFormat="1" ht="12.75">
      <c r="A108" s="209"/>
      <c r="B108" s="1102"/>
      <c r="C108" s="919"/>
      <c r="D108" s="654"/>
      <c r="E108" s="654"/>
      <c r="F108" s="654"/>
      <c r="G108" s="661"/>
      <c r="H108" s="658"/>
      <c r="I108" s="602"/>
      <c r="J108" s="406"/>
      <c r="K108" s="193"/>
      <c r="L108" s="315"/>
      <c r="M108" s="479"/>
      <c r="N108" s="406"/>
      <c r="O108" s="193"/>
      <c r="P108" s="315" t="s">
        <v>34</v>
      </c>
      <c r="Q108" s="316"/>
      <c r="R108" s="664"/>
      <c r="S108" s="310"/>
      <c r="T108" s="1226"/>
      <c r="U108" s="1226"/>
    </row>
    <row r="109" spans="1:35" s="208" customFormat="1" ht="12.75">
      <c r="A109" s="209"/>
      <c r="B109" s="1102"/>
      <c r="C109" s="919"/>
      <c r="D109" s="654"/>
      <c r="E109" s="654"/>
      <c r="F109" s="654"/>
      <c r="G109" s="661"/>
      <c r="H109" s="658"/>
      <c r="I109" s="602"/>
      <c r="J109" s="406"/>
      <c r="K109" s="193"/>
      <c r="L109" s="315"/>
      <c r="M109" s="479"/>
      <c r="N109" s="406"/>
      <c r="O109" s="193"/>
      <c r="P109" s="315" t="s">
        <v>34</v>
      </c>
      <c r="Q109" s="316"/>
      <c r="R109" s="664"/>
      <c r="S109" s="310"/>
      <c r="T109" s="1226"/>
      <c r="U109" s="1226"/>
    </row>
    <row r="110" spans="1:35" s="208" customFormat="1" ht="12.75">
      <c r="A110" s="209"/>
      <c r="B110" s="1102"/>
      <c r="C110" s="919"/>
      <c r="D110" s="654"/>
      <c r="E110" s="654"/>
      <c r="F110" s="654"/>
      <c r="G110" s="661"/>
      <c r="H110" s="658"/>
      <c r="I110" s="602"/>
      <c r="J110" s="406"/>
      <c r="K110" s="193"/>
      <c r="L110" s="315"/>
      <c r="M110" s="479"/>
      <c r="N110" s="406"/>
      <c r="O110" s="193"/>
      <c r="P110" s="315" t="s">
        <v>34</v>
      </c>
      <c r="Q110" s="316"/>
      <c r="R110" s="664"/>
      <c r="S110" s="310"/>
      <c r="T110" s="1226"/>
      <c r="U110" s="1226"/>
    </row>
    <row r="111" spans="1:35" s="208" customFormat="1" ht="12.75">
      <c r="A111" s="209"/>
      <c r="B111" s="1102"/>
      <c r="C111" s="919"/>
      <c r="D111" s="654"/>
      <c r="E111" s="654"/>
      <c r="F111" s="654"/>
      <c r="G111" s="661"/>
      <c r="H111" s="658"/>
      <c r="I111" s="602"/>
      <c r="J111" s="406"/>
      <c r="K111" s="193"/>
      <c r="L111" s="315"/>
      <c r="M111" s="479"/>
      <c r="N111" s="406"/>
      <c r="O111" s="193"/>
      <c r="P111" s="315" t="s">
        <v>34</v>
      </c>
      <c r="Q111" s="316"/>
      <c r="R111" s="664"/>
      <c r="S111" s="310"/>
      <c r="T111" s="1226"/>
      <c r="U111" s="1226"/>
    </row>
    <row r="112" spans="1:35" s="208" customFormat="1" ht="12.75" customHeight="1">
      <c r="A112" s="209"/>
      <c r="B112" s="1102"/>
      <c r="C112" s="919"/>
      <c r="D112" s="654"/>
      <c r="E112" s="654"/>
      <c r="F112" s="654"/>
      <c r="G112" s="661"/>
      <c r="H112" s="658"/>
      <c r="I112" s="602"/>
      <c r="J112" s="406"/>
      <c r="K112" s="193"/>
      <c r="L112" s="315"/>
      <c r="M112" s="479"/>
      <c r="N112" s="406"/>
      <c r="O112" s="193"/>
      <c r="P112" s="315" t="s">
        <v>34</v>
      </c>
      <c r="Q112" s="316"/>
      <c r="R112" s="664"/>
      <c r="S112" s="310"/>
      <c r="T112" s="1226"/>
      <c r="U112" s="1226"/>
    </row>
    <row r="113" spans="1:24" s="208" customFormat="1" ht="12.75">
      <c r="A113" s="209"/>
      <c r="B113" s="1102"/>
      <c r="C113" s="919"/>
      <c r="D113" s="654"/>
      <c r="E113" s="654"/>
      <c r="F113" s="654"/>
      <c r="G113" s="661"/>
      <c r="H113" s="658"/>
      <c r="I113" s="602"/>
      <c r="J113" s="406"/>
      <c r="K113" s="193"/>
      <c r="L113" s="315"/>
      <c r="M113" s="479"/>
      <c r="N113" s="406"/>
      <c r="O113" s="193"/>
      <c r="P113" s="315" t="s">
        <v>34</v>
      </c>
      <c r="Q113" s="316"/>
      <c r="R113" s="664"/>
      <c r="S113" s="310"/>
      <c r="T113" s="1226"/>
      <c r="U113" s="1226"/>
    </row>
    <row r="114" spans="1:24" s="208" customFormat="1" ht="12.75">
      <c r="A114" s="209"/>
      <c r="B114" s="1102"/>
      <c r="C114" s="919"/>
      <c r="D114" s="654"/>
      <c r="E114" s="654"/>
      <c r="F114" s="654"/>
      <c r="G114" s="661"/>
      <c r="H114" s="658"/>
      <c r="I114" s="602"/>
      <c r="J114" s="406"/>
      <c r="K114" s="193"/>
      <c r="L114" s="315"/>
      <c r="M114" s="479"/>
      <c r="N114" s="406"/>
      <c r="O114" s="193"/>
      <c r="P114" s="315" t="s">
        <v>34</v>
      </c>
      <c r="Q114" s="316"/>
      <c r="R114" s="664"/>
      <c r="S114" s="310"/>
      <c r="T114" s="1226"/>
      <c r="U114" s="1226"/>
    </row>
    <row r="115" spans="1:24" s="208" customFormat="1" ht="13.5" thickBot="1">
      <c r="A115" s="209"/>
      <c r="B115" s="1103"/>
      <c r="C115" s="926"/>
      <c r="D115" s="650"/>
      <c r="E115" s="650"/>
      <c r="F115" s="650"/>
      <c r="G115" s="662"/>
      <c r="H115" s="659"/>
      <c r="I115" s="603"/>
      <c r="J115" s="407"/>
      <c r="K115" s="195"/>
      <c r="L115" s="311"/>
      <c r="M115" s="480"/>
      <c r="N115" s="407"/>
      <c r="O115" s="195"/>
      <c r="P115" s="311" t="s">
        <v>34</v>
      </c>
      <c r="Q115" s="312"/>
      <c r="R115" s="665"/>
      <c r="S115" s="310"/>
      <c r="T115" s="1227"/>
      <c r="U115" s="1227"/>
    </row>
    <row r="116" spans="1:24" s="306" customFormat="1" ht="13.5" thickBot="1">
      <c r="A116" s="388"/>
      <c r="B116" s="190"/>
      <c r="C116" s="190"/>
      <c r="D116" s="190"/>
      <c r="E116" s="190"/>
      <c r="F116" s="192"/>
      <c r="G116" s="192"/>
      <c r="H116" s="192"/>
      <c r="I116" s="644"/>
      <c r="J116" s="644"/>
      <c r="K116" s="644"/>
      <c r="L116" s="644"/>
      <c r="M116" s="403"/>
      <c r="N116" s="404"/>
      <c r="O116" s="138"/>
      <c r="P116" s="138"/>
      <c r="Q116" s="261"/>
      <c r="R116" s="261"/>
      <c r="S116" s="261"/>
      <c r="T116" s="261"/>
      <c r="U116" s="261"/>
      <c r="V116" s="261"/>
      <c r="W116" s="261"/>
      <c r="X116" s="261"/>
    </row>
    <row r="117" spans="1:24" s="306" customFormat="1" ht="15.75" thickBot="1">
      <c r="A117" s="388"/>
      <c r="B117" s="888"/>
      <c r="C117" s="888"/>
      <c r="D117" s="888"/>
      <c r="E117" s="888"/>
      <c r="F117" s="888"/>
      <c r="G117" s="888"/>
      <c r="H117" s="888"/>
      <c r="I117" s="888"/>
      <c r="J117" s="1228" t="s">
        <v>705</v>
      </c>
      <c r="K117" s="1229"/>
      <c r="L117" s="1230" t="s">
        <v>618</v>
      </c>
      <c r="M117" s="1231"/>
      <c r="N117" s="1228" t="s">
        <v>706</v>
      </c>
      <c r="O117" s="1229"/>
      <c r="P117" s="1232" t="s">
        <v>707</v>
      </c>
      <c r="Q117" s="1233"/>
      <c r="R117" s="663"/>
      <c r="S117" s="663"/>
      <c r="T117" s="389"/>
      <c r="U117" s="389"/>
      <c r="V117" s="261"/>
      <c r="W117" s="261"/>
      <c r="X117" s="261"/>
    </row>
    <row r="118" spans="1:24" s="306" customFormat="1" ht="39" thickBot="1">
      <c r="A118" s="388"/>
      <c r="B118" s="875" t="s">
        <v>15</v>
      </c>
      <c r="C118" s="884" t="s">
        <v>128</v>
      </c>
      <c r="D118" s="873" t="s">
        <v>23</v>
      </c>
      <c r="E118" s="212" t="s">
        <v>24</v>
      </c>
      <c r="F118" s="212" t="s">
        <v>25</v>
      </c>
      <c r="G118" s="212" t="s">
        <v>26</v>
      </c>
      <c r="H118" s="655" t="s">
        <v>38</v>
      </c>
      <c r="I118" s="674" t="s">
        <v>571</v>
      </c>
      <c r="J118" s="400" t="s">
        <v>669</v>
      </c>
      <c r="K118" s="401" t="s">
        <v>314</v>
      </c>
      <c r="L118" s="401" t="s">
        <v>669</v>
      </c>
      <c r="M118" s="481" t="s">
        <v>314</v>
      </c>
      <c r="N118" s="484" t="s">
        <v>669</v>
      </c>
      <c r="O118" s="485" t="s">
        <v>314</v>
      </c>
      <c r="P118" s="485" t="s">
        <v>669</v>
      </c>
      <c r="Q118" s="486" t="s">
        <v>314</v>
      </c>
      <c r="R118" s="212" t="s">
        <v>976</v>
      </c>
      <c r="S118" s="212" t="s">
        <v>984</v>
      </c>
      <c r="T118" s="212" t="s">
        <v>975</v>
      </c>
      <c r="U118" s="212" t="s">
        <v>983</v>
      </c>
      <c r="V118" s="261"/>
      <c r="W118" s="261"/>
      <c r="X118" s="261"/>
    </row>
    <row r="119" spans="1:24" s="306" customFormat="1" ht="12.75">
      <c r="A119" s="388"/>
      <c r="B119" s="1101"/>
      <c r="C119" s="918"/>
      <c r="D119" s="652"/>
      <c r="E119" s="885"/>
      <c r="F119" s="885"/>
      <c r="G119" s="660"/>
      <c r="H119" s="656"/>
      <c r="I119" s="600"/>
      <c r="J119" s="405"/>
      <c r="K119" s="194"/>
      <c r="L119" s="313"/>
      <c r="M119" s="478"/>
      <c r="N119" s="482"/>
      <c r="O119" s="483"/>
      <c r="P119" s="309" t="s">
        <v>34</v>
      </c>
      <c r="Q119" s="310"/>
      <c r="R119" s="664"/>
      <c r="S119" s="310"/>
      <c r="T119" s="1225"/>
      <c r="U119" s="1225"/>
      <c r="V119" s="261"/>
      <c r="W119" s="261"/>
      <c r="X119" s="261"/>
    </row>
    <row r="120" spans="1:24" s="306" customFormat="1" ht="12.75">
      <c r="A120" s="388"/>
      <c r="B120" s="1102"/>
      <c r="C120" s="919"/>
      <c r="D120" s="883"/>
      <c r="E120" s="883"/>
      <c r="F120" s="883"/>
      <c r="G120" s="661"/>
      <c r="H120" s="657"/>
      <c r="I120" s="601"/>
      <c r="J120" s="406"/>
      <c r="K120" s="193"/>
      <c r="L120" s="315"/>
      <c r="M120" s="479"/>
      <c r="N120" s="406"/>
      <c r="O120" s="193"/>
      <c r="P120" s="315" t="s">
        <v>34</v>
      </c>
      <c r="Q120" s="316"/>
      <c r="R120" s="664"/>
      <c r="S120" s="310"/>
      <c r="T120" s="1226"/>
      <c r="U120" s="1226"/>
      <c r="V120" s="261"/>
      <c r="W120" s="261"/>
      <c r="X120" s="261"/>
    </row>
    <row r="121" spans="1:24" s="306" customFormat="1" ht="12.75">
      <c r="A121" s="388"/>
      <c r="B121" s="1102"/>
      <c r="C121" s="919"/>
      <c r="D121" s="883"/>
      <c r="E121" s="883"/>
      <c r="F121" s="883"/>
      <c r="G121" s="661"/>
      <c r="H121" s="657"/>
      <c r="I121" s="601"/>
      <c r="J121" s="406"/>
      <c r="K121" s="193"/>
      <c r="L121" s="315"/>
      <c r="M121" s="479"/>
      <c r="N121" s="406"/>
      <c r="O121" s="193"/>
      <c r="P121" s="315" t="s">
        <v>34</v>
      </c>
      <c r="Q121" s="316"/>
      <c r="R121" s="664"/>
      <c r="S121" s="310"/>
      <c r="T121" s="1226"/>
      <c r="U121" s="1226"/>
      <c r="V121" s="261"/>
      <c r="W121" s="261"/>
      <c r="X121" s="261"/>
    </row>
    <row r="122" spans="1:24" s="306" customFormat="1" ht="12.75">
      <c r="A122" s="388"/>
      <c r="B122" s="1102"/>
      <c r="C122" s="919"/>
      <c r="D122" s="883"/>
      <c r="E122" s="883"/>
      <c r="F122" s="883"/>
      <c r="G122" s="661"/>
      <c r="H122" s="657"/>
      <c r="I122" s="601"/>
      <c r="J122" s="406"/>
      <c r="K122" s="193"/>
      <c r="L122" s="315"/>
      <c r="M122" s="479"/>
      <c r="N122" s="406"/>
      <c r="O122" s="193"/>
      <c r="P122" s="315" t="s">
        <v>34</v>
      </c>
      <c r="Q122" s="316"/>
      <c r="R122" s="664"/>
      <c r="S122" s="310"/>
      <c r="T122" s="1226"/>
      <c r="U122" s="1226"/>
      <c r="V122" s="261"/>
      <c r="W122" s="261"/>
      <c r="X122" s="261"/>
    </row>
    <row r="123" spans="1:24" s="306" customFormat="1" ht="12.75">
      <c r="A123" s="388"/>
      <c r="B123" s="1102"/>
      <c r="C123" s="919"/>
      <c r="D123" s="883"/>
      <c r="E123" s="883"/>
      <c r="F123" s="883"/>
      <c r="G123" s="661"/>
      <c r="H123" s="657"/>
      <c r="I123" s="601"/>
      <c r="J123" s="406"/>
      <c r="K123" s="193"/>
      <c r="L123" s="315"/>
      <c r="M123" s="479"/>
      <c r="N123" s="406"/>
      <c r="O123" s="193"/>
      <c r="P123" s="315" t="s">
        <v>34</v>
      </c>
      <c r="Q123" s="316"/>
      <c r="R123" s="664"/>
      <c r="S123" s="310"/>
      <c r="T123" s="1226"/>
      <c r="U123" s="1226"/>
      <c r="V123" s="261"/>
      <c r="W123" s="261"/>
      <c r="X123" s="261"/>
    </row>
    <row r="124" spans="1:24" s="306" customFormat="1" ht="12.75">
      <c r="A124" s="388"/>
      <c r="B124" s="1102"/>
      <c r="C124" s="919"/>
      <c r="D124" s="883"/>
      <c r="E124" s="883"/>
      <c r="F124" s="883"/>
      <c r="G124" s="661"/>
      <c r="H124" s="658"/>
      <c r="I124" s="602"/>
      <c r="J124" s="406"/>
      <c r="K124" s="193"/>
      <c r="L124" s="315"/>
      <c r="M124" s="479"/>
      <c r="N124" s="406"/>
      <c r="O124" s="193"/>
      <c r="P124" s="315" t="s">
        <v>34</v>
      </c>
      <c r="Q124" s="316"/>
      <c r="R124" s="664"/>
      <c r="S124" s="310"/>
      <c r="T124" s="1226"/>
      <c r="U124" s="1226"/>
      <c r="V124" s="261"/>
      <c r="W124" s="261"/>
      <c r="X124" s="261"/>
    </row>
    <row r="125" spans="1:24" s="306" customFormat="1" ht="12.75">
      <c r="A125" s="388"/>
      <c r="B125" s="1102"/>
      <c r="C125" s="919"/>
      <c r="D125" s="883"/>
      <c r="E125" s="883"/>
      <c r="F125" s="883"/>
      <c r="G125" s="661"/>
      <c r="H125" s="658"/>
      <c r="I125" s="602"/>
      <c r="J125" s="406"/>
      <c r="K125" s="193"/>
      <c r="L125" s="315"/>
      <c r="M125" s="479"/>
      <c r="N125" s="406"/>
      <c r="O125" s="193"/>
      <c r="P125" s="315" t="s">
        <v>34</v>
      </c>
      <c r="Q125" s="316"/>
      <c r="R125" s="664"/>
      <c r="S125" s="310"/>
      <c r="T125" s="1226"/>
      <c r="U125" s="1226"/>
      <c r="V125" s="261"/>
      <c r="W125" s="261"/>
      <c r="X125" s="261"/>
    </row>
    <row r="126" spans="1:24" s="306" customFormat="1" ht="12.75">
      <c r="A126" s="388"/>
      <c r="B126" s="1102"/>
      <c r="C126" s="919"/>
      <c r="D126" s="883"/>
      <c r="E126" s="883"/>
      <c r="F126" s="883"/>
      <c r="G126" s="661"/>
      <c r="H126" s="658"/>
      <c r="I126" s="602"/>
      <c r="J126" s="406"/>
      <c r="K126" s="193"/>
      <c r="L126" s="315"/>
      <c r="M126" s="479"/>
      <c r="N126" s="406"/>
      <c r="O126" s="193"/>
      <c r="P126" s="315" t="s">
        <v>34</v>
      </c>
      <c r="Q126" s="316"/>
      <c r="R126" s="664"/>
      <c r="S126" s="310"/>
      <c r="T126" s="1226"/>
      <c r="U126" s="1226"/>
      <c r="V126" s="261"/>
      <c r="W126" s="261"/>
      <c r="X126" s="261"/>
    </row>
    <row r="127" spans="1:24" s="306" customFormat="1" ht="12.75">
      <c r="A127" s="388"/>
      <c r="B127" s="1102"/>
      <c r="C127" s="919"/>
      <c r="D127" s="883"/>
      <c r="E127" s="883"/>
      <c r="F127" s="883"/>
      <c r="G127" s="661"/>
      <c r="H127" s="658"/>
      <c r="I127" s="602"/>
      <c r="J127" s="406"/>
      <c r="K127" s="193"/>
      <c r="L127" s="315"/>
      <c r="M127" s="479"/>
      <c r="N127" s="406"/>
      <c r="O127" s="193"/>
      <c r="P127" s="315" t="s">
        <v>34</v>
      </c>
      <c r="Q127" s="316"/>
      <c r="R127" s="664"/>
      <c r="S127" s="310"/>
      <c r="T127" s="1226"/>
      <c r="U127" s="1226"/>
      <c r="V127" s="261"/>
      <c r="W127" s="261"/>
      <c r="X127" s="261"/>
    </row>
    <row r="128" spans="1:24" s="306" customFormat="1" ht="12.75">
      <c r="A128" s="388"/>
      <c r="B128" s="1102"/>
      <c r="C128" s="919"/>
      <c r="D128" s="883"/>
      <c r="E128" s="883"/>
      <c r="F128" s="883"/>
      <c r="G128" s="661"/>
      <c r="H128" s="658"/>
      <c r="I128" s="602"/>
      <c r="J128" s="406"/>
      <c r="K128" s="193"/>
      <c r="L128" s="315"/>
      <c r="M128" s="479"/>
      <c r="N128" s="406"/>
      <c r="O128" s="193"/>
      <c r="P128" s="315" t="s">
        <v>34</v>
      </c>
      <c r="Q128" s="316"/>
      <c r="R128" s="664"/>
      <c r="S128" s="310"/>
      <c r="T128" s="1226"/>
      <c r="U128" s="1226"/>
      <c r="V128" s="261"/>
      <c r="W128" s="261"/>
      <c r="X128" s="261"/>
    </row>
    <row r="129" spans="1:24" s="306" customFormat="1" ht="12.75">
      <c r="A129" s="388"/>
      <c r="B129" s="1102"/>
      <c r="C129" s="919"/>
      <c r="D129" s="883"/>
      <c r="E129" s="883"/>
      <c r="F129" s="883"/>
      <c r="G129" s="661"/>
      <c r="H129" s="658"/>
      <c r="I129" s="602"/>
      <c r="J129" s="406"/>
      <c r="K129" s="193"/>
      <c r="L129" s="315"/>
      <c r="M129" s="479"/>
      <c r="N129" s="406"/>
      <c r="O129" s="193"/>
      <c r="P129" s="315" t="s">
        <v>34</v>
      </c>
      <c r="Q129" s="316"/>
      <c r="R129" s="664"/>
      <c r="S129" s="310"/>
      <c r="T129" s="1226"/>
      <c r="U129" s="1226"/>
      <c r="V129" s="261"/>
      <c r="W129" s="261"/>
      <c r="X129" s="261"/>
    </row>
    <row r="130" spans="1:24" s="306" customFormat="1" ht="12.75">
      <c r="A130" s="388"/>
      <c r="B130" s="1102"/>
      <c r="C130" s="919"/>
      <c r="D130" s="883"/>
      <c r="E130" s="883"/>
      <c r="F130" s="883"/>
      <c r="G130" s="661"/>
      <c r="H130" s="658"/>
      <c r="I130" s="602"/>
      <c r="J130" s="406"/>
      <c r="K130" s="193"/>
      <c r="L130" s="315"/>
      <c r="M130" s="479"/>
      <c r="N130" s="406"/>
      <c r="O130" s="193"/>
      <c r="P130" s="315" t="s">
        <v>34</v>
      </c>
      <c r="Q130" s="316"/>
      <c r="R130" s="664"/>
      <c r="S130" s="310"/>
      <c r="T130" s="1226"/>
      <c r="U130" s="1226"/>
      <c r="V130" s="261"/>
      <c r="W130" s="261"/>
      <c r="X130" s="261"/>
    </row>
    <row r="131" spans="1:24" s="306" customFormat="1" ht="12.75">
      <c r="A131" s="388"/>
      <c r="B131" s="1102"/>
      <c r="C131" s="919"/>
      <c r="D131" s="883"/>
      <c r="E131" s="883"/>
      <c r="F131" s="883"/>
      <c r="G131" s="661"/>
      <c r="H131" s="658"/>
      <c r="I131" s="602"/>
      <c r="J131" s="406"/>
      <c r="K131" s="193"/>
      <c r="L131" s="315"/>
      <c r="M131" s="479"/>
      <c r="N131" s="406"/>
      <c r="O131" s="193"/>
      <c r="P131" s="315" t="s">
        <v>34</v>
      </c>
      <c r="Q131" s="316"/>
      <c r="R131" s="664"/>
      <c r="S131" s="310"/>
      <c r="T131" s="1226"/>
      <c r="U131" s="1226"/>
      <c r="V131" s="261"/>
      <c r="W131" s="261"/>
      <c r="X131" s="261"/>
    </row>
    <row r="132" spans="1:24" s="306" customFormat="1" ht="12.75">
      <c r="A132" s="388"/>
      <c r="B132" s="1102"/>
      <c r="C132" s="919"/>
      <c r="D132" s="883"/>
      <c r="E132" s="883"/>
      <c r="F132" s="883"/>
      <c r="G132" s="661"/>
      <c r="H132" s="658"/>
      <c r="I132" s="602"/>
      <c r="J132" s="406"/>
      <c r="K132" s="193"/>
      <c r="L132" s="315"/>
      <c r="M132" s="479"/>
      <c r="N132" s="406"/>
      <c r="O132" s="193"/>
      <c r="P132" s="315" t="s">
        <v>34</v>
      </c>
      <c r="Q132" s="316"/>
      <c r="R132" s="664"/>
      <c r="S132" s="310"/>
      <c r="T132" s="1226"/>
      <c r="U132" s="1226"/>
      <c r="V132" s="261"/>
      <c r="W132" s="261"/>
      <c r="X132" s="261"/>
    </row>
    <row r="133" spans="1:24" s="306" customFormat="1" ht="12.75">
      <c r="A133" s="388"/>
      <c r="B133" s="1102"/>
      <c r="C133" s="919"/>
      <c r="D133" s="883"/>
      <c r="E133" s="883"/>
      <c r="F133" s="883"/>
      <c r="G133" s="661"/>
      <c r="H133" s="658"/>
      <c r="I133" s="602"/>
      <c r="J133" s="406"/>
      <c r="K133" s="193"/>
      <c r="L133" s="315"/>
      <c r="M133" s="479"/>
      <c r="N133" s="406"/>
      <c r="O133" s="193"/>
      <c r="P133" s="315" t="s">
        <v>34</v>
      </c>
      <c r="Q133" s="316"/>
      <c r="R133" s="664"/>
      <c r="S133" s="310"/>
      <c r="T133" s="1226"/>
      <c r="U133" s="1226"/>
      <c r="V133" s="261"/>
      <c r="W133" s="261"/>
      <c r="X133" s="261"/>
    </row>
    <row r="134" spans="1:24" s="306" customFormat="1" ht="12.75">
      <c r="A134" s="388"/>
      <c r="B134" s="1102"/>
      <c r="C134" s="919"/>
      <c r="D134" s="883"/>
      <c r="E134" s="883"/>
      <c r="F134" s="883"/>
      <c r="G134" s="661"/>
      <c r="H134" s="658"/>
      <c r="I134" s="602"/>
      <c r="J134" s="406"/>
      <c r="K134" s="193"/>
      <c r="L134" s="315"/>
      <c r="M134" s="479"/>
      <c r="N134" s="406"/>
      <c r="O134" s="193"/>
      <c r="P134" s="315" t="s">
        <v>34</v>
      </c>
      <c r="Q134" s="316"/>
      <c r="R134" s="664"/>
      <c r="S134" s="310"/>
      <c r="T134" s="1226"/>
      <c r="U134" s="1226"/>
      <c r="V134" s="261"/>
      <c r="W134" s="261"/>
      <c r="X134" s="261"/>
    </row>
    <row r="135" spans="1:24" s="306" customFormat="1" ht="12.75">
      <c r="A135" s="388"/>
      <c r="B135" s="1102"/>
      <c r="C135" s="919"/>
      <c r="D135" s="883"/>
      <c r="E135" s="883"/>
      <c r="F135" s="883"/>
      <c r="G135" s="661"/>
      <c r="H135" s="658"/>
      <c r="I135" s="602"/>
      <c r="J135" s="406"/>
      <c r="K135" s="193"/>
      <c r="L135" s="315"/>
      <c r="M135" s="479"/>
      <c r="N135" s="406"/>
      <c r="O135" s="193"/>
      <c r="P135" s="315" t="s">
        <v>34</v>
      </c>
      <c r="Q135" s="316"/>
      <c r="R135" s="664"/>
      <c r="S135" s="310"/>
      <c r="T135" s="1226"/>
      <c r="U135" s="1226"/>
      <c r="V135" s="261"/>
      <c r="W135" s="261"/>
      <c r="X135" s="261"/>
    </row>
    <row r="136" spans="1:24" s="306" customFormat="1" ht="12.75">
      <c r="A136" s="388"/>
      <c r="B136" s="1102"/>
      <c r="C136" s="919"/>
      <c r="D136" s="883"/>
      <c r="E136" s="883"/>
      <c r="F136" s="883"/>
      <c r="G136" s="661"/>
      <c r="H136" s="658"/>
      <c r="I136" s="602"/>
      <c r="J136" s="406"/>
      <c r="K136" s="193"/>
      <c r="L136" s="315"/>
      <c r="M136" s="479"/>
      <c r="N136" s="406"/>
      <c r="O136" s="193"/>
      <c r="P136" s="315" t="s">
        <v>34</v>
      </c>
      <c r="Q136" s="316"/>
      <c r="R136" s="664"/>
      <c r="S136" s="310"/>
      <c r="T136" s="1226"/>
      <c r="U136" s="1226"/>
      <c r="V136" s="261"/>
      <c r="W136" s="261"/>
      <c r="X136" s="261"/>
    </row>
    <row r="137" spans="1:24" s="306" customFormat="1" ht="12.75">
      <c r="A137" s="388"/>
      <c r="B137" s="1102"/>
      <c r="C137" s="919"/>
      <c r="D137" s="883"/>
      <c r="E137" s="883"/>
      <c r="F137" s="883"/>
      <c r="G137" s="661"/>
      <c r="H137" s="658"/>
      <c r="I137" s="602"/>
      <c r="J137" s="406"/>
      <c r="K137" s="193"/>
      <c r="L137" s="315"/>
      <c r="M137" s="479"/>
      <c r="N137" s="406"/>
      <c r="O137" s="193"/>
      <c r="P137" s="315" t="s">
        <v>34</v>
      </c>
      <c r="Q137" s="316"/>
      <c r="R137" s="664"/>
      <c r="S137" s="310"/>
      <c r="T137" s="1226"/>
      <c r="U137" s="1226"/>
      <c r="V137" s="261"/>
      <c r="W137" s="261"/>
      <c r="X137" s="261"/>
    </row>
    <row r="138" spans="1:24" s="306" customFormat="1" ht="13.5" thickBot="1">
      <c r="A138" s="388"/>
      <c r="B138" s="1103"/>
      <c r="C138" s="926"/>
      <c r="D138" s="887"/>
      <c r="E138" s="887"/>
      <c r="F138" s="887"/>
      <c r="G138" s="662"/>
      <c r="H138" s="659"/>
      <c r="I138" s="603"/>
      <c r="J138" s="407"/>
      <c r="K138" s="195"/>
      <c r="L138" s="311"/>
      <c r="M138" s="480"/>
      <c r="N138" s="407"/>
      <c r="O138" s="195"/>
      <c r="P138" s="311" t="s">
        <v>34</v>
      </c>
      <c r="Q138" s="312"/>
      <c r="R138" s="665"/>
      <c r="S138" s="310"/>
      <c r="T138" s="1227"/>
      <c r="U138" s="1227"/>
      <c r="V138" s="261"/>
      <c r="W138" s="261"/>
      <c r="X138" s="261"/>
    </row>
    <row r="139" spans="1:24" s="306" customFormat="1" ht="13.5" thickBot="1">
      <c r="A139" s="388"/>
      <c r="B139" s="872"/>
      <c r="C139" s="872"/>
      <c r="D139" s="872"/>
      <c r="E139" s="872"/>
      <c r="F139" s="886"/>
      <c r="G139" s="886"/>
      <c r="H139" s="886"/>
      <c r="I139" s="886"/>
      <c r="J139" s="886"/>
      <c r="K139" s="886"/>
      <c r="L139" s="886"/>
      <c r="M139" s="403"/>
      <c r="N139" s="404"/>
      <c r="O139" s="138"/>
      <c r="P139" s="138"/>
      <c r="Q139" s="261"/>
      <c r="R139" s="261"/>
      <c r="S139" s="261"/>
      <c r="T139" s="261"/>
      <c r="U139" s="261"/>
      <c r="V139" s="261"/>
      <c r="W139" s="261"/>
      <c r="X139" s="261"/>
    </row>
    <row r="140" spans="1:24" s="306" customFormat="1" ht="15.75" thickBot="1">
      <c r="A140" s="388"/>
      <c r="B140" s="888"/>
      <c r="C140" s="888"/>
      <c r="D140" s="888"/>
      <c r="E140" s="888"/>
      <c r="F140" s="888"/>
      <c r="G140" s="888"/>
      <c r="H140" s="888"/>
      <c r="I140" s="888"/>
      <c r="J140" s="1228" t="s">
        <v>705</v>
      </c>
      <c r="K140" s="1229"/>
      <c r="L140" s="1230" t="s">
        <v>618</v>
      </c>
      <c r="M140" s="1231"/>
      <c r="N140" s="1228" t="s">
        <v>706</v>
      </c>
      <c r="O140" s="1229"/>
      <c r="P140" s="1232" t="s">
        <v>707</v>
      </c>
      <c r="Q140" s="1233"/>
      <c r="R140" s="663"/>
      <c r="S140" s="663"/>
      <c r="T140" s="389"/>
      <c r="U140" s="389"/>
      <c r="V140" s="261"/>
      <c r="W140" s="261"/>
      <c r="X140" s="261"/>
    </row>
    <row r="141" spans="1:24" s="306" customFormat="1" ht="39" thickBot="1">
      <c r="A141" s="388"/>
      <c r="B141" s="875" t="s">
        <v>15</v>
      </c>
      <c r="C141" s="884" t="s">
        <v>128</v>
      </c>
      <c r="D141" s="873" t="s">
        <v>23</v>
      </c>
      <c r="E141" s="212" t="s">
        <v>24</v>
      </c>
      <c r="F141" s="212" t="s">
        <v>25</v>
      </c>
      <c r="G141" s="212" t="s">
        <v>26</v>
      </c>
      <c r="H141" s="655" t="s">
        <v>38</v>
      </c>
      <c r="I141" s="674" t="s">
        <v>571</v>
      </c>
      <c r="J141" s="400" t="s">
        <v>669</v>
      </c>
      <c r="K141" s="401" t="s">
        <v>314</v>
      </c>
      <c r="L141" s="401" t="s">
        <v>669</v>
      </c>
      <c r="M141" s="481" t="s">
        <v>314</v>
      </c>
      <c r="N141" s="484" t="s">
        <v>669</v>
      </c>
      <c r="O141" s="485" t="s">
        <v>314</v>
      </c>
      <c r="P141" s="485" t="s">
        <v>669</v>
      </c>
      <c r="Q141" s="486" t="s">
        <v>314</v>
      </c>
      <c r="R141" s="212" t="s">
        <v>976</v>
      </c>
      <c r="S141" s="212" t="s">
        <v>984</v>
      </c>
      <c r="T141" s="212" t="s">
        <v>975</v>
      </c>
      <c r="U141" s="212" t="s">
        <v>983</v>
      </c>
      <c r="V141" s="261"/>
      <c r="W141" s="261"/>
      <c r="X141" s="261"/>
    </row>
    <row r="142" spans="1:24" s="306" customFormat="1" ht="12.75">
      <c r="A142" s="388"/>
      <c r="B142" s="1101"/>
      <c r="C142" s="918"/>
      <c r="D142" s="652"/>
      <c r="E142" s="885"/>
      <c r="F142" s="885"/>
      <c r="G142" s="660"/>
      <c r="H142" s="656"/>
      <c r="I142" s="600"/>
      <c r="J142" s="405"/>
      <c r="K142" s="194"/>
      <c r="L142" s="313"/>
      <c r="M142" s="478"/>
      <c r="N142" s="482"/>
      <c r="O142" s="483"/>
      <c r="P142" s="309" t="s">
        <v>34</v>
      </c>
      <c r="Q142" s="310"/>
      <c r="R142" s="664"/>
      <c r="S142" s="310"/>
      <c r="T142" s="1225"/>
      <c r="U142" s="1225"/>
      <c r="V142" s="261"/>
      <c r="W142" s="261"/>
      <c r="X142" s="261"/>
    </row>
    <row r="143" spans="1:24" s="306" customFormat="1" ht="12.75">
      <c r="A143" s="388"/>
      <c r="B143" s="1102"/>
      <c r="C143" s="919"/>
      <c r="D143" s="883"/>
      <c r="E143" s="883"/>
      <c r="F143" s="883"/>
      <c r="G143" s="661"/>
      <c r="H143" s="657"/>
      <c r="I143" s="601"/>
      <c r="J143" s="406"/>
      <c r="K143" s="193"/>
      <c r="L143" s="315"/>
      <c r="M143" s="479"/>
      <c r="N143" s="406"/>
      <c r="O143" s="193"/>
      <c r="P143" s="315" t="s">
        <v>34</v>
      </c>
      <c r="Q143" s="316"/>
      <c r="R143" s="664"/>
      <c r="S143" s="310"/>
      <c r="T143" s="1226"/>
      <c r="U143" s="1226"/>
      <c r="V143" s="261"/>
      <c r="W143" s="261"/>
      <c r="X143" s="261"/>
    </row>
    <row r="144" spans="1:24" s="306" customFormat="1" ht="12.75">
      <c r="A144" s="388"/>
      <c r="B144" s="1102"/>
      <c r="C144" s="919"/>
      <c r="D144" s="883"/>
      <c r="E144" s="883"/>
      <c r="F144" s="883"/>
      <c r="G144" s="661"/>
      <c r="H144" s="657"/>
      <c r="I144" s="601"/>
      <c r="J144" s="406"/>
      <c r="K144" s="193"/>
      <c r="L144" s="315"/>
      <c r="M144" s="479"/>
      <c r="N144" s="406"/>
      <c r="O144" s="193"/>
      <c r="P144" s="315" t="s">
        <v>34</v>
      </c>
      <c r="Q144" s="316"/>
      <c r="R144" s="664"/>
      <c r="S144" s="310"/>
      <c r="T144" s="1226"/>
      <c r="U144" s="1226"/>
      <c r="V144" s="261"/>
      <c r="W144" s="261"/>
      <c r="X144" s="261"/>
    </row>
    <row r="145" spans="1:24" s="306" customFormat="1" ht="12.75">
      <c r="A145" s="388"/>
      <c r="B145" s="1102"/>
      <c r="C145" s="919"/>
      <c r="D145" s="883"/>
      <c r="E145" s="883"/>
      <c r="F145" s="883"/>
      <c r="G145" s="661"/>
      <c r="H145" s="657"/>
      <c r="I145" s="601"/>
      <c r="J145" s="406"/>
      <c r="K145" s="193"/>
      <c r="L145" s="315"/>
      <c r="M145" s="479"/>
      <c r="N145" s="406"/>
      <c r="O145" s="193"/>
      <c r="P145" s="315" t="s">
        <v>34</v>
      </c>
      <c r="Q145" s="316"/>
      <c r="R145" s="664"/>
      <c r="S145" s="310"/>
      <c r="T145" s="1226"/>
      <c r="U145" s="1226"/>
      <c r="V145" s="261"/>
      <c r="W145" s="261"/>
      <c r="X145" s="261"/>
    </row>
    <row r="146" spans="1:24" s="306" customFormat="1" ht="12.75">
      <c r="A146" s="388"/>
      <c r="B146" s="1102"/>
      <c r="C146" s="919"/>
      <c r="D146" s="883"/>
      <c r="E146" s="883"/>
      <c r="F146" s="883"/>
      <c r="G146" s="661"/>
      <c r="H146" s="657"/>
      <c r="I146" s="601"/>
      <c r="J146" s="406"/>
      <c r="K146" s="193"/>
      <c r="L146" s="315"/>
      <c r="M146" s="479"/>
      <c r="N146" s="406"/>
      <c r="O146" s="193"/>
      <c r="P146" s="315" t="s">
        <v>34</v>
      </c>
      <c r="Q146" s="316"/>
      <c r="R146" s="664"/>
      <c r="S146" s="310"/>
      <c r="T146" s="1226"/>
      <c r="U146" s="1226"/>
      <c r="V146" s="261"/>
      <c r="W146" s="261"/>
      <c r="X146" s="261"/>
    </row>
    <row r="147" spans="1:24" s="306" customFormat="1" ht="12.75">
      <c r="A147" s="388"/>
      <c r="B147" s="1102"/>
      <c r="C147" s="919"/>
      <c r="D147" s="883"/>
      <c r="E147" s="883"/>
      <c r="F147" s="883"/>
      <c r="G147" s="661"/>
      <c r="H147" s="658"/>
      <c r="I147" s="602"/>
      <c r="J147" s="406"/>
      <c r="K147" s="193"/>
      <c r="L147" s="315"/>
      <c r="M147" s="479"/>
      <c r="N147" s="406"/>
      <c r="O147" s="193"/>
      <c r="P147" s="315" t="s">
        <v>34</v>
      </c>
      <c r="Q147" s="316"/>
      <c r="R147" s="664"/>
      <c r="S147" s="310"/>
      <c r="T147" s="1226"/>
      <c r="U147" s="1226"/>
      <c r="V147" s="261"/>
      <c r="W147" s="261"/>
      <c r="X147" s="261"/>
    </row>
    <row r="148" spans="1:24" s="306" customFormat="1" ht="12.75">
      <c r="A148" s="388"/>
      <c r="B148" s="1102"/>
      <c r="C148" s="919"/>
      <c r="D148" s="883"/>
      <c r="E148" s="883"/>
      <c r="F148" s="883"/>
      <c r="G148" s="661"/>
      <c r="H148" s="658"/>
      <c r="I148" s="602"/>
      <c r="J148" s="406"/>
      <c r="K148" s="193"/>
      <c r="L148" s="315"/>
      <c r="M148" s="479"/>
      <c r="N148" s="406"/>
      <c r="O148" s="193"/>
      <c r="P148" s="315" t="s">
        <v>34</v>
      </c>
      <c r="Q148" s="316"/>
      <c r="R148" s="664"/>
      <c r="S148" s="310"/>
      <c r="T148" s="1226"/>
      <c r="U148" s="1226"/>
      <c r="V148" s="261"/>
      <c r="W148" s="261"/>
      <c r="X148" s="261"/>
    </row>
    <row r="149" spans="1:24" s="306" customFormat="1" ht="12.75">
      <c r="A149" s="388"/>
      <c r="B149" s="1102"/>
      <c r="C149" s="919"/>
      <c r="D149" s="883"/>
      <c r="E149" s="883"/>
      <c r="F149" s="883"/>
      <c r="G149" s="661"/>
      <c r="H149" s="658"/>
      <c r="I149" s="602"/>
      <c r="J149" s="406"/>
      <c r="K149" s="193"/>
      <c r="L149" s="315"/>
      <c r="M149" s="479"/>
      <c r="N149" s="406"/>
      <c r="O149" s="193"/>
      <c r="P149" s="315" t="s">
        <v>34</v>
      </c>
      <c r="Q149" s="316"/>
      <c r="R149" s="664"/>
      <c r="S149" s="310"/>
      <c r="T149" s="1226"/>
      <c r="U149" s="1226"/>
      <c r="V149" s="261"/>
      <c r="W149" s="261"/>
      <c r="X149" s="261"/>
    </row>
    <row r="150" spans="1:24" s="306" customFormat="1" ht="12.75">
      <c r="A150" s="388"/>
      <c r="B150" s="1102"/>
      <c r="C150" s="919"/>
      <c r="D150" s="883"/>
      <c r="E150" s="883"/>
      <c r="F150" s="883"/>
      <c r="G150" s="661"/>
      <c r="H150" s="658"/>
      <c r="I150" s="602"/>
      <c r="J150" s="406"/>
      <c r="K150" s="193"/>
      <c r="L150" s="315"/>
      <c r="M150" s="479"/>
      <c r="N150" s="406"/>
      <c r="O150" s="193"/>
      <c r="P150" s="315" t="s">
        <v>34</v>
      </c>
      <c r="Q150" s="316"/>
      <c r="R150" s="664"/>
      <c r="S150" s="310"/>
      <c r="T150" s="1226"/>
      <c r="U150" s="1226"/>
      <c r="V150" s="261"/>
      <c r="W150" s="261"/>
      <c r="X150" s="261"/>
    </row>
    <row r="151" spans="1:24" s="306" customFormat="1" ht="12.75">
      <c r="A151" s="388"/>
      <c r="B151" s="1102"/>
      <c r="C151" s="919"/>
      <c r="D151" s="883"/>
      <c r="E151" s="883"/>
      <c r="F151" s="883"/>
      <c r="G151" s="661"/>
      <c r="H151" s="658"/>
      <c r="I151" s="602"/>
      <c r="J151" s="406"/>
      <c r="K151" s="193"/>
      <c r="L151" s="315"/>
      <c r="M151" s="479"/>
      <c r="N151" s="406"/>
      <c r="O151" s="193"/>
      <c r="P151" s="315" t="s">
        <v>34</v>
      </c>
      <c r="Q151" s="316"/>
      <c r="R151" s="664"/>
      <c r="S151" s="310"/>
      <c r="T151" s="1226"/>
      <c r="U151" s="1226"/>
      <c r="V151" s="261"/>
      <c r="W151" s="261"/>
      <c r="X151" s="261"/>
    </row>
    <row r="152" spans="1:24" s="306" customFormat="1" ht="12.75">
      <c r="A152" s="388"/>
      <c r="B152" s="1102"/>
      <c r="C152" s="919"/>
      <c r="D152" s="883"/>
      <c r="E152" s="883"/>
      <c r="F152" s="883"/>
      <c r="G152" s="661"/>
      <c r="H152" s="658"/>
      <c r="I152" s="602"/>
      <c r="J152" s="406"/>
      <c r="K152" s="193"/>
      <c r="L152" s="315"/>
      <c r="M152" s="479"/>
      <c r="N152" s="406"/>
      <c r="O152" s="193"/>
      <c r="P152" s="315" t="s">
        <v>34</v>
      </c>
      <c r="Q152" s="316"/>
      <c r="R152" s="664"/>
      <c r="S152" s="310"/>
      <c r="T152" s="1226"/>
      <c r="U152" s="1226"/>
      <c r="V152" s="261"/>
      <c r="W152" s="261"/>
      <c r="X152" s="261"/>
    </row>
    <row r="153" spans="1:24" s="306" customFormat="1" ht="12.75">
      <c r="A153" s="388"/>
      <c r="B153" s="1102"/>
      <c r="C153" s="919"/>
      <c r="D153" s="883"/>
      <c r="E153" s="883"/>
      <c r="F153" s="883"/>
      <c r="G153" s="661"/>
      <c r="H153" s="658"/>
      <c r="I153" s="602"/>
      <c r="J153" s="406"/>
      <c r="K153" s="193"/>
      <c r="L153" s="315"/>
      <c r="M153" s="479"/>
      <c r="N153" s="406"/>
      <c r="O153" s="193"/>
      <c r="P153" s="315" t="s">
        <v>34</v>
      </c>
      <c r="Q153" s="316"/>
      <c r="R153" s="664"/>
      <c r="S153" s="310"/>
      <c r="T153" s="1226"/>
      <c r="U153" s="1226"/>
      <c r="V153" s="261"/>
      <c r="W153" s="261"/>
      <c r="X153" s="261"/>
    </row>
    <row r="154" spans="1:24" s="306" customFormat="1" ht="12.75">
      <c r="A154" s="388"/>
      <c r="B154" s="1102"/>
      <c r="C154" s="919"/>
      <c r="D154" s="883"/>
      <c r="E154" s="883"/>
      <c r="F154" s="883"/>
      <c r="G154" s="661"/>
      <c r="H154" s="658"/>
      <c r="I154" s="602"/>
      <c r="J154" s="406"/>
      <c r="K154" s="193"/>
      <c r="L154" s="315"/>
      <c r="M154" s="479"/>
      <c r="N154" s="406"/>
      <c r="O154" s="193"/>
      <c r="P154" s="315" t="s">
        <v>34</v>
      </c>
      <c r="Q154" s="316"/>
      <c r="R154" s="664"/>
      <c r="S154" s="310"/>
      <c r="T154" s="1226"/>
      <c r="U154" s="1226"/>
      <c r="V154" s="261"/>
      <c r="W154" s="261"/>
      <c r="X154" s="261"/>
    </row>
    <row r="155" spans="1:24" s="306" customFormat="1" ht="12.75">
      <c r="A155" s="388"/>
      <c r="B155" s="1102"/>
      <c r="C155" s="919"/>
      <c r="D155" s="883"/>
      <c r="E155" s="883"/>
      <c r="F155" s="883"/>
      <c r="G155" s="661"/>
      <c r="H155" s="658"/>
      <c r="I155" s="602"/>
      <c r="J155" s="406"/>
      <c r="K155" s="193"/>
      <c r="L155" s="315"/>
      <c r="M155" s="479"/>
      <c r="N155" s="406"/>
      <c r="O155" s="193"/>
      <c r="P155" s="315" t="s">
        <v>34</v>
      </c>
      <c r="Q155" s="316"/>
      <c r="R155" s="664"/>
      <c r="S155" s="310"/>
      <c r="T155" s="1226"/>
      <c r="U155" s="1226"/>
      <c r="V155" s="261"/>
      <c r="W155" s="261"/>
      <c r="X155" s="261"/>
    </row>
    <row r="156" spans="1:24" s="306" customFormat="1" ht="12.75">
      <c r="A156" s="388"/>
      <c r="B156" s="1102"/>
      <c r="C156" s="919"/>
      <c r="D156" s="883"/>
      <c r="E156" s="883"/>
      <c r="F156" s="883"/>
      <c r="G156" s="661"/>
      <c r="H156" s="658"/>
      <c r="I156" s="602"/>
      <c r="J156" s="406"/>
      <c r="K156" s="193"/>
      <c r="L156" s="315"/>
      <c r="M156" s="479"/>
      <c r="N156" s="406"/>
      <c r="O156" s="193"/>
      <c r="P156" s="315" t="s">
        <v>34</v>
      </c>
      <c r="Q156" s="316"/>
      <c r="R156" s="664"/>
      <c r="S156" s="310"/>
      <c r="T156" s="1226"/>
      <c r="U156" s="1226"/>
      <c r="V156" s="261"/>
      <c r="W156" s="261"/>
      <c r="X156" s="261"/>
    </row>
    <row r="157" spans="1:24" s="306" customFormat="1" ht="12.75">
      <c r="A157" s="388"/>
      <c r="B157" s="1102"/>
      <c r="C157" s="919"/>
      <c r="D157" s="883"/>
      <c r="E157" s="883"/>
      <c r="F157" s="883"/>
      <c r="G157" s="661"/>
      <c r="H157" s="658"/>
      <c r="I157" s="602"/>
      <c r="J157" s="406"/>
      <c r="K157" s="193"/>
      <c r="L157" s="315"/>
      <c r="M157" s="479"/>
      <c r="N157" s="406"/>
      <c r="O157" s="193"/>
      <c r="P157" s="315" t="s">
        <v>34</v>
      </c>
      <c r="Q157" s="316"/>
      <c r="R157" s="664"/>
      <c r="S157" s="310"/>
      <c r="T157" s="1226"/>
      <c r="U157" s="1226"/>
      <c r="V157" s="261"/>
      <c r="W157" s="261"/>
      <c r="X157" s="261"/>
    </row>
    <row r="158" spans="1:24" s="306" customFormat="1" ht="12.75">
      <c r="A158" s="388"/>
      <c r="B158" s="1102"/>
      <c r="C158" s="919"/>
      <c r="D158" s="883"/>
      <c r="E158" s="883"/>
      <c r="F158" s="883"/>
      <c r="G158" s="661"/>
      <c r="H158" s="658"/>
      <c r="I158" s="602"/>
      <c r="J158" s="406"/>
      <c r="K158" s="193"/>
      <c r="L158" s="315"/>
      <c r="M158" s="479"/>
      <c r="N158" s="406"/>
      <c r="O158" s="193"/>
      <c r="P158" s="315" t="s">
        <v>34</v>
      </c>
      <c r="Q158" s="316"/>
      <c r="R158" s="664"/>
      <c r="S158" s="310"/>
      <c r="T158" s="1226"/>
      <c r="U158" s="1226"/>
      <c r="V158" s="261"/>
      <c r="W158" s="261"/>
      <c r="X158" s="261"/>
    </row>
    <row r="159" spans="1:24" s="306" customFormat="1" ht="12.75">
      <c r="A159" s="388"/>
      <c r="B159" s="1102"/>
      <c r="C159" s="919"/>
      <c r="D159" s="883"/>
      <c r="E159" s="883"/>
      <c r="F159" s="883"/>
      <c r="G159" s="661"/>
      <c r="H159" s="658"/>
      <c r="I159" s="602"/>
      <c r="J159" s="406"/>
      <c r="K159" s="193"/>
      <c r="L159" s="315"/>
      <c r="M159" s="479"/>
      <c r="N159" s="406"/>
      <c r="O159" s="193"/>
      <c r="P159" s="315" t="s">
        <v>34</v>
      </c>
      <c r="Q159" s="316"/>
      <c r="R159" s="664"/>
      <c r="S159" s="310"/>
      <c r="T159" s="1226"/>
      <c r="U159" s="1226"/>
      <c r="V159" s="261"/>
      <c r="W159" s="261"/>
      <c r="X159" s="261"/>
    </row>
    <row r="160" spans="1:24" s="306" customFormat="1" ht="12.75">
      <c r="A160" s="388"/>
      <c r="B160" s="1102"/>
      <c r="C160" s="919"/>
      <c r="D160" s="883"/>
      <c r="E160" s="883"/>
      <c r="F160" s="883"/>
      <c r="G160" s="661"/>
      <c r="H160" s="658"/>
      <c r="I160" s="602"/>
      <c r="J160" s="406"/>
      <c r="K160" s="193"/>
      <c r="L160" s="315"/>
      <c r="M160" s="479"/>
      <c r="N160" s="406"/>
      <c r="O160" s="193"/>
      <c r="P160" s="315" t="s">
        <v>34</v>
      </c>
      <c r="Q160" s="316"/>
      <c r="R160" s="664"/>
      <c r="S160" s="310"/>
      <c r="T160" s="1226"/>
      <c r="U160" s="1226"/>
      <c r="V160" s="261"/>
      <c r="W160" s="261"/>
      <c r="X160" s="261"/>
    </row>
    <row r="161" spans="1:24" s="306" customFormat="1" ht="13.5" thickBot="1">
      <c r="A161" s="388"/>
      <c r="B161" s="1103"/>
      <c r="C161" s="926"/>
      <c r="D161" s="887"/>
      <c r="E161" s="887"/>
      <c r="F161" s="887"/>
      <c r="G161" s="662"/>
      <c r="H161" s="659"/>
      <c r="I161" s="603"/>
      <c r="J161" s="407"/>
      <c r="K161" s="195"/>
      <c r="L161" s="311"/>
      <c r="M161" s="480"/>
      <c r="N161" s="407"/>
      <c r="O161" s="195"/>
      <c r="P161" s="311" t="s">
        <v>34</v>
      </c>
      <c r="Q161" s="312"/>
      <c r="R161" s="665"/>
      <c r="S161" s="310"/>
      <c r="T161" s="1227"/>
      <c r="U161" s="1227"/>
      <c r="V161" s="261"/>
      <c r="W161" s="261"/>
      <c r="X161" s="261"/>
    </row>
    <row r="162" spans="1:24" s="306" customFormat="1" ht="13.5" thickBot="1">
      <c r="A162" s="388"/>
      <c r="B162" s="872"/>
      <c r="C162" s="872"/>
      <c r="D162" s="872"/>
      <c r="E162" s="872"/>
      <c r="F162" s="886"/>
      <c r="G162" s="886"/>
      <c r="H162" s="886"/>
      <c r="I162" s="886"/>
      <c r="J162" s="886"/>
      <c r="K162" s="886"/>
      <c r="L162" s="886"/>
      <c r="M162" s="403"/>
      <c r="N162" s="404"/>
      <c r="O162" s="138"/>
      <c r="P162" s="138"/>
      <c r="Q162" s="261"/>
      <c r="R162" s="261"/>
      <c r="S162" s="261"/>
      <c r="T162" s="261"/>
      <c r="U162" s="261"/>
      <c r="V162" s="261"/>
      <c r="W162" s="261"/>
      <c r="X162" s="261"/>
    </row>
    <row r="163" spans="1:24" s="306" customFormat="1" ht="15.75" thickBot="1">
      <c r="A163" s="388"/>
      <c r="B163" s="888"/>
      <c r="C163" s="888"/>
      <c r="D163" s="888"/>
      <c r="E163" s="888"/>
      <c r="F163" s="888"/>
      <c r="G163" s="888"/>
      <c r="H163" s="888"/>
      <c r="I163" s="888"/>
      <c r="J163" s="1228" t="s">
        <v>705</v>
      </c>
      <c r="K163" s="1229"/>
      <c r="L163" s="1230" t="s">
        <v>618</v>
      </c>
      <c r="M163" s="1231"/>
      <c r="N163" s="1228" t="s">
        <v>706</v>
      </c>
      <c r="O163" s="1229"/>
      <c r="P163" s="1232" t="s">
        <v>707</v>
      </c>
      <c r="Q163" s="1233"/>
      <c r="R163" s="663"/>
      <c r="S163" s="663"/>
      <c r="T163" s="389"/>
      <c r="U163" s="389"/>
      <c r="V163" s="261"/>
      <c r="W163" s="261"/>
      <c r="X163" s="261"/>
    </row>
    <row r="164" spans="1:24" s="306" customFormat="1" ht="39" thickBot="1">
      <c r="A164" s="388"/>
      <c r="B164" s="875" t="s">
        <v>15</v>
      </c>
      <c r="C164" s="884" t="s">
        <v>128</v>
      </c>
      <c r="D164" s="873" t="s">
        <v>23</v>
      </c>
      <c r="E164" s="212" t="s">
        <v>24</v>
      </c>
      <c r="F164" s="212" t="s">
        <v>25</v>
      </c>
      <c r="G164" s="212" t="s">
        <v>26</v>
      </c>
      <c r="H164" s="655" t="s">
        <v>38</v>
      </c>
      <c r="I164" s="674" t="s">
        <v>571</v>
      </c>
      <c r="J164" s="400" t="s">
        <v>669</v>
      </c>
      <c r="K164" s="401" t="s">
        <v>314</v>
      </c>
      <c r="L164" s="401" t="s">
        <v>669</v>
      </c>
      <c r="M164" s="481" t="s">
        <v>314</v>
      </c>
      <c r="N164" s="484" t="s">
        <v>669</v>
      </c>
      <c r="O164" s="485" t="s">
        <v>314</v>
      </c>
      <c r="P164" s="485" t="s">
        <v>669</v>
      </c>
      <c r="Q164" s="486" t="s">
        <v>314</v>
      </c>
      <c r="R164" s="212" t="s">
        <v>976</v>
      </c>
      <c r="S164" s="212" t="s">
        <v>984</v>
      </c>
      <c r="T164" s="212" t="s">
        <v>975</v>
      </c>
      <c r="U164" s="212" t="s">
        <v>983</v>
      </c>
      <c r="V164" s="261"/>
      <c r="W164" s="261"/>
      <c r="X164" s="261"/>
    </row>
    <row r="165" spans="1:24" s="306" customFormat="1" ht="12.75">
      <c r="A165" s="388"/>
      <c r="B165" s="1101"/>
      <c r="C165" s="918"/>
      <c r="D165" s="652"/>
      <c r="E165" s="885"/>
      <c r="F165" s="885"/>
      <c r="G165" s="660"/>
      <c r="H165" s="656"/>
      <c r="I165" s="600"/>
      <c r="J165" s="405"/>
      <c r="K165" s="194"/>
      <c r="L165" s="313"/>
      <c r="M165" s="478"/>
      <c r="N165" s="482"/>
      <c r="O165" s="483"/>
      <c r="P165" s="309" t="s">
        <v>34</v>
      </c>
      <c r="Q165" s="310"/>
      <c r="R165" s="664"/>
      <c r="S165" s="310"/>
      <c r="T165" s="1225"/>
      <c r="U165" s="1225"/>
      <c r="V165" s="261"/>
      <c r="W165" s="261"/>
      <c r="X165" s="261"/>
    </row>
    <row r="166" spans="1:24" s="306" customFormat="1" ht="12.75">
      <c r="A166" s="388"/>
      <c r="B166" s="1102"/>
      <c r="C166" s="919"/>
      <c r="D166" s="883"/>
      <c r="E166" s="883"/>
      <c r="F166" s="883"/>
      <c r="G166" s="661"/>
      <c r="H166" s="657"/>
      <c r="I166" s="601"/>
      <c r="J166" s="406"/>
      <c r="K166" s="193"/>
      <c r="L166" s="315"/>
      <c r="M166" s="479"/>
      <c r="N166" s="406"/>
      <c r="O166" s="193"/>
      <c r="P166" s="315" t="s">
        <v>34</v>
      </c>
      <c r="Q166" s="316"/>
      <c r="R166" s="664"/>
      <c r="S166" s="310"/>
      <c r="T166" s="1226"/>
      <c r="U166" s="1226"/>
      <c r="V166" s="261"/>
      <c r="W166" s="261"/>
      <c r="X166" s="261"/>
    </row>
    <row r="167" spans="1:24" s="306" customFormat="1" ht="12.75">
      <c r="A167" s="388"/>
      <c r="B167" s="1102"/>
      <c r="C167" s="919"/>
      <c r="D167" s="883"/>
      <c r="E167" s="883"/>
      <c r="F167" s="883"/>
      <c r="G167" s="661"/>
      <c r="H167" s="657"/>
      <c r="I167" s="601"/>
      <c r="J167" s="406"/>
      <c r="K167" s="193"/>
      <c r="L167" s="315"/>
      <c r="M167" s="479"/>
      <c r="N167" s="406"/>
      <c r="O167" s="193"/>
      <c r="P167" s="315" t="s">
        <v>34</v>
      </c>
      <c r="Q167" s="316"/>
      <c r="R167" s="664"/>
      <c r="S167" s="310"/>
      <c r="T167" s="1226"/>
      <c r="U167" s="1226"/>
      <c r="V167" s="261"/>
      <c r="W167" s="261"/>
      <c r="X167" s="261"/>
    </row>
    <row r="168" spans="1:24" s="306" customFormat="1" ht="12.75">
      <c r="A168" s="388"/>
      <c r="B168" s="1102"/>
      <c r="C168" s="919"/>
      <c r="D168" s="883"/>
      <c r="E168" s="883"/>
      <c r="F168" s="883"/>
      <c r="G168" s="661"/>
      <c r="H168" s="657"/>
      <c r="I168" s="601"/>
      <c r="J168" s="406"/>
      <c r="K168" s="193"/>
      <c r="L168" s="315"/>
      <c r="M168" s="479"/>
      <c r="N168" s="406"/>
      <c r="O168" s="193"/>
      <c r="P168" s="315" t="s">
        <v>34</v>
      </c>
      <c r="Q168" s="316"/>
      <c r="R168" s="664"/>
      <c r="S168" s="310"/>
      <c r="T168" s="1226"/>
      <c r="U168" s="1226"/>
      <c r="V168" s="261"/>
      <c r="W168" s="261"/>
      <c r="X168" s="261"/>
    </row>
    <row r="169" spans="1:24" s="306" customFormat="1" ht="12.75">
      <c r="A169" s="388"/>
      <c r="B169" s="1102"/>
      <c r="C169" s="919"/>
      <c r="D169" s="883"/>
      <c r="E169" s="883"/>
      <c r="F169" s="883"/>
      <c r="G169" s="661"/>
      <c r="H169" s="657"/>
      <c r="I169" s="601"/>
      <c r="J169" s="406"/>
      <c r="K169" s="193"/>
      <c r="L169" s="315"/>
      <c r="M169" s="479"/>
      <c r="N169" s="406"/>
      <c r="O169" s="193"/>
      <c r="P169" s="315" t="s">
        <v>34</v>
      </c>
      <c r="Q169" s="316"/>
      <c r="R169" s="664"/>
      <c r="S169" s="310"/>
      <c r="T169" s="1226"/>
      <c r="U169" s="1226"/>
      <c r="V169" s="261"/>
      <c r="W169" s="261"/>
      <c r="X169" s="261"/>
    </row>
    <row r="170" spans="1:24" s="306" customFormat="1" ht="12.75">
      <c r="A170" s="388"/>
      <c r="B170" s="1102"/>
      <c r="C170" s="919"/>
      <c r="D170" s="883"/>
      <c r="E170" s="883"/>
      <c r="F170" s="883"/>
      <c r="G170" s="661"/>
      <c r="H170" s="658"/>
      <c r="I170" s="602"/>
      <c r="J170" s="406"/>
      <c r="K170" s="193"/>
      <c r="L170" s="315"/>
      <c r="M170" s="479"/>
      <c r="N170" s="406"/>
      <c r="O170" s="193"/>
      <c r="P170" s="315" t="s">
        <v>34</v>
      </c>
      <c r="Q170" s="316"/>
      <c r="R170" s="664"/>
      <c r="S170" s="310"/>
      <c r="T170" s="1226"/>
      <c r="U170" s="1226"/>
      <c r="V170" s="261"/>
      <c r="W170" s="261"/>
      <c r="X170" s="261"/>
    </row>
    <row r="171" spans="1:24" s="306" customFormat="1" ht="12.75">
      <c r="A171" s="388"/>
      <c r="B171" s="1102"/>
      <c r="C171" s="919"/>
      <c r="D171" s="883"/>
      <c r="E171" s="883"/>
      <c r="F171" s="883"/>
      <c r="G171" s="661"/>
      <c r="H171" s="658"/>
      <c r="I171" s="602"/>
      <c r="J171" s="406"/>
      <c r="K171" s="193"/>
      <c r="L171" s="315"/>
      <c r="M171" s="479"/>
      <c r="N171" s="406"/>
      <c r="O171" s="193"/>
      <c r="P171" s="315" t="s">
        <v>34</v>
      </c>
      <c r="Q171" s="316"/>
      <c r="R171" s="664"/>
      <c r="S171" s="310"/>
      <c r="T171" s="1226"/>
      <c r="U171" s="1226"/>
      <c r="V171" s="261"/>
      <c r="W171" s="261"/>
      <c r="X171" s="261"/>
    </row>
    <row r="172" spans="1:24" s="306" customFormat="1" ht="12.75">
      <c r="A172" s="388"/>
      <c r="B172" s="1102"/>
      <c r="C172" s="919"/>
      <c r="D172" s="883"/>
      <c r="E172" s="883"/>
      <c r="F172" s="883"/>
      <c r="G172" s="661"/>
      <c r="H172" s="658"/>
      <c r="I172" s="602"/>
      <c r="J172" s="406"/>
      <c r="K172" s="193"/>
      <c r="L172" s="315"/>
      <c r="M172" s="479"/>
      <c r="N172" s="406"/>
      <c r="O172" s="193"/>
      <c r="P172" s="315" t="s">
        <v>34</v>
      </c>
      <c r="Q172" s="316"/>
      <c r="R172" s="664"/>
      <c r="S172" s="310"/>
      <c r="T172" s="1226"/>
      <c r="U172" s="1226"/>
      <c r="V172" s="261"/>
      <c r="W172" s="261"/>
      <c r="X172" s="261"/>
    </row>
    <row r="173" spans="1:24" s="306" customFormat="1" ht="12.75">
      <c r="A173" s="388"/>
      <c r="B173" s="1102"/>
      <c r="C173" s="919"/>
      <c r="D173" s="883"/>
      <c r="E173" s="883"/>
      <c r="F173" s="883"/>
      <c r="G173" s="661"/>
      <c r="H173" s="658"/>
      <c r="I173" s="602"/>
      <c r="J173" s="406"/>
      <c r="K173" s="193"/>
      <c r="L173" s="315"/>
      <c r="M173" s="479"/>
      <c r="N173" s="406"/>
      <c r="O173" s="193"/>
      <c r="P173" s="315" t="s">
        <v>34</v>
      </c>
      <c r="Q173" s="316"/>
      <c r="R173" s="664"/>
      <c r="S173" s="310"/>
      <c r="T173" s="1226"/>
      <c r="U173" s="1226"/>
      <c r="V173" s="261"/>
      <c r="W173" s="261"/>
      <c r="X173" s="261"/>
    </row>
    <row r="174" spans="1:24" s="306" customFormat="1" ht="12.75">
      <c r="A174" s="388"/>
      <c r="B174" s="1102"/>
      <c r="C174" s="919"/>
      <c r="D174" s="883"/>
      <c r="E174" s="883"/>
      <c r="F174" s="883"/>
      <c r="G174" s="661"/>
      <c r="H174" s="658"/>
      <c r="I174" s="602"/>
      <c r="J174" s="406"/>
      <c r="K174" s="193"/>
      <c r="L174" s="315"/>
      <c r="M174" s="479"/>
      <c r="N174" s="406"/>
      <c r="O174" s="193"/>
      <c r="P174" s="315" t="s">
        <v>34</v>
      </c>
      <c r="Q174" s="316"/>
      <c r="R174" s="664"/>
      <c r="S174" s="310"/>
      <c r="T174" s="1226"/>
      <c r="U174" s="1226"/>
      <c r="V174" s="261"/>
      <c r="W174" s="261"/>
      <c r="X174" s="261"/>
    </row>
    <row r="175" spans="1:24" s="306" customFormat="1" ht="12.75">
      <c r="A175" s="388"/>
      <c r="B175" s="1102"/>
      <c r="C175" s="919"/>
      <c r="D175" s="883"/>
      <c r="E175" s="883"/>
      <c r="F175" s="883"/>
      <c r="G175" s="661"/>
      <c r="H175" s="658"/>
      <c r="I175" s="602"/>
      <c r="J175" s="406"/>
      <c r="K175" s="193"/>
      <c r="L175" s="315"/>
      <c r="M175" s="479"/>
      <c r="N175" s="406"/>
      <c r="O175" s="193"/>
      <c r="P175" s="315" t="s">
        <v>34</v>
      </c>
      <c r="Q175" s="316"/>
      <c r="R175" s="664"/>
      <c r="S175" s="310"/>
      <c r="T175" s="1226"/>
      <c r="U175" s="1226"/>
      <c r="V175" s="261"/>
      <c r="W175" s="261"/>
      <c r="X175" s="261"/>
    </row>
    <row r="176" spans="1:24" s="306" customFormat="1" ht="12.75">
      <c r="A176" s="388"/>
      <c r="B176" s="1102"/>
      <c r="C176" s="919"/>
      <c r="D176" s="883"/>
      <c r="E176" s="883"/>
      <c r="F176" s="883"/>
      <c r="G176" s="661"/>
      <c r="H176" s="658"/>
      <c r="I176" s="602"/>
      <c r="J176" s="406"/>
      <c r="K176" s="193"/>
      <c r="L176" s="315"/>
      <c r="M176" s="479"/>
      <c r="N176" s="406"/>
      <c r="O176" s="193"/>
      <c r="P176" s="315" t="s">
        <v>34</v>
      </c>
      <c r="Q176" s="316"/>
      <c r="R176" s="664"/>
      <c r="S176" s="310"/>
      <c r="T176" s="1226"/>
      <c r="U176" s="1226"/>
      <c r="V176" s="261"/>
      <c r="W176" s="261"/>
      <c r="X176" s="261"/>
    </row>
    <row r="177" spans="1:24" s="306" customFormat="1" ht="12.75">
      <c r="A177" s="388"/>
      <c r="B177" s="1102"/>
      <c r="C177" s="919"/>
      <c r="D177" s="883"/>
      <c r="E177" s="883"/>
      <c r="F177" s="883"/>
      <c r="G177" s="661"/>
      <c r="H177" s="658"/>
      <c r="I177" s="602"/>
      <c r="J177" s="406"/>
      <c r="K177" s="193"/>
      <c r="L177" s="315"/>
      <c r="M177" s="479"/>
      <c r="N177" s="406"/>
      <c r="O177" s="193"/>
      <c r="P177" s="315" t="s">
        <v>34</v>
      </c>
      <c r="Q177" s="316"/>
      <c r="R177" s="664"/>
      <c r="S177" s="310"/>
      <c r="T177" s="1226"/>
      <c r="U177" s="1226"/>
      <c r="V177" s="261"/>
      <c r="W177" s="261"/>
      <c r="X177" s="261"/>
    </row>
    <row r="178" spans="1:24" s="306" customFormat="1" ht="12.75">
      <c r="A178" s="388"/>
      <c r="B178" s="1102"/>
      <c r="C178" s="919"/>
      <c r="D178" s="883"/>
      <c r="E178" s="883"/>
      <c r="F178" s="883"/>
      <c r="G178" s="661"/>
      <c r="H178" s="658"/>
      <c r="I178" s="602"/>
      <c r="J178" s="406"/>
      <c r="K178" s="193"/>
      <c r="L178" s="315"/>
      <c r="M178" s="479"/>
      <c r="N178" s="406"/>
      <c r="O178" s="193"/>
      <c r="P178" s="315" t="s">
        <v>34</v>
      </c>
      <c r="Q178" s="316"/>
      <c r="R178" s="664"/>
      <c r="S178" s="310"/>
      <c r="T178" s="1226"/>
      <c r="U178" s="1226"/>
      <c r="V178" s="261"/>
      <c r="W178" s="261"/>
      <c r="X178" s="261"/>
    </row>
    <row r="179" spans="1:24" s="306" customFormat="1" ht="12.75">
      <c r="A179" s="388"/>
      <c r="B179" s="1102"/>
      <c r="C179" s="919"/>
      <c r="D179" s="883"/>
      <c r="E179" s="883"/>
      <c r="F179" s="883"/>
      <c r="G179" s="661"/>
      <c r="H179" s="658"/>
      <c r="I179" s="602"/>
      <c r="J179" s="406"/>
      <c r="K179" s="193"/>
      <c r="L179" s="315"/>
      <c r="M179" s="479"/>
      <c r="N179" s="406"/>
      <c r="O179" s="193"/>
      <c r="P179" s="315" t="s">
        <v>34</v>
      </c>
      <c r="Q179" s="316"/>
      <c r="R179" s="664"/>
      <c r="S179" s="310"/>
      <c r="T179" s="1226"/>
      <c r="U179" s="1226"/>
      <c r="V179" s="261"/>
      <c r="W179" s="261"/>
      <c r="X179" s="261"/>
    </row>
    <row r="180" spans="1:24" s="306" customFormat="1" ht="12.75">
      <c r="A180" s="388"/>
      <c r="B180" s="1102"/>
      <c r="C180" s="919"/>
      <c r="D180" s="883"/>
      <c r="E180" s="883"/>
      <c r="F180" s="883"/>
      <c r="G180" s="661"/>
      <c r="H180" s="658"/>
      <c r="I180" s="602"/>
      <c r="J180" s="406"/>
      <c r="K180" s="193"/>
      <c r="L180" s="315"/>
      <c r="M180" s="479"/>
      <c r="N180" s="406"/>
      <c r="O180" s="193"/>
      <c r="P180" s="315" t="s">
        <v>34</v>
      </c>
      <c r="Q180" s="316"/>
      <c r="R180" s="664"/>
      <c r="S180" s="310"/>
      <c r="T180" s="1226"/>
      <c r="U180" s="1226"/>
      <c r="V180" s="261"/>
      <c r="W180" s="261"/>
      <c r="X180" s="261"/>
    </row>
    <row r="181" spans="1:24" s="306" customFormat="1" ht="12.75">
      <c r="A181" s="388"/>
      <c r="B181" s="1102"/>
      <c r="C181" s="919"/>
      <c r="D181" s="883"/>
      <c r="E181" s="883"/>
      <c r="F181" s="883"/>
      <c r="G181" s="661"/>
      <c r="H181" s="658"/>
      <c r="I181" s="602"/>
      <c r="J181" s="406"/>
      <c r="K181" s="193"/>
      <c r="L181" s="315"/>
      <c r="M181" s="479"/>
      <c r="N181" s="406"/>
      <c r="O181" s="193"/>
      <c r="P181" s="315" t="s">
        <v>34</v>
      </c>
      <c r="Q181" s="316"/>
      <c r="R181" s="664"/>
      <c r="S181" s="310"/>
      <c r="T181" s="1226"/>
      <c r="U181" s="1226"/>
      <c r="V181" s="261"/>
      <c r="W181" s="261"/>
      <c r="X181" s="261"/>
    </row>
    <row r="182" spans="1:24" s="306" customFormat="1" ht="12.75">
      <c r="A182" s="388"/>
      <c r="B182" s="1102"/>
      <c r="C182" s="919"/>
      <c r="D182" s="883"/>
      <c r="E182" s="883"/>
      <c r="F182" s="883"/>
      <c r="G182" s="661"/>
      <c r="H182" s="658"/>
      <c r="I182" s="602"/>
      <c r="J182" s="406"/>
      <c r="K182" s="193"/>
      <c r="L182" s="315"/>
      <c r="M182" s="479"/>
      <c r="N182" s="406"/>
      <c r="O182" s="193"/>
      <c r="P182" s="315" t="s">
        <v>34</v>
      </c>
      <c r="Q182" s="316"/>
      <c r="R182" s="664"/>
      <c r="S182" s="310"/>
      <c r="T182" s="1226"/>
      <c r="U182" s="1226"/>
      <c r="V182" s="261"/>
      <c r="W182" s="261"/>
      <c r="X182" s="261"/>
    </row>
    <row r="183" spans="1:24" s="306" customFormat="1" ht="12.75">
      <c r="A183" s="388"/>
      <c r="B183" s="1102"/>
      <c r="C183" s="919"/>
      <c r="D183" s="883"/>
      <c r="E183" s="883"/>
      <c r="F183" s="883"/>
      <c r="G183" s="661"/>
      <c r="H183" s="658"/>
      <c r="I183" s="602"/>
      <c r="J183" s="406"/>
      <c r="K183" s="193"/>
      <c r="L183" s="315"/>
      <c r="M183" s="479"/>
      <c r="N183" s="406"/>
      <c r="O183" s="193"/>
      <c r="P183" s="315" t="s">
        <v>34</v>
      </c>
      <c r="Q183" s="316"/>
      <c r="R183" s="664"/>
      <c r="S183" s="310"/>
      <c r="T183" s="1226"/>
      <c r="U183" s="1226"/>
      <c r="V183" s="261"/>
      <c r="W183" s="261"/>
      <c r="X183" s="261"/>
    </row>
    <row r="184" spans="1:24" s="306" customFormat="1" ht="13.5" thickBot="1">
      <c r="A184" s="388"/>
      <c r="B184" s="1103"/>
      <c r="C184" s="926"/>
      <c r="D184" s="887"/>
      <c r="E184" s="887"/>
      <c r="F184" s="887"/>
      <c r="G184" s="662"/>
      <c r="H184" s="659"/>
      <c r="I184" s="603"/>
      <c r="J184" s="407"/>
      <c r="K184" s="195"/>
      <c r="L184" s="311"/>
      <c r="M184" s="480"/>
      <c r="N184" s="407"/>
      <c r="O184" s="195"/>
      <c r="P184" s="311" t="s">
        <v>34</v>
      </c>
      <c r="Q184" s="312"/>
      <c r="R184" s="665"/>
      <c r="S184" s="310"/>
      <c r="T184" s="1227"/>
      <c r="U184" s="1227"/>
      <c r="V184" s="261"/>
      <c r="W184" s="261"/>
      <c r="X184" s="261"/>
    </row>
    <row r="185" spans="1:24" s="306" customFormat="1" ht="13.5" thickBot="1">
      <c r="A185" s="388"/>
      <c r="B185" s="872"/>
      <c r="C185" s="872"/>
      <c r="D185" s="872"/>
      <c r="E185" s="872"/>
      <c r="F185" s="886"/>
      <c r="G185" s="886"/>
      <c r="H185" s="886"/>
      <c r="I185" s="886"/>
      <c r="J185" s="886"/>
      <c r="K185" s="886"/>
      <c r="L185" s="886"/>
      <c r="M185" s="403"/>
      <c r="N185" s="404"/>
      <c r="O185" s="138"/>
      <c r="P185" s="138"/>
      <c r="Q185" s="261"/>
      <c r="R185" s="261"/>
      <c r="S185" s="261"/>
      <c r="T185" s="261"/>
      <c r="U185" s="261"/>
      <c r="V185" s="261"/>
      <c r="W185" s="261"/>
      <c r="X185" s="261"/>
    </row>
    <row r="186" spans="1:24" s="306" customFormat="1" ht="15.75" thickBot="1">
      <c r="A186" s="388"/>
      <c r="B186" s="888"/>
      <c r="C186" s="888"/>
      <c r="D186" s="888"/>
      <c r="E186" s="888"/>
      <c r="F186" s="888"/>
      <c r="G186" s="888"/>
      <c r="H186" s="888"/>
      <c r="I186" s="888"/>
      <c r="J186" s="1228" t="s">
        <v>705</v>
      </c>
      <c r="K186" s="1229"/>
      <c r="L186" s="1230" t="s">
        <v>618</v>
      </c>
      <c r="M186" s="1231"/>
      <c r="N186" s="1228" t="s">
        <v>706</v>
      </c>
      <c r="O186" s="1229"/>
      <c r="P186" s="1232" t="s">
        <v>707</v>
      </c>
      <c r="Q186" s="1233"/>
      <c r="R186" s="663"/>
      <c r="S186" s="663"/>
      <c r="T186" s="389"/>
      <c r="U186" s="389"/>
      <c r="V186" s="261"/>
      <c r="W186" s="261"/>
      <c r="X186" s="261"/>
    </row>
    <row r="187" spans="1:24" s="306" customFormat="1" ht="39" thickBot="1">
      <c r="A187" s="388"/>
      <c r="B187" s="875" t="s">
        <v>15</v>
      </c>
      <c r="C187" s="884" t="s">
        <v>128</v>
      </c>
      <c r="D187" s="873" t="s">
        <v>23</v>
      </c>
      <c r="E187" s="212" t="s">
        <v>24</v>
      </c>
      <c r="F187" s="212" t="s">
        <v>25</v>
      </c>
      <c r="G187" s="212" t="s">
        <v>26</v>
      </c>
      <c r="H187" s="655" t="s">
        <v>38</v>
      </c>
      <c r="I187" s="674" t="s">
        <v>571</v>
      </c>
      <c r="J187" s="400" t="s">
        <v>669</v>
      </c>
      <c r="K187" s="401" t="s">
        <v>314</v>
      </c>
      <c r="L187" s="401" t="s">
        <v>669</v>
      </c>
      <c r="M187" s="481" t="s">
        <v>314</v>
      </c>
      <c r="N187" s="484" t="s">
        <v>669</v>
      </c>
      <c r="O187" s="485" t="s">
        <v>314</v>
      </c>
      <c r="P187" s="485" t="s">
        <v>669</v>
      </c>
      <c r="Q187" s="486" t="s">
        <v>314</v>
      </c>
      <c r="R187" s="212" t="s">
        <v>976</v>
      </c>
      <c r="S187" s="212" t="s">
        <v>984</v>
      </c>
      <c r="T187" s="212" t="s">
        <v>975</v>
      </c>
      <c r="U187" s="212" t="s">
        <v>983</v>
      </c>
      <c r="V187" s="261"/>
      <c r="W187" s="261"/>
      <c r="X187" s="261"/>
    </row>
    <row r="188" spans="1:24" s="306" customFormat="1" ht="12.75">
      <c r="A188" s="388"/>
      <c r="B188" s="1101"/>
      <c r="C188" s="918"/>
      <c r="D188" s="652"/>
      <c r="E188" s="885"/>
      <c r="F188" s="885"/>
      <c r="G188" s="660"/>
      <c r="H188" s="656"/>
      <c r="I188" s="600"/>
      <c r="J188" s="405"/>
      <c r="K188" s="194"/>
      <c r="L188" s="313"/>
      <c r="M188" s="478"/>
      <c r="N188" s="482"/>
      <c r="O188" s="483"/>
      <c r="P188" s="309" t="s">
        <v>34</v>
      </c>
      <c r="Q188" s="310"/>
      <c r="R188" s="664"/>
      <c r="S188" s="310"/>
      <c r="T188" s="1225"/>
      <c r="U188" s="1225"/>
      <c r="V188" s="261"/>
      <c r="W188" s="261"/>
      <c r="X188" s="261"/>
    </row>
    <row r="189" spans="1:24" s="306" customFormat="1" ht="12.75">
      <c r="A189" s="388"/>
      <c r="B189" s="1102"/>
      <c r="C189" s="919"/>
      <c r="D189" s="883"/>
      <c r="E189" s="883"/>
      <c r="F189" s="883"/>
      <c r="G189" s="661"/>
      <c r="H189" s="657"/>
      <c r="I189" s="601"/>
      <c r="J189" s="406"/>
      <c r="K189" s="193"/>
      <c r="L189" s="315"/>
      <c r="M189" s="479"/>
      <c r="N189" s="406"/>
      <c r="O189" s="193"/>
      <c r="P189" s="315" t="s">
        <v>34</v>
      </c>
      <c r="Q189" s="316"/>
      <c r="R189" s="664"/>
      <c r="S189" s="310"/>
      <c r="T189" s="1226"/>
      <c r="U189" s="1226"/>
      <c r="V189" s="261"/>
      <c r="W189" s="261"/>
      <c r="X189" s="261"/>
    </row>
    <row r="190" spans="1:24" s="306" customFormat="1" ht="12.75">
      <c r="A190" s="388"/>
      <c r="B190" s="1102"/>
      <c r="C190" s="919"/>
      <c r="D190" s="883"/>
      <c r="E190" s="883"/>
      <c r="F190" s="883"/>
      <c r="G190" s="661"/>
      <c r="H190" s="657"/>
      <c r="I190" s="601"/>
      <c r="J190" s="406"/>
      <c r="K190" s="193"/>
      <c r="L190" s="315"/>
      <c r="M190" s="479"/>
      <c r="N190" s="406"/>
      <c r="O190" s="193"/>
      <c r="P190" s="315" t="s">
        <v>34</v>
      </c>
      <c r="Q190" s="316"/>
      <c r="R190" s="664"/>
      <c r="S190" s="310"/>
      <c r="T190" s="1226"/>
      <c r="U190" s="1226"/>
      <c r="V190" s="261"/>
      <c r="W190" s="261"/>
      <c r="X190" s="261"/>
    </row>
    <row r="191" spans="1:24" s="306" customFormat="1" ht="12.75">
      <c r="A191" s="388"/>
      <c r="B191" s="1102"/>
      <c r="C191" s="919"/>
      <c r="D191" s="883"/>
      <c r="E191" s="883"/>
      <c r="F191" s="883"/>
      <c r="G191" s="661"/>
      <c r="H191" s="657"/>
      <c r="I191" s="601"/>
      <c r="J191" s="406"/>
      <c r="K191" s="193"/>
      <c r="L191" s="315"/>
      <c r="M191" s="479"/>
      <c r="N191" s="406"/>
      <c r="O191" s="193"/>
      <c r="P191" s="315" t="s">
        <v>34</v>
      </c>
      <c r="Q191" s="316"/>
      <c r="R191" s="664"/>
      <c r="S191" s="310"/>
      <c r="T191" s="1226"/>
      <c r="U191" s="1226"/>
      <c r="V191" s="261"/>
      <c r="W191" s="261"/>
      <c r="X191" s="261"/>
    </row>
    <row r="192" spans="1:24" s="306" customFormat="1" ht="12.75">
      <c r="A192" s="388"/>
      <c r="B192" s="1102"/>
      <c r="C192" s="919"/>
      <c r="D192" s="883"/>
      <c r="E192" s="883"/>
      <c r="F192" s="883"/>
      <c r="G192" s="661"/>
      <c r="H192" s="657"/>
      <c r="I192" s="601"/>
      <c r="J192" s="406"/>
      <c r="K192" s="193"/>
      <c r="L192" s="315"/>
      <c r="M192" s="479"/>
      <c r="N192" s="406"/>
      <c r="O192" s="193"/>
      <c r="P192" s="315" t="s">
        <v>34</v>
      </c>
      <c r="Q192" s="316"/>
      <c r="R192" s="664"/>
      <c r="S192" s="310"/>
      <c r="T192" s="1226"/>
      <c r="U192" s="1226"/>
      <c r="V192" s="261"/>
      <c r="W192" s="261"/>
      <c r="X192" s="261"/>
    </row>
    <row r="193" spans="1:24" s="306" customFormat="1" ht="12.75">
      <c r="A193" s="388"/>
      <c r="B193" s="1102"/>
      <c r="C193" s="919"/>
      <c r="D193" s="883"/>
      <c r="E193" s="883"/>
      <c r="F193" s="883"/>
      <c r="G193" s="661"/>
      <c r="H193" s="658"/>
      <c r="I193" s="602"/>
      <c r="J193" s="406"/>
      <c r="K193" s="193"/>
      <c r="L193" s="315"/>
      <c r="M193" s="479"/>
      <c r="N193" s="406"/>
      <c r="O193" s="193"/>
      <c r="P193" s="315" t="s">
        <v>34</v>
      </c>
      <c r="Q193" s="316"/>
      <c r="R193" s="664"/>
      <c r="S193" s="310"/>
      <c r="T193" s="1226"/>
      <c r="U193" s="1226"/>
      <c r="V193" s="261"/>
      <c r="W193" s="261"/>
      <c r="X193" s="261"/>
    </row>
    <row r="194" spans="1:24" s="306" customFormat="1" ht="12.75">
      <c r="A194" s="388"/>
      <c r="B194" s="1102"/>
      <c r="C194" s="919"/>
      <c r="D194" s="883"/>
      <c r="E194" s="883"/>
      <c r="F194" s="883"/>
      <c r="G194" s="661"/>
      <c r="H194" s="658"/>
      <c r="I194" s="602"/>
      <c r="J194" s="406"/>
      <c r="K194" s="193"/>
      <c r="L194" s="315"/>
      <c r="M194" s="479"/>
      <c r="N194" s="406"/>
      <c r="O194" s="193"/>
      <c r="P194" s="315" t="s">
        <v>34</v>
      </c>
      <c r="Q194" s="316"/>
      <c r="R194" s="664"/>
      <c r="S194" s="310"/>
      <c r="T194" s="1226"/>
      <c r="U194" s="1226"/>
      <c r="V194" s="261"/>
      <c r="W194" s="261"/>
      <c r="X194" s="261"/>
    </row>
    <row r="195" spans="1:24" s="306" customFormat="1" ht="12.75">
      <c r="A195" s="388"/>
      <c r="B195" s="1102"/>
      <c r="C195" s="919"/>
      <c r="D195" s="883"/>
      <c r="E195" s="883"/>
      <c r="F195" s="883"/>
      <c r="G195" s="661"/>
      <c r="H195" s="658"/>
      <c r="I195" s="602"/>
      <c r="J195" s="406"/>
      <c r="K195" s="193"/>
      <c r="L195" s="315"/>
      <c r="M195" s="479"/>
      <c r="N195" s="406"/>
      <c r="O195" s="193"/>
      <c r="P195" s="315" t="s">
        <v>34</v>
      </c>
      <c r="Q195" s="316"/>
      <c r="R195" s="664"/>
      <c r="S195" s="310"/>
      <c r="T195" s="1226"/>
      <c r="U195" s="1226"/>
      <c r="V195" s="261"/>
      <c r="W195" s="261"/>
      <c r="X195" s="261"/>
    </row>
    <row r="196" spans="1:24" s="306" customFormat="1" ht="12.75">
      <c r="A196" s="388"/>
      <c r="B196" s="1102"/>
      <c r="C196" s="919"/>
      <c r="D196" s="883"/>
      <c r="E196" s="883"/>
      <c r="F196" s="883"/>
      <c r="G196" s="661"/>
      <c r="H196" s="658"/>
      <c r="I196" s="602"/>
      <c r="J196" s="406"/>
      <c r="K196" s="193"/>
      <c r="L196" s="315"/>
      <c r="M196" s="479"/>
      <c r="N196" s="406"/>
      <c r="O196" s="193"/>
      <c r="P196" s="315" t="s">
        <v>34</v>
      </c>
      <c r="Q196" s="316"/>
      <c r="R196" s="664"/>
      <c r="S196" s="310"/>
      <c r="T196" s="1226"/>
      <c r="U196" s="1226"/>
      <c r="V196" s="261"/>
      <c r="W196" s="261"/>
      <c r="X196" s="261"/>
    </row>
    <row r="197" spans="1:24" s="306" customFormat="1" ht="12.75">
      <c r="A197" s="388"/>
      <c r="B197" s="1102"/>
      <c r="C197" s="919"/>
      <c r="D197" s="883"/>
      <c r="E197" s="883"/>
      <c r="F197" s="883"/>
      <c r="G197" s="661"/>
      <c r="H197" s="658"/>
      <c r="I197" s="602"/>
      <c r="J197" s="406"/>
      <c r="K197" s="193"/>
      <c r="L197" s="315"/>
      <c r="M197" s="479"/>
      <c r="N197" s="406"/>
      <c r="O197" s="193"/>
      <c r="P197" s="315" t="s">
        <v>34</v>
      </c>
      <c r="Q197" s="316"/>
      <c r="R197" s="664"/>
      <c r="S197" s="310"/>
      <c r="T197" s="1226"/>
      <c r="U197" s="1226"/>
      <c r="V197" s="261"/>
      <c r="W197" s="261"/>
      <c r="X197" s="261"/>
    </row>
    <row r="198" spans="1:24" s="306" customFormat="1" ht="12.75">
      <c r="A198" s="388"/>
      <c r="B198" s="1102"/>
      <c r="C198" s="919"/>
      <c r="D198" s="883"/>
      <c r="E198" s="883"/>
      <c r="F198" s="883"/>
      <c r="G198" s="661"/>
      <c r="H198" s="658"/>
      <c r="I198" s="602"/>
      <c r="J198" s="406"/>
      <c r="K198" s="193"/>
      <c r="L198" s="315"/>
      <c r="M198" s="479"/>
      <c r="N198" s="406"/>
      <c r="O198" s="193"/>
      <c r="P198" s="315" t="s">
        <v>34</v>
      </c>
      <c r="Q198" s="316"/>
      <c r="R198" s="664"/>
      <c r="S198" s="310"/>
      <c r="T198" s="1226"/>
      <c r="U198" s="1226"/>
      <c r="V198" s="261"/>
      <c r="W198" s="261"/>
      <c r="X198" s="261"/>
    </row>
    <row r="199" spans="1:24" s="306" customFormat="1" ht="12.75">
      <c r="A199" s="388"/>
      <c r="B199" s="1102"/>
      <c r="C199" s="919"/>
      <c r="D199" s="883"/>
      <c r="E199" s="883"/>
      <c r="F199" s="883"/>
      <c r="G199" s="661"/>
      <c r="H199" s="658"/>
      <c r="I199" s="602"/>
      <c r="J199" s="406"/>
      <c r="K199" s="193"/>
      <c r="L199" s="315"/>
      <c r="M199" s="479"/>
      <c r="N199" s="406"/>
      <c r="O199" s="193"/>
      <c r="P199" s="315" t="s">
        <v>34</v>
      </c>
      <c r="Q199" s="316"/>
      <c r="R199" s="664"/>
      <c r="S199" s="310"/>
      <c r="T199" s="1226"/>
      <c r="U199" s="1226"/>
      <c r="V199" s="261"/>
      <c r="W199" s="261"/>
      <c r="X199" s="261"/>
    </row>
    <row r="200" spans="1:24" s="306" customFormat="1" ht="12.75">
      <c r="A200" s="388"/>
      <c r="B200" s="1102"/>
      <c r="C200" s="919"/>
      <c r="D200" s="883"/>
      <c r="E200" s="883"/>
      <c r="F200" s="883"/>
      <c r="G200" s="661"/>
      <c r="H200" s="658"/>
      <c r="I200" s="602"/>
      <c r="J200" s="406"/>
      <c r="K200" s="193"/>
      <c r="L200" s="315"/>
      <c r="M200" s="479"/>
      <c r="N200" s="406"/>
      <c r="O200" s="193"/>
      <c r="P200" s="315" t="s">
        <v>34</v>
      </c>
      <c r="Q200" s="316"/>
      <c r="R200" s="664"/>
      <c r="S200" s="310"/>
      <c r="T200" s="1226"/>
      <c r="U200" s="1226"/>
      <c r="V200" s="261"/>
      <c r="W200" s="261"/>
      <c r="X200" s="261"/>
    </row>
    <row r="201" spans="1:24" s="306" customFormat="1" ht="12.75">
      <c r="A201" s="388"/>
      <c r="B201" s="1102"/>
      <c r="C201" s="919"/>
      <c r="D201" s="883"/>
      <c r="E201" s="883"/>
      <c r="F201" s="883"/>
      <c r="G201" s="661"/>
      <c r="H201" s="658"/>
      <c r="I201" s="602"/>
      <c r="J201" s="406"/>
      <c r="K201" s="193"/>
      <c r="L201" s="315"/>
      <c r="M201" s="479"/>
      <c r="N201" s="406"/>
      <c r="O201" s="193"/>
      <c r="P201" s="315" t="s">
        <v>34</v>
      </c>
      <c r="Q201" s="316"/>
      <c r="R201" s="664"/>
      <c r="S201" s="310"/>
      <c r="T201" s="1226"/>
      <c r="U201" s="1226"/>
      <c r="V201" s="261"/>
      <c r="W201" s="261"/>
      <c r="X201" s="261"/>
    </row>
    <row r="202" spans="1:24" s="306" customFormat="1" ht="12.75">
      <c r="A202" s="388"/>
      <c r="B202" s="1102"/>
      <c r="C202" s="919"/>
      <c r="D202" s="883"/>
      <c r="E202" s="883"/>
      <c r="F202" s="883"/>
      <c r="G202" s="661"/>
      <c r="H202" s="658"/>
      <c r="I202" s="602"/>
      <c r="J202" s="406"/>
      <c r="K202" s="193"/>
      <c r="L202" s="315"/>
      <c r="M202" s="479"/>
      <c r="N202" s="406"/>
      <c r="O202" s="193"/>
      <c r="P202" s="315" t="s">
        <v>34</v>
      </c>
      <c r="Q202" s="316"/>
      <c r="R202" s="664"/>
      <c r="S202" s="310"/>
      <c r="T202" s="1226"/>
      <c r="U202" s="1226"/>
      <c r="V202" s="261"/>
      <c r="W202" s="261"/>
      <c r="X202" s="261"/>
    </row>
    <row r="203" spans="1:24" s="306" customFormat="1" ht="12.75">
      <c r="A203" s="388"/>
      <c r="B203" s="1102"/>
      <c r="C203" s="919"/>
      <c r="D203" s="883"/>
      <c r="E203" s="883"/>
      <c r="F203" s="883"/>
      <c r="G203" s="661"/>
      <c r="H203" s="658"/>
      <c r="I203" s="602"/>
      <c r="J203" s="406"/>
      <c r="K203" s="193"/>
      <c r="L203" s="315"/>
      <c r="M203" s="479"/>
      <c r="N203" s="406"/>
      <c r="O203" s="193"/>
      <c r="P203" s="315" t="s">
        <v>34</v>
      </c>
      <c r="Q203" s="316"/>
      <c r="R203" s="664"/>
      <c r="S203" s="310"/>
      <c r="T203" s="1226"/>
      <c r="U203" s="1226"/>
      <c r="V203" s="261"/>
      <c r="W203" s="261"/>
      <c r="X203" s="261"/>
    </row>
    <row r="204" spans="1:24" s="306" customFormat="1" ht="12.75">
      <c r="A204" s="388"/>
      <c r="B204" s="1102"/>
      <c r="C204" s="919"/>
      <c r="D204" s="883"/>
      <c r="E204" s="883"/>
      <c r="F204" s="883"/>
      <c r="G204" s="661"/>
      <c r="H204" s="658"/>
      <c r="I204" s="602"/>
      <c r="J204" s="406"/>
      <c r="K204" s="193"/>
      <c r="L204" s="315"/>
      <c r="M204" s="479"/>
      <c r="N204" s="406"/>
      <c r="O204" s="193"/>
      <c r="P204" s="315" t="s">
        <v>34</v>
      </c>
      <c r="Q204" s="316"/>
      <c r="R204" s="664"/>
      <c r="S204" s="310"/>
      <c r="T204" s="1226"/>
      <c r="U204" s="1226"/>
      <c r="V204" s="261"/>
      <c r="W204" s="261"/>
      <c r="X204" s="261"/>
    </row>
    <row r="205" spans="1:24" s="306" customFormat="1" ht="12.75">
      <c r="A205" s="388"/>
      <c r="B205" s="1102"/>
      <c r="C205" s="919"/>
      <c r="D205" s="883"/>
      <c r="E205" s="883"/>
      <c r="F205" s="883"/>
      <c r="G205" s="661"/>
      <c r="H205" s="658"/>
      <c r="I205" s="602"/>
      <c r="J205" s="406"/>
      <c r="K205" s="193"/>
      <c r="L205" s="315"/>
      <c r="M205" s="479"/>
      <c r="N205" s="406"/>
      <c r="O205" s="193"/>
      <c r="P205" s="315" t="s">
        <v>34</v>
      </c>
      <c r="Q205" s="316"/>
      <c r="R205" s="664"/>
      <c r="S205" s="310"/>
      <c r="T205" s="1226"/>
      <c r="U205" s="1226"/>
      <c r="V205" s="261"/>
      <c r="W205" s="261"/>
      <c r="X205" s="261"/>
    </row>
    <row r="206" spans="1:24" s="306" customFormat="1" ht="12.75">
      <c r="A206" s="388"/>
      <c r="B206" s="1102"/>
      <c r="C206" s="919"/>
      <c r="D206" s="883"/>
      <c r="E206" s="883"/>
      <c r="F206" s="883"/>
      <c r="G206" s="661"/>
      <c r="H206" s="658"/>
      <c r="I206" s="602"/>
      <c r="J206" s="406"/>
      <c r="K206" s="193"/>
      <c r="L206" s="315"/>
      <c r="M206" s="479"/>
      <c r="N206" s="406"/>
      <c r="O206" s="193"/>
      <c r="P206" s="315" t="s">
        <v>34</v>
      </c>
      <c r="Q206" s="316"/>
      <c r="R206" s="664"/>
      <c r="S206" s="310"/>
      <c r="T206" s="1226"/>
      <c r="U206" s="1226"/>
      <c r="V206" s="261"/>
      <c r="W206" s="261"/>
      <c r="X206" s="261"/>
    </row>
    <row r="207" spans="1:24" s="306" customFormat="1" ht="13.5" thickBot="1">
      <c r="A207" s="388"/>
      <c r="B207" s="1103"/>
      <c r="C207" s="926"/>
      <c r="D207" s="887"/>
      <c r="E207" s="887"/>
      <c r="F207" s="887"/>
      <c r="G207" s="662"/>
      <c r="H207" s="659"/>
      <c r="I207" s="603"/>
      <c r="J207" s="407"/>
      <c r="K207" s="195"/>
      <c r="L207" s="311"/>
      <c r="M207" s="480"/>
      <c r="N207" s="407"/>
      <c r="O207" s="195"/>
      <c r="P207" s="311" t="s">
        <v>34</v>
      </c>
      <c r="Q207" s="312"/>
      <c r="R207" s="665"/>
      <c r="S207" s="310"/>
      <c r="T207" s="1227"/>
      <c r="U207" s="1227"/>
      <c r="V207" s="261"/>
      <c r="W207" s="261"/>
      <c r="X207" s="261"/>
    </row>
    <row r="208" spans="1:24" s="306" customFormat="1" ht="13.5" thickBot="1">
      <c r="A208" s="388"/>
      <c r="B208" s="872"/>
      <c r="C208" s="872"/>
      <c r="D208" s="872"/>
      <c r="E208" s="872"/>
      <c r="F208" s="886"/>
      <c r="G208" s="886"/>
      <c r="H208" s="886"/>
      <c r="I208" s="886"/>
      <c r="J208" s="886"/>
      <c r="K208" s="886"/>
      <c r="L208" s="886"/>
      <c r="M208" s="403"/>
      <c r="N208" s="404"/>
      <c r="O208" s="138"/>
      <c r="P208" s="138"/>
      <c r="Q208" s="261"/>
      <c r="R208" s="261"/>
      <c r="S208" s="261"/>
      <c r="T208" s="261"/>
      <c r="U208" s="261"/>
      <c r="V208" s="261"/>
      <c r="W208" s="261"/>
      <c r="X208" s="261"/>
    </row>
    <row r="209" spans="1:24" s="306" customFormat="1" ht="15.75" thickBot="1">
      <c r="A209" s="388"/>
      <c r="B209" s="888"/>
      <c r="C209" s="888"/>
      <c r="D209" s="888"/>
      <c r="E209" s="888"/>
      <c r="F209" s="888"/>
      <c r="G209" s="888"/>
      <c r="H209" s="888"/>
      <c r="I209" s="888"/>
      <c r="J209" s="1228" t="s">
        <v>705</v>
      </c>
      <c r="K209" s="1229"/>
      <c r="L209" s="1230" t="s">
        <v>618</v>
      </c>
      <c r="M209" s="1231"/>
      <c r="N209" s="1228" t="s">
        <v>706</v>
      </c>
      <c r="O209" s="1229"/>
      <c r="P209" s="1232" t="s">
        <v>707</v>
      </c>
      <c r="Q209" s="1233"/>
      <c r="R209" s="663"/>
      <c r="S209" s="663"/>
      <c r="T209" s="389"/>
      <c r="U209" s="389"/>
      <c r="V209" s="261"/>
      <c r="W209" s="261"/>
      <c r="X209" s="261"/>
    </row>
    <row r="210" spans="1:24" s="306" customFormat="1" ht="39" thickBot="1">
      <c r="A210" s="388"/>
      <c r="B210" s="875" t="s">
        <v>15</v>
      </c>
      <c r="C210" s="884" t="s">
        <v>128</v>
      </c>
      <c r="D210" s="873" t="s">
        <v>23</v>
      </c>
      <c r="E210" s="212" t="s">
        <v>24</v>
      </c>
      <c r="F210" s="212" t="s">
        <v>25</v>
      </c>
      <c r="G210" s="212" t="s">
        <v>26</v>
      </c>
      <c r="H210" s="655" t="s">
        <v>38</v>
      </c>
      <c r="I210" s="674" t="s">
        <v>571</v>
      </c>
      <c r="J210" s="400" t="s">
        <v>669</v>
      </c>
      <c r="K210" s="401" t="s">
        <v>314</v>
      </c>
      <c r="L210" s="401" t="s">
        <v>669</v>
      </c>
      <c r="M210" s="481" t="s">
        <v>314</v>
      </c>
      <c r="N210" s="484" t="s">
        <v>669</v>
      </c>
      <c r="O210" s="485" t="s">
        <v>314</v>
      </c>
      <c r="P210" s="485" t="s">
        <v>669</v>
      </c>
      <c r="Q210" s="486" t="s">
        <v>314</v>
      </c>
      <c r="R210" s="212" t="s">
        <v>976</v>
      </c>
      <c r="S210" s="212" t="s">
        <v>984</v>
      </c>
      <c r="T210" s="212" t="s">
        <v>975</v>
      </c>
      <c r="U210" s="212" t="s">
        <v>983</v>
      </c>
      <c r="V210" s="261"/>
      <c r="W210" s="261"/>
      <c r="X210" s="261"/>
    </row>
    <row r="211" spans="1:24" s="306" customFormat="1" ht="12.75">
      <c r="A211" s="388"/>
      <c r="B211" s="1101"/>
      <c r="C211" s="918"/>
      <c r="D211" s="652"/>
      <c r="E211" s="885"/>
      <c r="F211" s="885"/>
      <c r="G211" s="660"/>
      <c r="H211" s="656"/>
      <c r="I211" s="600"/>
      <c r="J211" s="405"/>
      <c r="K211" s="194"/>
      <c r="L211" s="313"/>
      <c r="M211" s="478"/>
      <c r="N211" s="482"/>
      <c r="O211" s="483"/>
      <c r="P211" s="309" t="s">
        <v>34</v>
      </c>
      <c r="Q211" s="310"/>
      <c r="R211" s="664"/>
      <c r="S211" s="310"/>
      <c r="T211" s="1225"/>
      <c r="U211" s="1225"/>
      <c r="V211" s="261"/>
      <c r="W211" s="261"/>
      <c r="X211" s="261"/>
    </row>
    <row r="212" spans="1:24" s="306" customFormat="1" ht="12.75">
      <c r="A212" s="388"/>
      <c r="B212" s="1102"/>
      <c r="C212" s="919"/>
      <c r="D212" s="883"/>
      <c r="E212" s="883"/>
      <c r="F212" s="883"/>
      <c r="G212" s="661"/>
      <c r="H212" s="657"/>
      <c r="I212" s="601"/>
      <c r="J212" s="406"/>
      <c r="K212" s="193"/>
      <c r="L212" s="315"/>
      <c r="M212" s="479"/>
      <c r="N212" s="406"/>
      <c r="O212" s="193"/>
      <c r="P212" s="315" t="s">
        <v>34</v>
      </c>
      <c r="Q212" s="316"/>
      <c r="R212" s="664"/>
      <c r="S212" s="310"/>
      <c r="T212" s="1226"/>
      <c r="U212" s="1226"/>
      <c r="V212" s="261"/>
      <c r="W212" s="261"/>
      <c r="X212" s="261"/>
    </row>
    <row r="213" spans="1:24" s="306" customFormat="1" ht="12.75">
      <c r="A213" s="388"/>
      <c r="B213" s="1102"/>
      <c r="C213" s="919"/>
      <c r="D213" s="883"/>
      <c r="E213" s="883"/>
      <c r="F213" s="883"/>
      <c r="G213" s="661"/>
      <c r="H213" s="657"/>
      <c r="I213" s="601"/>
      <c r="J213" s="406"/>
      <c r="K213" s="193"/>
      <c r="L213" s="315"/>
      <c r="M213" s="479"/>
      <c r="N213" s="406"/>
      <c r="O213" s="193"/>
      <c r="P213" s="315" t="s">
        <v>34</v>
      </c>
      <c r="Q213" s="316"/>
      <c r="R213" s="664"/>
      <c r="S213" s="310"/>
      <c r="T213" s="1226"/>
      <c r="U213" s="1226"/>
      <c r="V213" s="261"/>
      <c r="W213" s="261"/>
      <c r="X213" s="261"/>
    </row>
    <row r="214" spans="1:24" s="306" customFormat="1" ht="12.75">
      <c r="A214" s="388"/>
      <c r="B214" s="1102"/>
      <c r="C214" s="919"/>
      <c r="D214" s="883"/>
      <c r="E214" s="883"/>
      <c r="F214" s="883"/>
      <c r="G214" s="661"/>
      <c r="H214" s="657"/>
      <c r="I214" s="601"/>
      <c r="J214" s="406"/>
      <c r="K214" s="193"/>
      <c r="L214" s="315"/>
      <c r="M214" s="479"/>
      <c r="N214" s="406"/>
      <c r="O214" s="193"/>
      <c r="P214" s="315" t="s">
        <v>34</v>
      </c>
      <c r="Q214" s="316"/>
      <c r="R214" s="664"/>
      <c r="S214" s="310"/>
      <c r="T214" s="1226"/>
      <c r="U214" s="1226"/>
      <c r="V214" s="261"/>
      <c r="W214" s="261"/>
      <c r="X214" s="261"/>
    </row>
    <row r="215" spans="1:24" s="306" customFormat="1" ht="12.75">
      <c r="A215" s="388"/>
      <c r="B215" s="1102"/>
      <c r="C215" s="919"/>
      <c r="D215" s="883"/>
      <c r="E215" s="883"/>
      <c r="F215" s="883"/>
      <c r="G215" s="661"/>
      <c r="H215" s="657"/>
      <c r="I215" s="601"/>
      <c r="J215" s="406"/>
      <c r="K215" s="193"/>
      <c r="L215" s="315"/>
      <c r="M215" s="479"/>
      <c r="N215" s="406"/>
      <c r="O215" s="193"/>
      <c r="P215" s="315" t="s">
        <v>34</v>
      </c>
      <c r="Q215" s="316"/>
      <c r="R215" s="664"/>
      <c r="S215" s="310"/>
      <c r="T215" s="1226"/>
      <c r="U215" s="1226"/>
      <c r="V215" s="261"/>
      <c r="W215" s="261"/>
      <c r="X215" s="261"/>
    </row>
    <row r="216" spans="1:24" s="306" customFormat="1" ht="12.75">
      <c r="A216" s="388"/>
      <c r="B216" s="1102"/>
      <c r="C216" s="919"/>
      <c r="D216" s="883"/>
      <c r="E216" s="883"/>
      <c r="F216" s="883"/>
      <c r="G216" s="661"/>
      <c r="H216" s="658"/>
      <c r="I216" s="602"/>
      <c r="J216" s="406"/>
      <c r="K216" s="193"/>
      <c r="L216" s="315"/>
      <c r="M216" s="479"/>
      <c r="N216" s="406"/>
      <c r="O216" s="193"/>
      <c r="P216" s="315" t="s">
        <v>34</v>
      </c>
      <c r="Q216" s="316"/>
      <c r="R216" s="664"/>
      <c r="S216" s="310"/>
      <c r="T216" s="1226"/>
      <c r="U216" s="1226"/>
      <c r="V216" s="261"/>
      <c r="W216" s="261"/>
      <c r="X216" s="261"/>
    </row>
    <row r="217" spans="1:24" s="306" customFormat="1" ht="12.75">
      <c r="A217" s="388"/>
      <c r="B217" s="1102"/>
      <c r="C217" s="919"/>
      <c r="D217" s="883"/>
      <c r="E217" s="883"/>
      <c r="F217" s="883"/>
      <c r="G217" s="661"/>
      <c r="H217" s="658"/>
      <c r="I217" s="602"/>
      <c r="J217" s="406"/>
      <c r="K217" s="193"/>
      <c r="L217" s="315"/>
      <c r="M217" s="479"/>
      <c r="N217" s="406"/>
      <c r="O217" s="193"/>
      <c r="P217" s="315" t="s">
        <v>34</v>
      </c>
      <c r="Q217" s="316"/>
      <c r="R217" s="664"/>
      <c r="S217" s="310"/>
      <c r="T217" s="1226"/>
      <c r="U217" s="1226"/>
      <c r="V217" s="261"/>
      <c r="W217" s="261"/>
      <c r="X217" s="261"/>
    </row>
    <row r="218" spans="1:24" s="306" customFormat="1" ht="12.75">
      <c r="A218" s="388"/>
      <c r="B218" s="1102"/>
      <c r="C218" s="919"/>
      <c r="D218" s="883"/>
      <c r="E218" s="883"/>
      <c r="F218" s="883"/>
      <c r="G218" s="661"/>
      <c r="H218" s="658"/>
      <c r="I218" s="602"/>
      <c r="J218" s="406"/>
      <c r="K218" s="193"/>
      <c r="L218" s="315"/>
      <c r="M218" s="479"/>
      <c r="N218" s="406"/>
      <c r="O218" s="193"/>
      <c r="P218" s="315" t="s">
        <v>34</v>
      </c>
      <c r="Q218" s="316"/>
      <c r="R218" s="664"/>
      <c r="S218" s="310"/>
      <c r="T218" s="1226"/>
      <c r="U218" s="1226"/>
      <c r="V218" s="261"/>
      <c r="W218" s="261"/>
      <c r="X218" s="261"/>
    </row>
    <row r="219" spans="1:24" s="306" customFormat="1" ht="12.75">
      <c r="A219" s="388"/>
      <c r="B219" s="1102"/>
      <c r="C219" s="919"/>
      <c r="D219" s="883"/>
      <c r="E219" s="883"/>
      <c r="F219" s="883"/>
      <c r="G219" s="661"/>
      <c r="H219" s="658"/>
      <c r="I219" s="602"/>
      <c r="J219" s="406"/>
      <c r="K219" s="193"/>
      <c r="L219" s="315"/>
      <c r="M219" s="479"/>
      <c r="N219" s="406"/>
      <c r="O219" s="193"/>
      <c r="P219" s="315" t="s">
        <v>34</v>
      </c>
      <c r="Q219" s="316"/>
      <c r="R219" s="664"/>
      <c r="S219" s="310"/>
      <c r="T219" s="1226"/>
      <c r="U219" s="1226"/>
      <c r="V219" s="261"/>
      <c r="W219" s="261"/>
      <c r="X219" s="261"/>
    </row>
    <row r="220" spans="1:24" s="306" customFormat="1" ht="12.75">
      <c r="A220" s="388"/>
      <c r="B220" s="1102"/>
      <c r="C220" s="919"/>
      <c r="D220" s="883"/>
      <c r="E220" s="883"/>
      <c r="F220" s="883"/>
      <c r="G220" s="661"/>
      <c r="H220" s="658"/>
      <c r="I220" s="602"/>
      <c r="J220" s="406"/>
      <c r="K220" s="193"/>
      <c r="L220" s="315"/>
      <c r="M220" s="479"/>
      <c r="N220" s="406"/>
      <c r="O220" s="193"/>
      <c r="P220" s="315" t="s">
        <v>34</v>
      </c>
      <c r="Q220" s="316"/>
      <c r="R220" s="664"/>
      <c r="S220" s="310"/>
      <c r="T220" s="1226"/>
      <c r="U220" s="1226"/>
      <c r="V220" s="261"/>
      <c r="W220" s="261"/>
      <c r="X220" s="261"/>
    </row>
    <row r="221" spans="1:24" s="306" customFormat="1" ht="12.75">
      <c r="A221" s="388"/>
      <c r="B221" s="1102"/>
      <c r="C221" s="919"/>
      <c r="D221" s="883"/>
      <c r="E221" s="883"/>
      <c r="F221" s="883"/>
      <c r="G221" s="661"/>
      <c r="H221" s="658"/>
      <c r="I221" s="602"/>
      <c r="J221" s="406"/>
      <c r="K221" s="193"/>
      <c r="L221" s="315"/>
      <c r="M221" s="479"/>
      <c r="N221" s="406"/>
      <c r="O221" s="193"/>
      <c r="P221" s="315" t="s">
        <v>34</v>
      </c>
      <c r="Q221" s="316"/>
      <c r="R221" s="664"/>
      <c r="S221" s="310"/>
      <c r="T221" s="1226"/>
      <c r="U221" s="1226"/>
      <c r="V221" s="261"/>
      <c r="W221" s="261"/>
      <c r="X221" s="261"/>
    </row>
    <row r="222" spans="1:24" s="306" customFormat="1" ht="12.75">
      <c r="A222" s="388"/>
      <c r="B222" s="1102"/>
      <c r="C222" s="919"/>
      <c r="D222" s="883"/>
      <c r="E222" s="883"/>
      <c r="F222" s="883"/>
      <c r="G222" s="661"/>
      <c r="H222" s="658"/>
      <c r="I222" s="602"/>
      <c r="J222" s="406"/>
      <c r="K222" s="193"/>
      <c r="L222" s="315"/>
      <c r="M222" s="479"/>
      <c r="N222" s="406"/>
      <c r="O222" s="193"/>
      <c r="P222" s="315" t="s">
        <v>34</v>
      </c>
      <c r="Q222" s="316"/>
      <c r="R222" s="664"/>
      <c r="S222" s="310"/>
      <c r="T222" s="1226"/>
      <c r="U222" s="1226"/>
      <c r="V222" s="261"/>
      <c r="W222" s="261"/>
      <c r="X222" s="261"/>
    </row>
    <row r="223" spans="1:24" s="306" customFormat="1" ht="12.75">
      <c r="A223" s="388"/>
      <c r="B223" s="1102"/>
      <c r="C223" s="919"/>
      <c r="D223" s="883"/>
      <c r="E223" s="883"/>
      <c r="F223" s="883"/>
      <c r="G223" s="661"/>
      <c r="H223" s="658"/>
      <c r="I223" s="602"/>
      <c r="J223" s="406"/>
      <c r="K223" s="193"/>
      <c r="L223" s="315"/>
      <c r="M223" s="479"/>
      <c r="N223" s="406"/>
      <c r="O223" s="193"/>
      <c r="P223" s="315" t="s">
        <v>34</v>
      </c>
      <c r="Q223" s="316"/>
      <c r="R223" s="664"/>
      <c r="S223" s="310"/>
      <c r="T223" s="1226"/>
      <c r="U223" s="1226"/>
      <c r="V223" s="261"/>
      <c r="W223" s="261"/>
      <c r="X223" s="261"/>
    </row>
    <row r="224" spans="1:24" s="306" customFormat="1" ht="12.75">
      <c r="A224" s="388"/>
      <c r="B224" s="1102"/>
      <c r="C224" s="919"/>
      <c r="D224" s="883"/>
      <c r="E224" s="883"/>
      <c r="F224" s="883"/>
      <c r="G224" s="661"/>
      <c r="H224" s="658"/>
      <c r="I224" s="602"/>
      <c r="J224" s="406"/>
      <c r="K224" s="193"/>
      <c r="L224" s="315"/>
      <c r="M224" s="479"/>
      <c r="N224" s="406"/>
      <c r="O224" s="193"/>
      <c r="P224" s="315" t="s">
        <v>34</v>
      </c>
      <c r="Q224" s="316"/>
      <c r="R224" s="664"/>
      <c r="S224" s="310"/>
      <c r="T224" s="1226"/>
      <c r="U224" s="1226"/>
      <c r="V224" s="261"/>
      <c r="W224" s="261"/>
      <c r="X224" s="261"/>
    </row>
    <row r="225" spans="1:24" s="306" customFormat="1" ht="12.75">
      <c r="A225" s="388"/>
      <c r="B225" s="1102"/>
      <c r="C225" s="919"/>
      <c r="D225" s="883"/>
      <c r="E225" s="883"/>
      <c r="F225" s="883"/>
      <c r="G225" s="661"/>
      <c r="H225" s="658"/>
      <c r="I225" s="602"/>
      <c r="J225" s="406"/>
      <c r="K225" s="193"/>
      <c r="L225" s="315"/>
      <c r="M225" s="479"/>
      <c r="N225" s="406"/>
      <c r="O225" s="193"/>
      <c r="P225" s="315" t="s">
        <v>34</v>
      </c>
      <c r="Q225" s="316"/>
      <c r="R225" s="664"/>
      <c r="S225" s="310"/>
      <c r="T225" s="1226"/>
      <c r="U225" s="1226"/>
      <c r="V225" s="261"/>
      <c r="W225" s="261"/>
      <c r="X225" s="261"/>
    </row>
    <row r="226" spans="1:24" s="306" customFormat="1" ht="12.75">
      <c r="A226" s="388"/>
      <c r="B226" s="1102"/>
      <c r="C226" s="919"/>
      <c r="D226" s="883"/>
      <c r="E226" s="883"/>
      <c r="F226" s="883"/>
      <c r="G226" s="661"/>
      <c r="H226" s="658"/>
      <c r="I226" s="602"/>
      <c r="J226" s="406"/>
      <c r="K226" s="193"/>
      <c r="L226" s="315"/>
      <c r="M226" s="479"/>
      <c r="N226" s="406"/>
      <c r="O226" s="193"/>
      <c r="P226" s="315" t="s">
        <v>34</v>
      </c>
      <c r="Q226" s="316"/>
      <c r="R226" s="664"/>
      <c r="S226" s="310"/>
      <c r="T226" s="1226"/>
      <c r="U226" s="1226"/>
      <c r="V226" s="261"/>
      <c r="W226" s="261"/>
      <c r="X226" s="261"/>
    </row>
    <row r="227" spans="1:24" s="306" customFormat="1" ht="12.75">
      <c r="A227" s="388"/>
      <c r="B227" s="1102"/>
      <c r="C227" s="919"/>
      <c r="D227" s="883"/>
      <c r="E227" s="883"/>
      <c r="F227" s="883"/>
      <c r="G227" s="661"/>
      <c r="H227" s="658"/>
      <c r="I227" s="602"/>
      <c r="J227" s="406"/>
      <c r="K227" s="193"/>
      <c r="L227" s="315"/>
      <c r="M227" s="479"/>
      <c r="N227" s="406"/>
      <c r="O227" s="193"/>
      <c r="P227" s="315" t="s">
        <v>34</v>
      </c>
      <c r="Q227" s="316"/>
      <c r="R227" s="664"/>
      <c r="S227" s="310"/>
      <c r="T227" s="1226"/>
      <c r="U227" s="1226"/>
      <c r="V227" s="261"/>
      <c r="W227" s="261"/>
      <c r="X227" s="261"/>
    </row>
    <row r="228" spans="1:24" s="306" customFormat="1" ht="12.75">
      <c r="A228" s="388"/>
      <c r="B228" s="1102"/>
      <c r="C228" s="919"/>
      <c r="D228" s="883"/>
      <c r="E228" s="883"/>
      <c r="F228" s="883"/>
      <c r="G228" s="661"/>
      <c r="H228" s="658"/>
      <c r="I228" s="602"/>
      <c r="J228" s="406"/>
      <c r="K228" s="193"/>
      <c r="L228" s="315"/>
      <c r="M228" s="479"/>
      <c r="N228" s="406"/>
      <c r="O228" s="193"/>
      <c r="P228" s="315" t="s">
        <v>34</v>
      </c>
      <c r="Q228" s="316"/>
      <c r="R228" s="664"/>
      <c r="S228" s="310"/>
      <c r="T228" s="1226"/>
      <c r="U228" s="1226"/>
      <c r="V228" s="261"/>
      <c r="W228" s="261"/>
      <c r="X228" s="261"/>
    </row>
    <row r="229" spans="1:24" s="306" customFormat="1" ht="12.75">
      <c r="A229" s="388"/>
      <c r="B229" s="1102"/>
      <c r="C229" s="919"/>
      <c r="D229" s="883"/>
      <c r="E229" s="883"/>
      <c r="F229" s="883"/>
      <c r="G229" s="661"/>
      <c r="H229" s="658"/>
      <c r="I229" s="602"/>
      <c r="J229" s="406"/>
      <c r="K229" s="193"/>
      <c r="L229" s="315"/>
      <c r="M229" s="479"/>
      <c r="N229" s="406"/>
      <c r="O229" s="193"/>
      <c r="P229" s="315" t="s">
        <v>34</v>
      </c>
      <c r="Q229" s="316"/>
      <c r="R229" s="664"/>
      <c r="S229" s="310"/>
      <c r="T229" s="1226"/>
      <c r="U229" s="1226"/>
      <c r="V229" s="261"/>
      <c r="W229" s="261"/>
      <c r="X229" s="261"/>
    </row>
    <row r="230" spans="1:24" s="306" customFormat="1" ht="13.5" thickBot="1">
      <c r="A230" s="388"/>
      <c r="B230" s="1103"/>
      <c r="C230" s="926"/>
      <c r="D230" s="887"/>
      <c r="E230" s="887"/>
      <c r="F230" s="887"/>
      <c r="G230" s="662"/>
      <c r="H230" s="659"/>
      <c r="I230" s="603"/>
      <c r="J230" s="407"/>
      <c r="K230" s="195"/>
      <c r="L230" s="311"/>
      <c r="M230" s="480"/>
      <c r="N230" s="407"/>
      <c r="O230" s="195"/>
      <c r="P230" s="311" t="s">
        <v>34</v>
      </c>
      <c r="Q230" s="312"/>
      <c r="R230" s="665"/>
      <c r="S230" s="310"/>
      <c r="T230" s="1227"/>
      <c r="U230" s="1227"/>
      <c r="V230" s="261"/>
      <c r="W230" s="261"/>
      <c r="X230" s="261"/>
    </row>
    <row r="231" spans="1:24" s="306" customFormat="1" ht="13.5" thickBot="1">
      <c r="A231" s="388"/>
      <c r="B231" s="872"/>
      <c r="C231" s="872"/>
      <c r="D231" s="872"/>
      <c r="E231" s="872"/>
      <c r="F231" s="886"/>
      <c r="G231" s="886"/>
      <c r="H231" s="886"/>
      <c r="I231" s="886"/>
      <c r="J231" s="886"/>
      <c r="K231" s="886"/>
      <c r="L231" s="886"/>
      <c r="M231" s="403"/>
      <c r="N231" s="404"/>
      <c r="O231" s="138"/>
      <c r="P231" s="138"/>
      <c r="Q231" s="261"/>
      <c r="R231" s="261"/>
      <c r="S231" s="261"/>
      <c r="T231" s="261"/>
      <c r="U231" s="261"/>
      <c r="V231" s="261"/>
      <c r="W231" s="261"/>
      <c r="X231" s="261"/>
    </row>
    <row r="232" spans="1:24" s="306" customFormat="1" ht="15.75" thickBot="1">
      <c r="A232" s="388"/>
      <c r="B232" s="888"/>
      <c r="C232" s="888"/>
      <c r="D232" s="888"/>
      <c r="E232" s="888"/>
      <c r="F232" s="888"/>
      <c r="G232" s="888"/>
      <c r="H232" s="888"/>
      <c r="I232" s="888"/>
      <c r="J232" s="1228" t="s">
        <v>705</v>
      </c>
      <c r="K232" s="1229"/>
      <c r="L232" s="1230" t="s">
        <v>618</v>
      </c>
      <c r="M232" s="1231"/>
      <c r="N232" s="1228" t="s">
        <v>706</v>
      </c>
      <c r="O232" s="1229"/>
      <c r="P232" s="1232" t="s">
        <v>707</v>
      </c>
      <c r="Q232" s="1233"/>
      <c r="R232" s="663"/>
      <c r="S232" s="663"/>
      <c r="T232" s="389"/>
      <c r="U232" s="389"/>
      <c r="V232" s="261"/>
      <c r="W232" s="261"/>
      <c r="X232" s="261"/>
    </row>
    <row r="233" spans="1:24" s="306" customFormat="1" ht="39" thickBot="1">
      <c r="A233" s="388"/>
      <c r="B233" s="875" t="s">
        <v>15</v>
      </c>
      <c r="C233" s="884" t="s">
        <v>128</v>
      </c>
      <c r="D233" s="873" t="s">
        <v>23</v>
      </c>
      <c r="E233" s="212" t="s">
        <v>24</v>
      </c>
      <c r="F233" s="212" t="s">
        <v>25</v>
      </c>
      <c r="G233" s="212" t="s">
        <v>26</v>
      </c>
      <c r="H233" s="655" t="s">
        <v>38</v>
      </c>
      <c r="I233" s="674" t="s">
        <v>571</v>
      </c>
      <c r="J233" s="400" t="s">
        <v>669</v>
      </c>
      <c r="K233" s="401" t="s">
        <v>314</v>
      </c>
      <c r="L233" s="401" t="s">
        <v>669</v>
      </c>
      <c r="M233" s="481" t="s">
        <v>314</v>
      </c>
      <c r="N233" s="484" t="s">
        <v>669</v>
      </c>
      <c r="O233" s="485" t="s">
        <v>314</v>
      </c>
      <c r="P233" s="485" t="s">
        <v>669</v>
      </c>
      <c r="Q233" s="486" t="s">
        <v>314</v>
      </c>
      <c r="R233" s="212" t="s">
        <v>976</v>
      </c>
      <c r="S233" s="212" t="s">
        <v>984</v>
      </c>
      <c r="T233" s="212" t="s">
        <v>975</v>
      </c>
      <c r="U233" s="212" t="s">
        <v>983</v>
      </c>
      <c r="V233" s="261"/>
      <c r="W233" s="261"/>
      <c r="X233" s="261"/>
    </row>
    <row r="234" spans="1:24" s="306" customFormat="1" ht="12.75">
      <c r="A234" s="388"/>
      <c r="B234" s="1101"/>
      <c r="C234" s="918"/>
      <c r="D234" s="652"/>
      <c r="E234" s="885"/>
      <c r="F234" s="885"/>
      <c r="G234" s="660"/>
      <c r="H234" s="656"/>
      <c r="I234" s="600"/>
      <c r="J234" s="405"/>
      <c r="K234" s="194"/>
      <c r="L234" s="313"/>
      <c r="M234" s="478"/>
      <c r="N234" s="482"/>
      <c r="O234" s="483"/>
      <c r="P234" s="309" t="s">
        <v>34</v>
      </c>
      <c r="Q234" s="310"/>
      <c r="R234" s="664"/>
      <c r="S234" s="310"/>
      <c r="T234" s="1225"/>
      <c r="U234" s="1225"/>
      <c r="V234" s="261"/>
      <c r="W234" s="261"/>
      <c r="X234" s="261"/>
    </row>
    <row r="235" spans="1:24" s="306" customFormat="1" ht="12.75">
      <c r="A235" s="388"/>
      <c r="B235" s="1102"/>
      <c r="C235" s="919"/>
      <c r="D235" s="883"/>
      <c r="E235" s="883"/>
      <c r="F235" s="883"/>
      <c r="G235" s="661"/>
      <c r="H235" s="657"/>
      <c r="I235" s="601"/>
      <c r="J235" s="406"/>
      <c r="K235" s="193"/>
      <c r="L235" s="315"/>
      <c r="M235" s="479"/>
      <c r="N235" s="406"/>
      <c r="O235" s="193"/>
      <c r="P235" s="315" t="s">
        <v>34</v>
      </c>
      <c r="Q235" s="316"/>
      <c r="R235" s="664"/>
      <c r="S235" s="310"/>
      <c r="T235" s="1226"/>
      <c r="U235" s="1226"/>
      <c r="V235" s="261"/>
      <c r="W235" s="261"/>
      <c r="X235" s="261"/>
    </row>
    <row r="236" spans="1:24" s="306" customFormat="1" ht="12.75">
      <c r="A236" s="388"/>
      <c r="B236" s="1102"/>
      <c r="C236" s="919"/>
      <c r="D236" s="883"/>
      <c r="E236" s="883"/>
      <c r="F236" s="883"/>
      <c r="G236" s="661"/>
      <c r="H236" s="657"/>
      <c r="I236" s="601"/>
      <c r="J236" s="406"/>
      <c r="K236" s="193"/>
      <c r="L236" s="315"/>
      <c r="M236" s="479"/>
      <c r="N236" s="406"/>
      <c r="O236" s="193"/>
      <c r="P236" s="315" t="s">
        <v>34</v>
      </c>
      <c r="Q236" s="316"/>
      <c r="R236" s="664"/>
      <c r="S236" s="310"/>
      <c r="T236" s="1226"/>
      <c r="U236" s="1226"/>
      <c r="V236" s="261"/>
      <c r="W236" s="261"/>
      <c r="X236" s="261"/>
    </row>
    <row r="237" spans="1:24" s="306" customFormat="1" ht="12.75">
      <c r="A237" s="388"/>
      <c r="B237" s="1102"/>
      <c r="C237" s="919"/>
      <c r="D237" s="883"/>
      <c r="E237" s="883"/>
      <c r="F237" s="883"/>
      <c r="G237" s="661"/>
      <c r="H237" s="657"/>
      <c r="I237" s="601"/>
      <c r="J237" s="406"/>
      <c r="K237" s="193"/>
      <c r="L237" s="315"/>
      <c r="M237" s="479"/>
      <c r="N237" s="406"/>
      <c r="O237" s="193"/>
      <c r="P237" s="315" t="s">
        <v>34</v>
      </c>
      <c r="Q237" s="316"/>
      <c r="R237" s="664"/>
      <c r="S237" s="310"/>
      <c r="T237" s="1226"/>
      <c r="U237" s="1226"/>
      <c r="V237" s="261"/>
      <c r="W237" s="261"/>
      <c r="X237" s="261"/>
    </row>
    <row r="238" spans="1:24" s="306" customFormat="1" ht="12.75">
      <c r="A238" s="388"/>
      <c r="B238" s="1102"/>
      <c r="C238" s="919"/>
      <c r="D238" s="883"/>
      <c r="E238" s="883"/>
      <c r="F238" s="883"/>
      <c r="G238" s="661"/>
      <c r="H238" s="657"/>
      <c r="I238" s="601"/>
      <c r="J238" s="406"/>
      <c r="K238" s="193"/>
      <c r="L238" s="315"/>
      <c r="M238" s="479"/>
      <c r="N238" s="406"/>
      <c r="O238" s="193"/>
      <c r="P238" s="315" t="s">
        <v>34</v>
      </c>
      <c r="Q238" s="316"/>
      <c r="R238" s="664"/>
      <c r="S238" s="310"/>
      <c r="T238" s="1226"/>
      <c r="U238" s="1226"/>
      <c r="V238" s="261"/>
      <c r="W238" s="261"/>
      <c r="X238" s="261"/>
    </row>
    <row r="239" spans="1:24" s="306" customFormat="1" ht="12.75">
      <c r="A239" s="388"/>
      <c r="B239" s="1102"/>
      <c r="C239" s="919"/>
      <c r="D239" s="883"/>
      <c r="E239" s="883"/>
      <c r="F239" s="883"/>
      <c r="G239" s="661"/>
      <c r="H239" s="658"/>
      <c r="I239" s="602"/>
      <c r="J239" s="406"/>
      <c r="K239" s="193"/>
      <c r="L239" s="315"/>
      <c r="M239" s="479"/>
      <c r="N239" s="406"/>
      <c r="O239" s="193"/>
      <c r="P239" s="315" t="s">
        <v>34</v>
      </c>
      <c r="Q239" s="316"/>
      <c r="R239" s="664"/>
      <c r="S239" s="310"/>
      <c r="T239" s="1226"/>
      <c r="U239" s="1226"/>
      <c r="V239" s="261"/>
      <c r="W239" s="261"/>
      <c r="X239" s="261"/>
    </row>
    <row r="240" spans="1:24" s="306" customFormat="1" ht="12.75">
      <c r="A240" s="388"/>
      <c r="B240" s="1102"/>
      <c r="C240" s="919"/>
      <c r="D240" s="883"/>
      <c r="E240" s="883"/>
      <c r="F240" s="883"/>
      <c r="G240" s="661"/>
      <c r="H240" s="658"/>
      <c r="I240" s="602"/>
      <c r="J240" s="406"/>
      <c r="K240" s="193"/>
      <c r="L240" s="315"/>
      <c r="M240" s="479"/>
      <c r="N240" s="406"/>
      <c r="O240" s="193"/>
      <c r="P240" s="315" t="s">
        <v>34</v>
      </c>
      <c r="Q240" s="316"/>
      <c r="R240" s="664"/>
      <c r="S240" s="310"/>
      <c r="T240" s="1226"/>
      <c r="U240" s="1226"/>
      <c r="V240" s="261"/>
      <c r="W240" s="261"/>
      <c r="X240" s="261"/>
    </row>
    <row r="241" spans="1:24" s="306" customFormat="1" ht="12.75">
      <c r="A241" s="388"/>
      <c r="B241" s="1102"/>
      <c r="C241" s="919"/>
      <c r="D241" s="883"/>
      <c r="E241" s="883"/>
      <c r="F241" s="883"/>
      <c r="G241" s="661"/>
      <c r="H241" s="658"/>
      <c r="I241" s="602"/>
      <c r="J241" s="406"/>
      <c r="K241" s="193"/>
      <c r="L241" s="315"/>
      <c r="M241" s="479"/>
      <c r="N241" s="406"/>
      <c r="O241" s="193"/>
      <c r="P241" s="315" t="s">
        <v>34</v>
      </c>
      <c r="Q241" s="316"/>
      <c r="R241" s="664"/>
      <c r="S241" s="310"/>
      <c r="T241" s="1226"/>
      <c r="U241" s="1226"/>
      <c r="V241" s="261"/>
      <c r="W241" s="261"/>
      <c r="X241" s="261"/>
    </row>
    <row r="242" spans="1:24" s="306" customFormat="1" ht="12.75">
      <c r="A242" s="388"/>
      <c r="B242" s="1102"/>
      <c r="C242" s="919"/>
      <c r="D242" s="883"/>
      <c r="E242" s="883"/>
      <c r="F242" s="883"/>
      <c r="G242" s="661"/>
      <c r="H242" s="658"/>
      <c r="I242" s="602"/>
      <c r="J242" s="406"/>
      <c r="K242" s="193"/>
      <c r="L242" s="315"/>
      <c r="M242" s="479"/>
      <c r="N242" s="406"/>
      <c r="O242" s="193"/>
      <c r="P242" s="315" t="s">
        <v>34</v>
      </c>
      <c r="Q242" s="316"/>
      <c r="R242" s="664"/>
      <c r="S242" s="310"/>
      <c r="T242" s="1226"/>
      <c r="U242" s="1226"/>
      <c r="V242" s="261"/>
      <c r="W242" s="261"/>
      <c r="X242" s="261"/>
    </row>
    <row r="243" spans="1:24" s="306" customFormat="1" ht="12.75">
      <c r="A243" s="388"/>
      <c r="B243" s="1102"/>
      <c r="C243" s="919"/>
      <c r="D243" s="883"/>
      <c r="E243" s="883"/>
      <c r="F243" s="883"/>
      <c r="G243" s="661"/>
      <c r="H243" s="658"/>
      <c r="I243" s="602"/>
      <c r="J243" s="406"/>
      <c r="K243" s="193"/>
      <c r="L243" s="315"/>
      <c r="M243" s="479"/>
      <c r="N243" s="406"/>
      <c r="O243" s="193"/>
      <c r="P243" s="315" t="s">
        <v>34</v>
      </c>
      <c r="Q243" s="316"/>
      <c r="R243" s="664"/>
      <c r="S243" s="310"/>
      <c r="T243" s="1226"/>
      <c r="U243" s="1226"/>
      <c r="V243" s="261"/>
      <c r="W243" s="261"/>
      <c r="X243" s="261"/>
    </row>
    <row r="244" spans="1:24" s="306" customFormat="1" ht="12.75">
      <c r="A244" s="388"/>
      <c r="B244" s="1102"/>
      <c r="C244" s="919"/>
      <c r="D244" s="883"/>
      <c r="E244" s="883"/>
      <c r="F244" s="883"/>
      <c r="G244" s="661"/>
      <c r="H244" s="658"/>
      <c r="I244" s="602"/>
      <c r="J244" s="406"/>
      <c r="K244" s="193"/>
      <c r="L244" s="315"/>
      <c r="M244" s="479"/>
      <c r="N244" s="406"/>
      <c r="O244" s="193"/>
      <c r="P244" s="315" t="s">
        <v>34</v>
      </c>
      <c r="Q244" s="316"/>
      <c r="R244" s="664"/>
      <c r="S244" s="310"/>
      <c r="T244" s="1226"/>
      <c r="U244" s="1226"/>
      <c r="V244" s="261"/>
      <c r="W244" s="261"/>
      <c r="X244" s="261"/>
    </row>
    <row r="245" spans="1:24" s="306" customFormat="1" ht="12.75">
      <c r="A245" s="388"/>
      <c r="B245" s="1102"/>
      <c r="C245" s="919"/>
      <c r="D245" s="883"/>
      <c r="E245" s="883"/>
      <c r="F245" s="883"/>
      <c r="G245" s="661"/>
      <c r="H245" s="658"/>
      <c r="I245" s="602"/>
      <c r="J245" s="406"/>
      <c r="K245" s="193"/>
      <c r="L245" s="315"/>
      <c r="M245" s="479"/>
      <c r="N245" s="406"/>
      <c r="O245" s="193"/>
      <c r="P245" s="315" t="s">
        <v>34</v>
      </c>
      <c r="Q245" s="316"/>
      <c r="R245" s="664"/>
      <c r="S245" s="310"/>
      <c r="T245" s="1226"/>
      <c r="U245" s="1226"/>
      <c r="V245" s="261"/>
      <c r="W245" s="261"/>
      <c r="X245" s="261"/>
    </row>
    <row r="246" spans="1:24" s="306" customFormat="1" ht="12.75">
      <c r="A246" s="388"/>
      <c r="B246" s="1102"/>
      <c r="C246" s="919"/>
      <c r="D246" s="883"/>
      <c r="E246" s="883"/>
      <c r="F246" s="883"/>
      <c r="G246" s="661"/>
      <c r="H246" s="658"/>
      <c r="I246" s="602"/>
      <c r="J246" s="406"/>
      <c r="K246" s="193"/>
      <c r="L246" s="315"/>
      <c r="M246" s="479"/>
      <c r="N246" s="406"/>
      <c r="O246" s="193"/>
      <c r="P246" s="315" t="s">
        <v>34</v>
      </c>
      <c r="Q246" s="316"/>
      <c r="R246" s="664"/>
      <c r="S246" s="310"/>
      <c r="T246" s="1226"/>
      <c r="U246" s="1226"/>
      <c r="V246" s="261"/>
      <c r="W246" s="261"/>
      <c r="X246" s="261"/>
    </row>
    <row r="247" spans="1:24" s="306" customFormat="1" ht="12.75">
      <c r="A247" s="388"/>
      <c r="B247" s="1102"/>
      <c r="C247" s="919"/>
      <c r="D247" s="883"/>
      <c r="E247" s="883"/>
      <c r="F247" s="883"/>
      <c r="G247" s="661"/>
      <c r="H247" s="658"/>
      <c r="I247" s="602"/>
      <c r="J247" s="406"/>
      <c r="K247" s="193"/>
      <c r="L247" s="315"/>
      <c r="M247" s="479"/>
      <c r="N247" s="406"/>
      <c r="O247" s="193"/>
      <c r="P247" s="315" t="s">
        <v>34</v>
      </c>
      <c r="Q247" s="316"/>
      <c r="R247" s="664"/>
      <c r="S247" s="310"/>
      <c r="T247" s="1226"/>
      <c r="U247" s="1226"/>
      <c r="V247" s="261"/>
      <c r="W247" s="261"/>
      <c r="X247" s="261"/>
    </row>
    <row r="248" spans="1:24" s="306" customFormat="1" ht="12.75">
      <c r="A248" s="388"/>
      <c r="B248" s="1102"/>
      <c r="C248" s="919"/>
      <c r="D248" s="883"/>
      <c r="E248" s="883"/>
      <c r="F248" s="883"/>
      <c r="G248" s="661"/>
      <c r="H248" s="658"/>
      <c r="I248" s="602"/>
      <c r="J248" s="406"/>
      <c r="K248" s="193"/>
      <c r="L248" s="315"/>
      <c r="M248" s="479"/>
      <c r="N248" s="406"/>
      <c r="O248" s="193"/>
      <c r="P248" s="315" t="s">
        <v>34</v>
      </c>
      <c r="Q248" s="316"/>
      <c r="R248" s="664"/>
      <c r="S248" s="310"/>
      <c r="T248" s="1226"/>
      <c r="U248" s="1226"/>
      <c r="V248" s="261"/>
      <c r="W248" s="261"/>
      <c r="X248" s="261"/>
    </row>
    <row r="249" spans="1:24" s="306" customFormat="1" ht="12.75">
      <c r="A249" s="388"/>
      <c r="B249" s="1102"/>
      <c r="C249" s="919"/>
      <c r="D249" s="883"/>
      <c r="E249" s="883"/>
      <c r="F249" s="883"/>
      <c r="G249" s="661"/>
      <c r="H249" s="658"/>
      <c r="I249" s="602"/>
      <c r="J249" s="406"/>
      <c r="K249" s="193"/>
      <c r="L249" s="315"/>
      <c r="M249" s="479"/>
      <c r="N249" s="406"/>
      <c r="O249" s="193"/>
      <c r="P249" s="315" t="s">
        <v>34</v>
      </c>
      <c r="Q249" s="316"/>
      <c r="R249" s="664"/>
      <c r="S249" s="310"/>
      <c r="T249" s="1226"/>
      <c r="U249" s="1226"/>
      <c r="V249" s="261"/>
      <c r="W249" s="261"/>
      <c r="X249" s="261"/>
    </row>
    <row r="250" spans="1:24" s="306" customFormat="1" ht="12.75">
      <c r="A250" s="388"/>
      <c r="B250" s="1102"/>
      <c r="C250" s="919"/>
      <c r="D250" s="883"/>
      <c r="E250" s="883"/>
      <c r="F250" s="883"/>
      <c r="G250" s="661"/>
      <c r="H250" s="658"/>
      <c r="I250" s="602"/>
      <c r="J250" s="406"/>
      <c r="K250" s="193"/>
      <c r="L250" s="315"/>
      <c r="M250" s="479"/>
      <c r="N250" s="406"/>
      <c r="O250" s="193"/>
      <c r="P250" s="315" t="s">
        <v>34</v>
      </c>
      <c r="Q250" s="316"/>
      <c r="R250" s="664"/>
      <c r="S250" s="310"/>
      <c r="T250" s="1226"/>
      <c r="U250" s="1226"/>
      <c r="V250" s="261"/>
      <c r="W250" s="261"/>
      <c r="X250" s="261"/>
    </row>
    <row r="251" spans="1:24" s="306" customFormat="1" ht="12.75">
      <c r="A251" s="388"/>
      <c r="B251" s="1102"/>
      <c r="C251" s="919"/>
      <c r="D251" s="883"/>
      <c r="E251" s="883"/>
      <c r="F251" s="883"/>
      <c r="G251" s="661"/>
      <c r="H251" s="658"/>
      <c r="I251" s="602"/>
      <c r="J251" s="406"/>
      <c r="K251" s="193"/>
      <c r="L251" s="315"/>
      <c r="M251" s="479"/>
      <c r="N251" s="406"/>
      <c r="O251" s="193"/>
      <c r="P251" s="315" t="s">
        <v>34</v>
      </c>
      <c r="Q251" s="316"/>
      <c r="R251" s="664"/>
      <c r="S251" s="310"/>
      <c r="T251" s="1226"/>
      <c r="U251" s="1226"/>
      <c r="V251" s="261"/>
      <c r="W251" s="261"/>
      <c r="X251" s="261"/>
    </row>
    <row r="252" spans="1:24" s="306" customFormat="1" ht="12.75">
      <c r="A252" s="388"/>
      <c r="B252" s="1102"/>
      <c r="C252" s="919"/>
      <c r="D252" s="883"/>
      <c r="E252" s="883"/>
      <c r="F252" s="883"/>
      <c r="G252" s="661"/>
      <c r="H252" s="658"/>
      <c r="I252" s="602"/>
      <c r="J252" s="406"/>
      <c r="K252" s="193"/>
      <c r="L252" s="315"/>
      <c r="M252" s="479"/>
      <c r="N252" s="406"/>
      <c r="O252" s="193"/>
      <c r="P252" s="315" t="s">
        <v>34</v>
      </c>
      <c r="Q252" s="316"/>
      <c r="R252" s="664"/>
      <c r="S252" s="310"/>
      <c r="T252" s="1226"/>
      <c r="U252" s="1226"/>
      <c r="V252" s="261"/>
      <c r="W252" s="261"/>
      <c r="X252" s="261"/>
    </row>
    <row r="253" spans="1:24" s="306" customFormat="1" ht="13.5" thickBot="1">
      <c r="A253" s="388"/>
      <c r="B253" s="1103"/>
      <c r="C253" s="926"/>
      <c r="D253" s="887"/>
      <c r="E253" s="887"/>
      <c r="F253" s="887"/>
      <c r="G253" s="662"/>
      <c r="H253" s="659"/>
      <c r="I253" s="603"/>
      <c r="J253" s="407"/>
      <c r="K253" s="195"/>
      <c r="L253" s="311"/>
      <c r="M253" s="480"/>
      <c r="N253" s="407"/>
      <c r="O253" s="195"/>
      <c r="P253" s="311" t="s">
        <v>34</v>
      </c>
      <c r="Q253" s="312"/>
      <c r="R253" s="665"/>
      <c r="S253" s="310"/>
      <c r="T253" s="1227"/>
      <c r="U253" s="1227"/>
      <c r="V253" s="261"/>
      <c r="W253" s="261"/>
      <c r="X253" s="261"/>
    </row>
    <row r="254" spans="1:24" s="306" customFormat="1" ht="13.5" thickBot="1">
      <c r="A254" s="388"/>
      <c r="B254" s="872"/>
      <c r="C254" s="872"/>
      <c r="D254" s="872"/>
      <c r="E254" s="872"/>
      <c r="F254" s="886"/>
      <c r="G254" s="886"/>
      <c r="H254" s="886"/>
      <c r="I254" s="886"/>
      <c r="J254" s="886"/>
      <c r="K254" s="886"/>
      <c r="L254" s="886"/>
      <c r="M254" s="403"/>
      <c r="N254" s="404"/>
      <c r="O254" s="138"/>
      <c r="P254" s="138"/>
      <c r="Q254" s="261"/>
      <c r="R254" s="261"/>
      <c r="S254" s="261"/>
      <c r="T254" s="261"/>
      <c r="U254" s="261"/>
      <c r="V254" s="261"/>
      <c r="W254" s="261"/>
      <c r="X254" s="261"/>
    </row>
    <row r="255" spans="1:24" s="306" customFormat="1" ht="15.75" thickBot="1">
      <c r="A255" s="388"/>
      <c r="B255" s="888"/>
      <c r="C255" s="888"/>
      <c r="D255" s="888"/>
      <c r="E255" s="888"/>
      <c r="F255" s="888"/>
      <c r="G255" s="888"/>
      <c r="H255" s="888"/>
      <c r="I255" s="888"/>
      <c r="J255" s="1228" t="s">
        <v>705</v>
      </c>
      <c r="K255" s="1229"/>
      <c r="L255" s="1230" t="s">
        <v>618</v>
      </c>
      <c r="M255" s="1231"/>
      <c r="N255" s="1228" t="s">
        <v>706</v>
      </c>
      <c r="O255" s="1229"/>
      <c r="P255" s="1232" t="s">
        <v>707</v>
      </c>
      <c r="Q255" s="1233"/>
      <c r="R255" s="663"/>
      <c r="S255" s="663"/>
      <c r="T255" s="389"/>
      <c r="U255" s="389"/>
      <c r="V255" s="261"/>
      <c r="W255" s="261"/>
      <c r="X255" s="261"/>
    </row>
    <row r="256" spans="1:24" s="306" customFormat="1" ht="39" thickBot="1">
      <c r="A256" s="388"/>
      <c r="B256" s="875" t="s">
        <v>15</v>
      </c>
      <c r="C256" s="884" t="s">
        <v>128</v>
      </c>
      <c r="D256" s="873" t="s">
        <v>23</v>
      </c>
      <c r="E256" s="212" t="s">
        <v>24</v>
      </c>
      <c r="F256" s="212" t="s">
        <v>25</v>
      </c>
      <c r="G256" s="212" t="s">
        <v>26</v>
      </c>
      <c r="H256" s="655" t="s">
        <v>38</v>
      </c>
      <c r="I256" s="674" t="s">
        <v>571</v>
      </c>
      <c r="J256" s="400" t="s">
        <v>669</v>
      </c>
      <c r="K256" s="401" t="s">
        <v>314</v>
      </c>
      <c r="L256" s="401" t="s">
        <v>669</v>
      </c>
      <c r="M256" s="481" t="s">
        <v>314</v>
      </c>
      <c r="N256" s="484" t="s">
        <v>669</v>
      </c>
      <c r="O256" s="485" t="s">
        <v>314</v>
      </c>
      <c r="P256" s="485" t="s">
        <v>669</v>
      </c>
      <c r="Q256" s="486" t="s">
        <v>314</v>
      </c>
      <c r="R256" s="212" t="s">
        <v>976</v>
      </c>
      <c r="S256" s="212" t="s">
        <v>984</v>
      </c>
      <c r="T256" s="212" t="s">
        <v>975</v>
      </c>
      <c r="U256" s="212" t="s">
        <v>983</v>
      </c>
      <c r="V256" s="261"/>
      <c r="W256" s="261"/>
      <c r="X256" s="261"/>
    </row>
    <row r="257" spans="1:24" s="306" customFormat="1" ht="12.75">
      <c r="A257" s="388"/>
      <c r="B257" s="1101"/>
      <c r="C257" s="918"/>
      <c r="D257" s="652"/>
      <c r="E257" s="885"/>
      <c r="F257" s="885"/>
      <c r="G257" s="660"/>
      <c r="H257" s="656"/>
      <c r="I257" s="600"/>
      <c r="J257" s="405"/>
      <c r="K257" s="194"/>
      <c r="L257" s="313"/>
      <c r="M257" s="478"/>
      <c r="N257" s="482"/>
      <c r="O257" s="483"/>
      <c r="P257" s="309" t="s">
        <v>34</v>
      </c>
      <c r="Q257" s="310"/>
      <c r="R257" s="664"/>
      <c r="S257" s="310"/>
      <c r="T257" s="1225"/>
      <c r="U257" s="1225"/>
      <c r="V257" s="261"/>
      <c r="W257" s="261"/>
      <c r="X257" s="261"/>
    </row>
    <row r="258" spans="1:24" s="306" customFormat="1" ht="12.75">
      <c r="A258" s="388"/>
      <c r="B258" s="1102"/>
      <c r="C258" s="919"/>
      <c r="D258" s="883"/>
      <c r="E258" s="883"/>
      <c r="F258" s="883"/>
      <c r="G258" s="661"/>
      <c r="H258" s="657"/>
      <c r="I258" s="601"/>
      <c r="J258" s="406"/>
      <c r="K258" s="193"/>
      <c r="L258" s="315"/>
      <c r="M258" s="479"/>
      <c r="N258" s="406"/>
      <c r="O258" s="193"/>
      <c r="P258" s="315" t="s">
        <v>34</v>
      </c>
      <c r="Q258" s="316"/>
      <c r="R258" s="664"/>
      <c r="S258" s="310"/>
      <c r="T258" s="1226"/>
      <c r="U258" s="1226"/>
      <c r="V258" s="261"/>
      <c r="W258" s="261"/>
      <c r="X258" s="261"/>
    </row>
    <row r="259" spans="1:24" s="306" customFormat="1" ht="12.75">
      <c r="A259" s="388"/>
      <c r="B259" s="1102"/>
      <c r="C259" s="919"/>
      <c r="D259" s="883"/>
      <c r="E259" s="883"/>
      <c r="F259" s="883"/>
      <c r="G259" s="661"/>
      <c r="H259" s="657"/>
      <c r="I259" s="601"/>
      <c r="J259" s="406"/>
      <c r="K259" s="193"/>
      <c r="L259" s="315"/>
      <c r="M259" s="479"/>
      <c r="N259" s="406"/>
      <c r="O259" s="193"/>
      <c r="P259" s="315" t="s">
        <v>34</v>
      </c>
      <c r="Q259" s="316"/>
      <c r="R259" s="664"/>
      <c r="S259" s="310"/>
      <c r="T259" s="1226"/>
      <c r="U259" s="1226"/>
      <c r="V259" s="261"/>
      <c r="W259" s="261"/>
      <c r="X259" s="261"/>
    </row>
    <row r="260" spans="1:24" s="306" customFormat="1" ht="12.75">
      <c r="A260" s="388"/>
      <c r="B260" s="1102"/>
      <c r="C260" s="919"/>
      <c r="D260" s="883"/>
      <c r="E260" s="883"/>
      <c r="F260" s="883"/>
      <c r="G260" s="661"/>
      <c r="H260" s="657"/>
      <c r="I260" s="601"/>
      <c r="J260" s="406"/>
      <c r="K260" s="193"/>
      <c r="L260" s="315"/>
      <c r="M260" s="479"/>
      <c r="N260" s="406"/>
      <c r="O260" s="193"/>
      <c r="P260" s="315" t="s">
        <v>34</v>
      </c>
      <c r="Q260" s="316"/>
      <c r="R260" s="664"/>
      <c r="S260" s="310"/>
      <c r="T260" s="1226"/>
      <c r="U260" s="1226"/>
      <c r="V260" s="261"/>
      <c r="W260" s="261"/>
      <c r="X260" s="261"/>
    </row>
    <row r="261" spans="1:24" s="306" customFormat="1" ht="12.75">
      <c r="A261" s="388"/>
      <c r="B261" s="1102"/>
      <c r="C261" s="919"/>
      <c r="D261" s="883"/>
      <c r="E261" s="883"/>
      <c r="F261" s="883"/>
      <c r="G261" s="661"/>
      <c r="H261" s="657"/>
      <c r="I261" s="601"/>
      <c r="J261" s="406"/>
      <c r="K261" s="193"/>
      <c r="L261" s="315"/>
      <c r="M261" s="479"/>
      <c r="N261" s="406"/>
      <c r="O261" s="193"/>
      <c r="P261" s="315" t="s">
        <v>34</v>
      </c>
      <c r="Q261" s="316"/>
      <c r="R261" s="664"/>
      <c r="S261" s="310"/>
      <c r="T261" s="1226"/>
      <c r="U261" s="1226"/>
      <c r="V261" s="261"/>
      <c r="W261" s="261"/>
      <c r="X261" s="261"/>
    </row>
    <row r="262" spans="1:24" s="306" customFormat="1" ht="12.75">
      <c r="A262" s="388"/>
      <c r="B262" s="1102"/>
      <c r="C262" s="919"/>
      <c r="D262" s="883"/>
      <c r="E262" s="883"/>
      <c r="F262" s="883"/>
      <c r="G262" s="661"/>
      <c r="H262" s="658"/>
      <c r="I262" s="602"/>
      <c r="J262" s="406"/>
      <c r="K262" s="193"/>
      <c r="L262" s="315"/>
      <c r="M262" s="479"/>
      <c r="N262" s="406"/>
      <c r="O262" s="193"/>
      <c r="P262" s="315" t="s">
        <v>34</v>
      </c>
      <c r="Q262" s="316"/>
      <c r="R262" s="664"/>
      <c r="S262" s="310"/>
      <c r="T262" s="1226"/>
      <c r="U262" s="1226"/>
      <c r="V262" s="261"/>
      <c r="W262" s="261"/>
      <c r="X262" s="261"/>
    </row>
    <row r="263" spans="1:24" s="306" customFormat="1" ht="12.75">
      <c r="A263" s="388"/>
      <c r="B263" s="1102"/>
      <c r="C263" s="919"/>
      <c r="D263" s="883"/>
      <c r="E263" s="883"/>
      <c r="F263" s="883"/>
      <c r="G263" s="661"/>
      <c r="H263" s="658"/>
      <c r="I263" s="602"/>
      <c r="J263" s="406"/>
      <c r="K263" s="193"/>
      <c r="L263" s="315"/>
      <c r="M263" s="479"/>
      <c r="N263" s="406"/>
      <c r="O263" s="193"/>
      <c r="P263" s="315" t="s">
        <v>34</v>
      </c>
      <c r="Q263" s="316"/>
      <c r="R263" s="664"/>
      <c r="S263" s="310"/>
      <c r="T263" s="1226"/>
      <c r="U263" s="1226"/>
      <c r="V263" s="261"/>
      <c r="W263" s="261"/>
      <c r="X263" s="261"/>
    </row>
    <row r="264" spans="1:24" s="306" customFormat="1" ht="12.75">
      <c r="A264" s="388"/>
      <c r="B264" s="1102"/>
      <c r="C264" s="919"/>
      <c r="D264" s="883"/>
      <c r="E264" s="883"/>
      <c r="F264" s="883"/>
      <c r="G264" s="661"/>
      <c r="H264" s="658"/>
      <c r="I264" s="602"/>
      <c r="J264" s="406"/>
      <c r="K264" s="193"/>
      <c r="L264" s="315"/>
      <c r="M264" s="479"/>
      <c r="N264" s="406"/>
      <c r="O264" s="193"/>
      <c r="P264" s="315" t="s">
        <v>34</v>
      </c>
      <c r="Q264" s="316"/>
      <c r="R264" s="664"/>
      <c r="S264" s="310"/>
      <c r="T264" s="1226"/>
      <c r="U264" s="1226"/>
      <c r="V264" s="261"/>
      <c r="W264" s="261"/>
      <c r="X264" s="261"/>
    </row>
    <row r="265" spans="1:24" s="306" customFormat="1" ht="12.75">
      <c r="A265" s="388"/>
      <c r="B265" s="1102"/>
      <c r="C265" s="919"/>
      <c r="D265" s="883"/>
      <c r="E265" s="883"/>
      <c r="F265" s="883"/>
      <c r="G265" s="661"/>
      <c r="H265" s="658"/>
      <c r="I265" s="602"/>
      <c r="J265" s="406"/>
      <c r="K265" s="193"/>
      <c r="L265" s="315"/>
      <c r="M265" s="479"/>
      <c r="N265" s="406"/>
      <c r="O265" s="193"/>
      <c r="P265" s="315" t="s">
        <v>34</v>
      </c>
      <c r="Q265" s="316"/>
      <c r="R265" s="664"/>
      <c r="S265" s="310"/>
      <c r="T265" s="1226"/>
      <c r="U265" s="1226"/>
      <c r="V265" s="261"/>
      <c r="W265" s="261"/>
      <c r="X265" s="261"/>
    </row>
    <row r="266" spans="1:24" s="306" customFormat="1" ht="12.75">
      <c r="A266" s="388"/>
      <c r="B266" s="1102"/>
      <c r="C266" s="919"/>
      <c r="D266" s="883"/>
      <c r="E266" s="883"/>
      <c r="F266" s="883"/>
      <c r="G266" s="661"/>
      <c r="H266" s="658"/>
      <c r="I266" s="602"/>
      <c r="J266" s="406"/>
      <c r="K266" s="193"/>
      <c r="L266" s="315"/>
      <c r="M266" s="479"/>
      <c r="N266" s="406"/>
      <c r="O266" s="193"/>
      <c r="P266" s="315" t="s">
        <v>34</v>
      </c>
      <c r="Q266" s="316"/>
      <c r="R266" s="664"/>
      <c r="S266" s="310"/>
      <c r="T266" s="1226"/>
      <c r="U266" s="1226"/>
      <c r="V266" s="261"/>
      <c r="W266" s="261"/>
      <c r="X266" s="261"/>
    </row>
    <row r="267" spans="1:24" s="306" customFormat="1" ht="12.75">
      <c r="A267" s="388"/>
      <c r="B267" s="1102"/>
      <c r="C267" s="919"/>
      <c r="D267" s="883"/>
      <c r="E267" s="883"/>
      <c r="F267" s="883"/>
      <c r="G267" s="661"/>
      <c r="H267" s="658"/>
      <c r="I267" s="602"/>
      <c r="J267" s="406"/>
      <c r="K267" s="193"/>
      <c r="L267" s="315"/>
      <c r="M267" s="479"/>
      <c r="N267" s="406"/>
      <c r="O267" s="193"/>
      <c r="P267" s="315" t="s">
        <v>34</v>
      </c>
      <c r="Q267" s="316"/>
      <c r="R267" s="664"/>
      <c r="S267" s="310"/>
      <c r="T267" s="1226"/>
      <c r="U267" s="1226"/>
      <c r="V267" s="261"/>
      <c r="W267" s="261"/>
      <c r="X267" s="261"/>
    </row>
    <row r="268" spans="1:24" s="306" customFormat="1" ht="12.75">
      <c r="A268" s="388"/>
      <c r="B268" s="1102"/>
      <c r="C268" s="919"/>
      <c r="D268" s="883"/>
      <c r="E268" s="883"/>
      <c r="F268" s="883"/>
      <c r="G268" s="661"/>
      <c r="H268" s="658"/>
      <c r="I268" s="602"/>
      <c r="J268" s="406"/>
      <c r="K268" s="193"/>
      <c r="L268" s="315"/>
      <c r="M268" s="479"/>
      <c r="N268" s="406"/>
      <c r="O268" s="193"/>
      <c r="P268" s="315" t="s">
        <v>34</v>
      </c>
      <c r="Q268" s="316"/>
      <c r="R268" s="664"/>
      <c r="S268" s="310"/>
      <c r="T268" s="1226"/>
      <c r="U268" s="1226"/>
      <c r="V268" s="261"/>
      <c r="W268" s="261"/>
      <c r="X268" s="261"/>
    </row>
    <row r="269" spans="1:24" s="306" customFormat="1" ht="12.75">
      <c r="A269" s="388"/>
      <c r="B269" s="1102"/>
      <c r="C269" s="919"/>
      <c r="D269" s="883"/>
      <c r="E269" s="883"/>
      <c r="F269" s="883"/>
      <c r="G269" s="661"/>
      <c r="H269" s="658"/>
      <c r="I269" s="602"/>
      <c r="J269" s="406"/>
      <c r="K269" s="193"/>
      <c r="L269" s="315"/>
      <c r="M269" s="479"/>
      <c r="N269" s="406"/>
      <c r="O269" s="193"/>
      <c r="P269" s="315" t="s">
        <v>34</v>
      </c>
      <c r="Q269" s="316"/>
      <c r="R269" s="664"/>
      <c r="S269" s="310"/>
      <c r="T269" s="1226"/>
      <c r="U269" s="1226"/>
      <c r="V269" s="261"/>
      <c r="W269" s="261"/>
      <c r="X269" s="261"/>
    </row>
    <row r="270" spans="1:24" s="306" customFormat="1" ht="12.75">
      <c r="A270" s="388"/>
      <c r="B270" s="1102"/>
      <c r="C270" s="919"/>
      <c r="D270" s="883"/>
      <c r="E270" s="883"/>
      <c r="F270" s="883"/>
      <c r="G270" s="661"/>
      <c r="H270" s="658"/>
      <c r="I270" s="602"/>
      <c r="J270" s="406"/>
      <c r="K270" s="193"/>
      <c r="L270" s="315"/>
      <c r="M270" s="479"/>
      <c r="N270" s="406"/>
      <c r="O270" s="193"/>
      <c r="P270" s="315" t="s">
        <v>34</v>
      </c>
      <c r="Q270" s="316"/>
      <c r="R270" s="664"/>
      <c r="S270" s="310"/>
      <c r="T270" s="1226"/>
      <c r="U270" s="1226"/>
      <c r="V270" s="261"/>
      <c r="W270" s="261"/>
      <c r="X270" s="261"/>
    </row>
    <row r="271" spans="1:24" s="306" customFormat="1" ht="12.75">
      <c r="A271" s="388"/>
      <c r="B271" s="1102"/>
      <c r="C271" s="919"/>
      <c r="D271" s="883"/>
      <c r="E271" s="883"/>
      <c r="F271" s="883"/>
      <c r="G271" s="661"/>
      <c r="H271" s="658"/>
      <c r="I271" s="602"/>
      <c r="J271" s="406"/>
      <c r="K271" s="193"/>
      <c r="L271" s="315"/>
      <c r="M271" s="479"/>
      <c r="N271" s="406"/>
      <c r="O271" s="193"/>
      <c r="P271" s="315" t="s">
        <v>34</v>
      </c>
      <c r="Q271" s="316"/>
      <c r="R271" s="664"/>
      <c r="S271" s="310"/>
      <c r="T271" s="1226"/>
      <c r="U271" s="1226"/>
      <c r="V271" s="261"/>
      <c r="W271" s="261"/>
      <c r="X271" s="261"/>
    </row>
    <row r="272" spans="1:24" s="306" customFormat="1" ht="12.75">
      <c r="A272" s="388"/>
      <c r="B272" s="1102"/>
      <c r="C272" s="919"/>
      <c r="D272" s="883"/>
      <c r="E272" s="883"/>
      <c r="F272" s="883"/>
      <c r="G272" s="661"/>
      <c r="H272" s="658"/>
      <c r="I272" s="602"/>
      <c r="J272" s="406"/>
      <c r="K272" s="193"/>
      <c r="L272" s="315"/>
      <c r="M272" s="479"/>
      <c r="N272" s="406"/>
      <c r="O272" s="193"/>
      <c r="P272" s="315" t="s">
        <v>34</v>
      </c>
      <c r="Q272" s="316"/>
      <c r="R272" s="664"/>
      <c r="S272" s="310"/>
      <c r="T272" s="1226"/>
      <c r="U272" s="1226"/>
      <c r="V272" s="261"/>
      <c r="W272" s="261"/>
      <c r="X272" s="261"/>
    </row>
    <row r="273" spans="1:24" s="306" customFormat="1" ht="12.75">
      <c r="A273" s="388"/>
      <c r="B273" s="1102"/>
      <c r="C273" s="919"/>
      <c r="D273" s="883"/>
      <c r="E273" s="883"/>
      <c r="F273" s="883"/>
      <c r="G273" s="661"/>
      <c r="H273" s="658"/>
      <c r="I273" s="602"/>
      <c r="J273" s="406"/>
      <c r="K273" s="193"/>
      <c r="L273" s="315"/>
      <c r="M273" s="479"/>
      <c r="N273" s="406"/>
      <c r="O273" s="193"/>
      <c r="P273" s="315" t="s">
        <v>34</v>
      </c>
      <c r="Q273" s="316"/>
      <c r="R273" s="664"/>
      <c r="S273" s="310"/>
      <c r="T273" s="1226"/>
      <c r="U273" s="1226"/>
      <c r="V273" s="261"/>
      <c r="W273" s="261"/>
      <c r="X273" s="261"/>
    </row>
    <row r="274" spans="1:24" s="306" customFormat="1" ht="12.75">
      <c r="A274" s="388"/>
      <c r="B274" s="1102"/>
      <c r="C274" s="919"/>
      <c r="D274" s="883"/>
      <c r="E274" s="883"/>
      <c r="F274" s="883"/>
      <c r="G274" s="661"/>
      <c r="H274" s="658"/>
      <c r="I274" s="602"/>
      <c r="J274" s="406"/>
      <c r="K274" s="193"/>
      <c r="L274" s="315"/>
      <c r="M274" s="479"/>
      <c r="N274" s="406"/>
      <c r="O274" s="193"/>
      <c r="P274" s="315" t="s">
        <v>34</v>
      </c>
      <c r="Q274" s="316"/>
      <c r="R274" s="664"/>
      <c r="S274" s="310"/>
      <c r="T274" s="1226"/>
      <c r="U274" s="1226"/>
      <c r="V274" s="261"/>
      <c r="W274" s="261"/>
      <c r="X274" s="261"/>
    </row>
    <row r="275" spans="1:24" s="306" customFormat="1" ht="12.75">
      <c r="A275" s="388"/>
      <c r="B275" s="1102"/>
      <c r="C275" s="919"/>
      <c r="D275" s="883"/>
      <c r="E275" s="883"/>
      <c r="F275" s="883"/>
      <c r="G275" s="661"/>
      <c r="H275" s="658"/>
      <c r="I275" s="602"/>
      <c r="J275" s="406"/>
      <c r="K275" s="193"/>
      <c r="L275" s="315"/>
      <c r="M275" s="479"/>
      <c r="N275" s="406"/>
      <c r="O275" s="193"/>
      <c r="P275" s="315" t="s">
        <v>34</v>
      </c>
      <c r="Q275" s="316"/>
      <c r="R275" s="664"/>
      <c r="S275" s="310"/>
      <c r="T275" s="1226"/>
      <c r="U275" s="1226"/>
      <c r="V275" s="261"/>
      <c r="W275" s="261"/>
      <c r="X275" s="261"/>
    </row>
    <row r="276" spans="1:24" s="306" customFormat="1" ht="13.5" thickBot="1">
      <c r="A276" s="388"/>
      <c r="B276" s="1103"/>
      <c r="C276" s="926"/>
      <c r="D276" s="887"/>
      <c r="E276" s="887"/>
      <c r="F276" s="887"/>
      <c r="G276" s="662"/>
      <c r="H276" s="659"/>
      <c r="I276" s="603"/>
      <c r="J276" s="407"/>
      <c r="K276" s="195"/>
      <c r="L276" s="311"/>
      <c r="M276" s="480"/>
      <c r="N276" s="407"/>
      <c r="O276" s="195"/>
      <c r="P276" s="311" t="s">
        <v>34</v>
      </c>
      <c r="Q276" s="312"/>
      <c r="R276" s="665"/>
      <c r="S276" s="310"/>
      <c r="T276" s="1227"/>
      <c r="U276" s="1227"/>
      <c r="V276" s="261"/>
      <c r="W276" s="261"/>
      <c r="X276" s="261"/>
    </row>
    <row r="277" spans="1:24" s="306" customFormat="1" ht="13.5" thickBot="1">
      <c r="A277" s="388"/>
      <c r="B277" s="872"/>
      <c r="C277" s="872"/>
      <c r="D277" s="872"/>
      <c r="E277" s="872"/>
      <c r="F277" s="886"/>
      <c r="G277" s="886"/>
      <c r="H277" s="886"/>
      <c r="I277" s="886"/>
      <c r="J277" s="886"/>
      <c r="K277" s="886"/>
      <c r="L277" s="886"/>
      <c r="M277" s="403"/>
      <c r="N277" s="404"/>
      <c r="O277" s="138"/>
      <c r="P277" s="138"/>
      <c r="Q277" s="261"/>
      <c r="R277" s="261"/>
      <c r="S277" s="261"/>
      <c r="T277" s="261"/>
      <c r="U277" s="261"/>
      <c r="V277" s="261"/>
      <c r="W277" s="261"/>
      <c r="X277" s="261"/>
    </row>
    <row r="278" spans="1:24" s="306" customFormat="1" ht="15.75" thickBot="1">
      <c r="A278" s="388"/>
      <c r="B278" s="888"/>
      <c r="C278" s="888"/>
      <c r="D278" s="888"/>
      <c r="E278" s="888"/>
      <c r="F278" s="888"/>
      <c r="G278" s="888"/>
      <c r="H278" s="888"/>
      <c r="I278" s="888"/>
      <c r="J278" s="1228" t="s">
        <v>705</v>
      </c>
      <c r="K278" s="1229"/>
      <c r="L278" s="1230" t="s">
        <v>618</v>
      </c>
      <c r="M278" s="1231"/>
      <c r="N278" s="1228" t="s">
        <v>706</v>
      </c>
      <c r="O278" s="1229"/>
      <c r="P278" s="1232" t="s">
        <v>707</v>
      </c>
      <c r="Q278" s="1233"/>
      <c r="R278" s="663"/>
      <c r="S278" s="663"/>
      <c r="T278" s="389"/>
      <c r="U278" s="389"/>
      <c r="V278" s="261"/>
      <c r="W278" s="261"/>
      <c r="X278" s="261"/>
    </row>
    <row r="279" spans="1:24" s="306" customFormat="1" ht="39" thickBot="1">
      <c r="A279" s="388"/>
      <c r="B279" s="875" t="s">
        <v>15</v>
      </c>
      <c r="C279" s="884" t="s">
        <v>128</v>
      </c>
      <c r="D279" s="873" t="s">
        <v>23</v>
      </c>
      <c r="E279" s="212" t="s">
        <v>24</v>
      </c>
      <c r="F279" s="212" t="s">
        <v>25</v>
      </c>
      <c r="G279" s="212" t="s">
        <v>26</v>
      </c>
      <c r="H279" s="655" t="s">
        <v>38</v>
      </c>
      <c r="I279" s="674" t="s">
        <v>571</v>
      </c>
      <c r="J279" s="400" t="s">
        <v>669</v>
      </c>
      <c r="K279" s="401" t="s">
        <v>314</v>
      </c>
      <c r="L279" s="401" t="s">
        <v>669</v>
      </c>
      <c r="M279" s="481" t="s">
        <v>314</v>
      </c>
      <c r="N279" s="484" t="s">
        <v>669</v>
      </c>
      <c r="O279" s="485" t="s">
        <v>314</v>
      </c>
      <c r="P279" s="485" t="s">
        <v>669</v>
      </c>
      <c r="Q279" s="486" t="s">
        <v>314</v>
      </c>
      <c r="R279" s="212" t="s">
        <v>976</v>
      </c>
      <c r="S279" s="212" t="s">
        <v>984</v>
      </c>
      <c r="T279" s="212" t="s">
        <v>975</v>
      </c>
      <c r="U279" s="212" t="s">
        <v>983</v>
      </c>
      <c r="V279" s="261"/>
      <c r="W279" s="261"/>
      <c r="X279" s="261"/>
    </row>
    <row r="280" spans="1:24" s="306" customFormat="1" ht="12.75">
      <c r="A280" s="388"/>
      <c r="B280" s="1101"/>
      <c r="C280" s="918"/>
      <c r="D280" s="652"/>
      <c r="E280" s="885"/>
      <c r="F280" s="885"/>
      <c r="G280" s="660"/>
      <c r="H280" s="656"/>
      <c r="I280" s="600"/>
      <c r="J280" s="405"/>
      <c r="K280" s="194"/>
      <c r="L280" s="313"/>
      <c r="M280" s="478"/>
      <c r="N280" s="482"/>
      <c r="O280" s="483"/>
      <c r="P280" s="309" t="s">
        <v>34</v>
      </c>
      <c r="Q280" s="310"/>
      <c r="R280" s="664"/>
      <c r="S280" s="310"/>
      <c r="T280" s="1225"/>
      <c r="U280" s="1225"/>
      <c r="V280" s="261"/>
      <c r="W280" s="261"/>
      <c r="X280" s="261"/>
    </row>
    <row r="281" spans="1:24" s="306" customFormat="1" ht="12.75">
      <c r="A281" s="388"/>
      <c r="B281" s="1102"/>
      <c r="C281" s="919"/>
      <c r="D281" s="883"/>
      <c r="E281" s="883"/>
      <c r="F281" s="883"/>
      <c r="G281" s="661"/>
      <c r="H281" s="657"/>
      <c r="I281" s="601"/>
      <c r="J281" s="406"/>
      <c r="K281" s="193"/>
      <c r="L281" s="315"/>
      <c r="M281" s="479"/>
      <c r="N281" s="406"/>
      <c r="O281" s="193"/>
      <c r="P281" s="315" t="s">
        <v>34</v>
      </c>
      <c r="Q281" s="316"/>
      <c r="R281" s="664"/>
      <c r="S281" s="310"/>
      <c r="T281" s="1226"/>
      <c r="U281" s="1226"/>
      <c r="V281" s="261"/>
      <c r="W281" s="261"/>
      <c r="X281" s="261"/>
    </row>
    <row r="282" spans="1:24" s="306" customFormat="1" ht="12.75">
      <c r="A282" s="388"/>
      <c r="B282" s="1102"/>
      <c r="C282" s="919"/>
      <c r="D282" s="883"/>
      <c r="E282" s="883"/>
      <c r="F282" s="883"/>
      <c r="G282" s="661"/>
      <c r="H282" s="657"/>
      <c r="I282" s="601"/>
      <c r="J282" s="406"/>
      <c r="K282" s="193"/>
      <c r="L282" s="315"/>
      <c r="M282" s="479"/>
      <c r="N282" s="406"/>
      <c r="O282" s="193"/>
      <c r="P282" s="315" t="s">
        <v>34</v>
      </c>
      <c r="Q282" s="316"/>
      <c r="R282" s="664"/>
      <c r="S282" s="310"/>
      <c r="T282" s="1226"/>
      <c r="U282" s="1226"/>
      <c r="V282" s="261"/>
      <c r="W282" s="261"/>
      <c r="X282" s="261"/>
    </row>
    <row r="283" spans="1:24" s="306" customFormat="1" ht="12.75">
      <c r="A283" s="388"/>
      <c r="B283" s="1102"/>
      <c r="C283" s="919"/>
      <c r="D283" s="883"/>
      <c r="E283" s="883"/>
      <c r="F283" s="883"/>
      <c r="G283" s="661"/>
      <c r="H283" s="657"/>
      <c r="I283" s="601"/>
      <c r="J283" s="406"/>
      <c r="K283" s="193"/>
      <c r="L283" s="315"/>
      <c r="M283" s="479"/>
      <c r="N283" s="406"/>
      <c r="O283" s="193"/>
      <c r="P283" s="315" t="s">
        <v>34</v>
      </c>
      <c r="Q283" s="316"/>
      <c r="R283" s="664"/>
      <c r="S283" s="310"/>
      <c r="T283" s="1226"/>
      <c r="U283" s="1226"/>
      <c r="V283" s="261"/>
      <c r="W283" s="261"/>
      <c r="X283" s="261"/>
    </row>
    <row r="284" spans="1:24" s="306" customFormat="1" ht="12.75">
      <c r="A284" s="388"/>
      <c r="B284" s="1102"/>
      <c r="C284" s="919"/>
      <c r="D284" s="883"/>
      <c r="E284" s="883"/>
      <c r="F284" s="883"/>
      <c r="G284" s="661"/>
      <c r="H284" s="657"/>
      <c r="I284" s="601"/>
      <c r="J284" s="406"/>
      <c r="K284" s="193"/>
      <c r="L284" s="315"/>
      <c r="M284" s="479"/>
      <c r="N284" s="406"/>
      <c r="O284" s="193"/>
      <c r="P284" s="315" t="s">
        <v>34</v>
      </c>
      <c r="Q284" s="316"/>
      <c r="R284" s="664"/>
      <c r="S284" s="310"/>
      <c r="T284" s="1226"/>
      <c r="U284" s="1226"/>
      <c r="V284" s="261"/>
      <c r="W284" s="261"/>
      <c r="X284" s="261"/>
    </row>
    <row r="285" spans="1:24" s="306" customFormat="1" ht="12.75">
      <c r="A285" s="388"/>
      <c r="B285" s="1102"/>
      <c r="C285" s="919"/>
      <c r="D285" s="883"/>
      <c r="E285" s="883"/>
      <c r="F285" s="883"/>
      <c r="G285" s="661"/>
      <c r="H285" s="658"/>
      <c r="I285" s="602"/>
      <c r="J285" s="406"/>
      <c r="K285" s="193"/>
      <c r="L285" s="315"/>
      <c r="M285" s="479"/>
      <c r="N285" s="406"/>
      <c r="O285" s="193"/>
      <c r="P285" s="315" t="s">
        <v>34</v>
      </c>
      <c r="Q285" s="316"/>
      <c r="R285" s="664"/>
      <c r="S285" s="310"/>
      <c r="T285" s="1226"/>
      <c r="U285" s="1226"/>
      <c r="V285" s="261"/>
      <c r="W285" s="261"/>
      <c r="X285" s="261"/>
    </row>
    <row r="286" spans="1:24" s="306" customFormat="1" ht="12.75">
      <c r="A286" s="388"/>
      <c r="B286" s="1102"/>
      <c r="C286" s="919"/>
      <c r="D286" s="883"/>
      <c r="E286" s="883"/>
      <c r="F286" s="883"/>
      <c r="G286" s="661"/>
      <c r="H286" s="658"/>
      <c r="I286" s="602"/>
      <c r="J286" s="406"/>
      <c r="K286" s="193"/>
      <c r="L286" s="315"/>
      <c r="M286" s="479"/>
      <c r="N286" s="406"/>
      <c r="O286" s="193"/>
      <c r="P286" s="315" t="s">
        <v>34</v>
      </c>
      <c r="Q286" s="316"/>
      <c r="R286" s="664"/>
      <c r="S286" s="310"/>
      <c r="T286" s="1226"/>
      <c r="U286" s="1226"/>
      <c r="V286" s="261"/>
      <c r="W286" s="261"/>
      <c r="X286" s="261"/>
    </row>
    <row r="287" spans="1:24" s="306" customFormat="1" ht="12.75">
      <c r="A287" s="388"/>
      <c r="B287" s="1102"/>
      <c r="C287" s="919"/>
      <c r="D287" s="883"/>
      <c r="E287" s="883"/>
      <c r="F287" s="883"/>
      <c r="G287" s="661"/>
      <c r="H287" s="658"/>
      <c r="I287" s="602"/>
      <c r="J287" s="406"/>
      <c r="K287" s="193"/>
      <c r="L287" s="315"/>
      <c r="M287" s="479"/>
      <c r="N287" s="406"/>
      <c r="O287" s="193"/>
      <c r="P287" s="315" t="s">
        <v>34</v>
      </c>
      <c r="Q287" s="316"/>
      <c r="R287" s="664"/>
      <c r="S287" s="310"/>
      <c r="T287" s="1226"/>
      <c r="U287" s="1226"/>
      <c r="V287" s="261"/>
      <c r="W287" s="261"/>
      <c r="X287" s="261"/>
    </row>
    <row r="288" spans="1:24" s="306" customFormat="1" ht="12.75">
      <c r="A288" s="388"/>
      <c r="B288" s="1102"/>
      <c r="C288" s="919"/>
      <c r="D288" s="883"/>
      <c r="E288" s="883"/>
      <c r="F288" s="883"/>
      <c r="G288" s="661"/>
      <c r="H288" s="658"/>
      <c r="I288" s="602"/>
      <c r="J288" s="406"/>
      <c r="K288" s="193"/>
      <c r="L288" s="315"/>
      <c r="M288" s="479"/>
      <c r="N288" s="406"/>
      <c r="O288" s="193"/>
      <c r="P288" s="315" t="s">
        <v>34</v>
      </c>
      <c r="Q288" s="316"/>
      <c r="R288" s="664"/>
      <c r="S288" s="310"/>
      <c r="T288" s="1226"/>
      <c r="U288" s="1226"/>
      <c r="V288" s="261"/>
      <c r="W288" s="261"/>
      <c r="X288" s="261"/>
    </row>
    <row r="289" spans="1:24" s="306" customFormat="1" ht="12.75">
      <c r="A289" s="388"/>
      <c r="B289" s="1102"/>
      <c r="C289" s="919"/>
      <c r="D289" s="883"/>
      <c r="E289" s="883"/>
      <c r="F289" s="883"/>
      <c r="G289" s="661"/>
      <c r="H289" s="658"/>
      <c r="I289" s="602"/>
      <c r="J289" s="406"/>
      <c r="K289" s="193"/>
      <c r="L289" s="315"/>
      <c r="M289" s="479"/>
      <c r="N289" s="406"/>
      <c r="O289" s="193"/>
      <c r="P289" s="315" t="s">
        <v>34</v>
      </c>
      <c r="Q289" s="316"/>
      <c r="R289" s="664"/>
      <c r="S289" s="310"/>
      <c r="T289" s="1226"/>
      <c r="U289" s="1226"/>
      <c r="V289" s="261"/>
      <c r="W289" s="261"/>
      <c r="X289" s="261"/>
    </row>
    <row r="290" spans="1:24" s="306" customFormat="1" ht="12.75">
      <c r="A290" s="388"/>
      <c r="B290" s="1102"/>
      <c r="C290" s="919"/>
      <c r="D290" s="883"/>
      <c r="E290" s="883"/>
      <c r="F290" s="883"/>
      <c r="G290" s="661"/>
      <c r="H290" s="658"/>
      <c r="I290" s="602"/>
      <c r="J290" s="406"/>
      <c r="K290" s="193"/>
      <c r="L290" s="315"/>
      <c r="M290" s="479"/>
      <c r="N290" s="406"/>
      <c r="O290" s="193"/>
      <c r="P290" s="315" t="s">
        <v>34</v>
      </c>
      <c r="Q290" s="316"/>
      <c r="R290" s="664"/>
      <c r="S290" s="310"/>
      <c r="T290" s="1226"/>
      <c r="U290" s="1226"/>
      <c r="V290" s="261"/>
      <c r="W290" s="261"/>
      <c r="X290" s="261"/>
    </row>
    <row r="291" spans="1:24" s="306" customFormat="1" ht="12.75">
      <c r="A291" s="388"/>
      <c r="B291" s="1102"/>
      <c r="C291" s="919"/>
      <c r="D291" s="883"/>
      <c r="E291" s="883"/>
      <c r="F291" s="883"/>
      <c r="G291" s="661"/>
      <c r="H291" s="658"/>
      <c r="I291" s="602"/>
      <c r="J291" s="406"/>
      <c r="K291" s="193"/>
      <c r="L291" s="315"/>
      <c r="M291" s="479"/>
      <c r="N291" s="406"/>
      <c r="O291" s="193"/>
      <c r="P291" s="315" t="s">
        <v>34</v>
      </c>
      <c r="Q291" s="316"/>
      <c r="R291" s="664"/>
      <c r="S291" s="310"/>
      <c r="T291" s="1226"/>
      <c r="U291" s="1226"/>
      <c r="V291" s="261"/>
      <c r="W291" s="261"/>
      <c r="X291" s="261"/>
    </row>
    <row r="292" spans="1:24" s="306" customFormat="1" ht="12.75">
      <c r="A292" s="388"/>
      <c r="B292" s="1102"/>
      <c r="C292" s="919"/>
      <c r="D292" s="883"/>
      <c r="E292" s="883"/>
      <c r="F292" s="883"/>
      <c r="G292" s="661"/>
      <c r="H292" s="658"/>
      <c r="I292" s="602"/>
      <c r="J292" s="406"/>
      <c r="K292" s="193"/>
      <c r="L292" s="315"/>
      <c r="M292" s="479"/>
      <c r="N292" s="406"/>
      <c r="O292" s="193"/>
      <c r="P292" s="315" t="s">
        <v>34</v>
      </c>
      <c r="Q292" s="316"/>
      <c r="R292" s="664"/>
      <c r="S292" s="310"/>
      <c r="T292" s="1226"/>
      <c r="U292" s="1226"/>
      <c r="V292" s="261"/>
      <c r="W292" s="261"/>
      <c r="X292" s="261"/>
    </row>
    <row r="293" spans="1:24" s="306" customFormat="1" ht="12.75">
      <c r="A293" s="388"/>
      <c r="B293" s="1102"/>
      <c r="C293" s="919"/>
      <c r="D293" s="883"/>
      <c r="E293" s="883"/>
      <c r="F293" s="883"/>
      <c r="G293" s="661"/>
      <c r="H293" s="658"/>
      <c r="I293" s="602"/>
      <c r="J293" s="406"/>
      <c r="K293" s="193"/>
      <c r="L293" s="315"/>
      <c r="M293" s="479"/>
      <c r="N293" s="406"/>
      <c r="O293" s="193"/>
      <c r="P293" s="315" t="s">
        <v>34</v>
      </c>
      <c r="Q293" s="316"/>
      <c r="R293" s="664"/>
      <c r="S293" s="310"/>
      <c r="T293" s="1226"/>
      <c r="U293" s="1226"/>
      <c r="V293" s="261"/>
      <c r="W293" s="261"/>
      <c r="X293" s="261"/>
    </row>
    <row r="294" spans="1:24" s="306" customFormat="1" ht="12.75">
      <c r="A294" s="388"/>
      <c r="B294" s="1102"/>
      <c r="C294" s="919"/>
      <c r="D294" s="883"/>
      <c r="E294" s="883"/>
      <c r="F294" s="883"/>
      <c r="G294" s="661"/>
      <c r="H294" s="658"/>
      <c r="I294" s="602"/>
      <c r="J294" s="406"/>
      <c r="K294" s="193"/>
      <c r="L294" s="315"/>
      <c r="M294" s="479"/>
      <c r="N294" s="406"/>
      <c r="O294" s="193"/>
      <c r="P294" s="315" t="s">
        <v>34</v>
      </c>
      <c r="Q294" s="316"/>
      <c r="R294" s="664"/>
      <c r="S294" s="310"/>
      <c r="T294" s="1226"/>
      <c r="U294" s="1226"/>
      <c r="V294" s="261"/>
      <c r="W294" s="261"/>
      <c r="X294" s="261"/>
    </row>
    <row r="295" spans="1:24" s="306" customFormat="1" ht="12.75">
      <c r="A295" s="388"/>
      <c r="B295" s="1102"/>
      <c r="C295" s="919"/>
      <c r="D295" s="883"/>
      <c r="E295" s="883"/>
      <c r="F295" s="883"/>
      <c r="G295" s="661"/>
      <c r="H295" s="658"/>
      <c r="I295" s="602"/>
      <c r="J295" s="406"/>
      <c r="K295" s="193"/>
      <c r="L295" s="315"/>
      <c r="M295" s="479"/>
      <c r="N295" s="406"/>
      <c r="O295" s="193"/>
      <c r="P295" s="315" t="s">
        <v>34</v>
      </c>
      <c r="Q295" s="316"/>
      <c r="R295" s="664"/>
      <c r="S295" s="310"/>
      <c r="T295" s="1226"/>
      <c r="U295" s="1226"/>
      <c r="V295" s="261"/>
      <c r="W295" s="261"/>
      <c r="X295" s="261"/>
    </row>
    <row r="296" spans="1:24" s="306" customFormat="1" ht="12.75">
      <c r="A296" s="388"/>
      <c r="B296" s="1102"/>
      <c r="C296" s="919"/>
      <c r="D296" s="883"/>
      <c r="E296" s="883"/>
      <c r="F296" s="883"/>
      <c r="G296" s="661"/>
      <c r="H296" s="658"/>
      <c r="I296" s="602"/>
      <c r="J296" s="406"/>
      <c r="K296" s="193"/>
      <c r="L296" s="315"/>
      <c r="M296" s="479"/>
      <c r="N296" s="406"/>
      <c r="O296" s="193"/>
      <c r="P296" s="315" t="s">
        <v>34</v>
      </c>
      <c r="Q296" s="316"/>
      <c r="R296" s="664"/>
      <c r="S296" s="310"/>
      <c r="T296" s="1226"/>
      <c r="U296" s="1226"/>
      <c r="V296" s="261"/>
      <c r="W296" s="261"/>
      <c r="X296" s="261"/>
    </row>
    <row r="297" spans="1:24" s="306" customFormat="1" ht="12.75">
      <c r="A297" s="388"/>
      <c r="B297" s="1102"/>
      <c r="C297" s="919"/>
      <c r="D297" s="883"/>
      <c r="E297" s="883"/>
      <c r="F297" s="883"/>
      <c r="G297" s="661"/>
      <c r="H297" s="658"/>
      <c r="I297" s="602"/>
      <c r="J297" s="406"/>
      <c r="K297" s="193"/>
      <c r="L297" s="315"/>
      <c r="M297" s="479"/>
      <c r="N297" s="406"/>
      <c r="O297" s="193"/>
      <c r="P297" s="315" t="s">
        <v>34</v>
      </c>
      <c r="Q297" s="316"/>
      <c r="R297" s="664"/>
      <c r="S297" s="310"/>
      <c r="T297" s="1226"/>
      <c r="U297" s="1226"/>
      <c r="V297" s="261"/>
      <c r="W297" s="261"/>
      <c r="X297" s="261"/>
    </row>
    <row r="298" spans="1:24" s="306" customFormat="1" ht="12.75">
      <c r="A298" s="388"/>
      <c r="B298" s="1102"/>
      <c r="C298" s="919"/>
      <c r="D298" s="883"/>
      <c r="E298" s="883"/>
      <c r="F298" s="883"/>
      <c r="G298" s="661"/>
      <c r="H298" s="658"/>
      <c r="I298" s="602"/>
      <c r="J298" s="406"/>
      <c r="K298" s="193"/>
      <c r="L298" s="315"/>
      <c r="M298" s="479"/>
      <c r="N298" s="406"/>
      <c r="O298" s="193"/>
      <c r="P298" s="315" t="s">
        <v>34</v>
      </c>
      <c r="Q298" s="316"/>
      <c r="R298" s="664"/>
      <c r="S298" s="310"/>
      <c r="T298" s="1226"/>
      <c r="U298" s="1226"/>
      <c r="V298" s="261"/>
      <c r="W298" s="261"/>
      <c r="X298" s="261"/>
    </row>
    <row r="299" spans="1:24" s="306" customFormat="1" ht="13.5" thickBot="1">
      <c r="A299" s="388"/>
      <c r="B299" s="1103"/>
      <c r="C299" s="926"/>
      <c r="D299" s="887"/>
      <c r="E299" s="887"/>
      <c r="F299" s="887"/>
      <c r="G299" s="662"/>
      <c r="H299" s="659"/>
      <c r="I299" s="603"/>
      <c r="J299" s="407"/>
      <c r="K299" s="195"/>
      <c r="L299" s="311"/>
      <c r="M299" s="480"/>
      <c r="N299" s="407"/>
      <c r="O299" s="195"/>
      <c r="P299" s="311" t="s">
        <v>34</v>
      </c>
      <c r="Q299" s="312"/>
      <c r="R299" s="665"/>
      <c r="S299" s="310"/>
      <c r="T299" s="1227"/>
      <c r="U299" s="1227"/>
      <c r="V299" s="261"/>
      <c r="W299" s="261"/>
      <c r="X299" s="261"/>
    </row>
    <row r="300" spans="1:24" s="306" customFormat="1" ht="13.5" thickBot="1">
      <c r="A300" s="388"/>
      <c r="B300" s="872"/>
      <c r="C300" s="872"/>
      <c r="D300" s="872"/>
      <c r="E300" s="872"/>
      <c r="F300" s="886"/>
      <c r="G300" s="886"/>
      <c r="H300" s="886"/>
      <c r="I300" s="886"/>
      <c r="J300" s="886"/>
      <c r="K300" s="886"/>
      <c r="L300" s="886"/>
      <c r="M300" s="403"/>
      <c r="N300" s="404"/>
      <c r="O300" s="138"/>
      <c r="P300" s="138"/>
      <c r="Q300" s="261"/>
      <c r="R300" s="261"/>
      <c r="S300" s="261"/>
      <c r="T300" s="261"/>
      <c r="U300" s="261"/>
      <c r="V300" s="261"/>
      <c r="W300" s="261"/>
      <c r="X300" s="261"/>
    </row>
    <row r="301" spans="1:24" s="306" customFormat="1" ht="15.75" thickBot="1">
      <c r="A301" s="388"/>
      <c r="B301" s="888"/>
      <c r="C301" s="888"/>
      <c r="D301" s="888"/>
      <c r="E301" s="888"/>
      <c r="F301" s="888"/>
      <c r="G301" s="888"/>
      <c r="H301" s="888"/>
      <c r="I301" s="888"/>
      <c r="J301" s="1228" t="s">
        <v>705</v>
      </c>
      <c r="K301" s="1229"/>
      <c r="L301" s="1230" t="s">
        <v>618</v>
      </c>
      <c r="M301" s="1231"/>
      <c r="N301" s="1228" t="s">
        <v>706</v>
      </c>
      <c r="O301" s="1229"/>
      <c r="P301" s="1232" t="s">
        <v>707</v>
      </c>
      <c r="Q301" s="1233"/>
      <c r="R301" s="663"/>
      <c r="S301" s="663"/>
      <c r="T301" s="389"/>
      <c r="U301" s="389"/>
      <c r="V301" s="261"/>
      <c r="W301" s="261"/>
      <c r="X301" s="261"/>
    </row>
    <row r="302" spans="1:24" s="306" customFormat="1" ht="39" thickBot="1">
      <c r="A302" s="388"/>
      <c r="B302" s="875" t="s">
        <v>15</v>
      </c>
      <c r="C302" s="884" t="s">
        <v>128</v>
      </c>
      <c r="D302" s="873" t="s">
        <v>23</v>
      </c>
      <c r="E302" s="212" t="s">
        <v>24</v>
      </c>
      <c r="F302" s="212" t="s">
        <v>25</v>
      </c>
      <c r="G302" s="212" t="s">
        <v>26</v>
      </c>
      <c r="H302" s="655" t="s">
        <v>38</v>
      </c>
      <c r="I302" s="674" t="s">
        <v>571</v>
      </c>
      <c r="J302" s="400" t="s">
        <v>669</v>
      </c>
      <c r="K302" s="401" t="s">
        <v>314</v>
      </c>
      <c r="L302" s="401" t="s">
        <v>669</v>
      </c>
      <c r="M302" s="481" t="s">
        <v>314</v>
      </c>
      <c r="N302" s="484" t="s">
        <v>669</v>
      </c>
      <c r="O302" s="485" t="s">
        <v>314</v>
      </c>
      <c r="P302" s="485" t="s">
        <v>669</v>
      </c>
      <c r="Q302" s="486" t="s">
        <v>314</v>
      </c>
      <c r="R302" s="212" t="s">
        <v>976</v>
      </c>
      <c r="S302" s="212" t="s">
        <v>984</v>
      </c>
      <c r="T302" s="212" t="s">
        <v>975</v>
      </c>
      <c r="U302" s="212" t="s">
        <v>983</v>
      </c>
      <c r="V302" s="261"/>
      <c r="W302" s="261"/>
      <c r="X302" s="261"/>
    </row>
    <row r="303" spans="1:24" s="306" customFormat="1" ht="12.75">
      <c r="A303" s="388"/>
      <c r="B303" s="1101"/>
      <c r="C303" s="918"/>
      <c r="D303" s="652"/>
      <c r="E303" s="885"/>
      <c r="F303" s="885"/>
      <c r="G303" s="660"/>
      <c r="H303" s="656"/>
      <c r="I303" s="600"/>
      <c r="J303" s="405"/>
      <c r="K303" s="194"/>
      <c r="L303" s="313"/>
      <c r="M303" s="478"/>
      <c r="N303" s="482"/>
      <c r="O303" s="483"/>
      <c r="P303" s="309" t="s">
        <v>34</v>
      </c>
      <c r="Q303" s="310"/>
      <c r="R303" s="664"/>
      <c r="S303" s="310"/>
      <c r="T303" s="1225"/>
      <c r="U303" s="1225"/>
      <c r="V303" s="261"/>
      <c r="W303" s="261"/>
      <c r="X303" s="261"/>
    </row>
    <row r="304" spans="1:24" s="306" customFormat="1" ht="12.75">
      <c r="A304" s="388"/>
      <c r="B304" s="1102"/>
      <c r="C304" s="919"/>
      <c r="D304" s="883"/>
      <c r="E304" s="883"/>
      <c r="F304" s="883"/>
      <c r="G304" s="661"/>
      <c r="H304" s="657"/>
      <c r="I304" s="601"/>
      <c r="J304" s="406"/>
      <c r="K304" s="193"/>
      <c r="L304" s="315"/>
      <c r="M304" s="479"/>
      <c r="N304" s="406"/>
      <c r="O304" s="193"/>
      <c r="P304" s="315" t="s">
        <v>34</v>
      </c>
      <c r="Q304" s="316"/>
      <c r="R304" s="664"/>
      <c r="S304" s="310"/>
      <c r="T304" s="1226"/>
      <c r="U304" s="1226"/>
      <c r="V304" s="261"/>
      <c r="W304" s="261"/>
      <c r="X304" s="261"/>
    </row>
    <row r="305" spans="1:24" s="306" customFormat="1" ht="12.75">
      <c r="A305" s="388"/>
      <c r="B305" s="1102"/>
      <c r="C305" s="919"/>
      <c r="D305" s="883"/>
      <c r="E305" s="883"/>
      <c r="F305" s="883"/>
      <c r="G305" s="661"/>
      <c r="H305" s="657"/>
      <c r="I305" s="601"/>
      <c r="J305" s="406"/>
      <c r="K305" s="193"/>
      <c r="L305" s="315"/>
      <c r="M305" s="479"/>
      <c r="N305" s="406"/>
      <c r="O305" s="193"/>
      <c r="P305" s="315" t="s">
        <v>34</v>
      </c>
      <c r="Q305" s="316"/>
      <c r="R305" s="664"/>
      <c r="S305" s="310"/>
      <c r="T305" s="1226"/>
      <c r="U305" s="1226"/>
      <c r="V305" s="261"/>
      <c r="W305" s="261"/>
      <c r="X305" s="261"/>
    </row>
    <row r="306" spans="1:24" s="306" customFormat="1" ht="12.75">
      <c r="A306" s="388"/>
      <c r="B306" s="1102"/>
      <c r="C306" s="919"/>
      <c r="D306" s="883"/>
      <c r="E306" s="883"/>
      <c r="F306" s="883"/>
      <c r="G306" s="661"/>
      <c r="H306" s="657"/>
      <c r="I306" s="601"/>
      <c r="J306" s="406"/>
      <c r="K306" s="193"/>
      <c r="L306" s="315"/>
      <c r="M306" s="479"/>
      <c r="N306" s="406"/>
      <c r="O306" s="193"/>
      <c r="P306" s="315" t="s">
        <v>34</v>
      </c>
      <c r="Q306" s="316"/>
      <c r="R306" s="664"/>
      <c r="S306" s="310"/>
      <c r="T306" s="1226"/>
      <c r="U306" s="1226"/>
      <c r="V306" s="261"/>
      <c r="W306" s="261"/>
      <c r="X306" s="261"/>
    </row>
    <row r="307" spans="1:24" s="306" customFormat="1" ht="12.75">
      <c r="A307" s="388"/>
      <c r="B307" s="1102"/>
      <c r="C307" s="919"/>
      <c r="D307" s="883"/>
      <c r="E307" s="883"/>
      <c r="F307" s="883"/>
      <c r="G307" s="661"/>
      <c r="H307" s="657"/>
      <c r="I307" s="601"/>
      <c r="J307" s="406"/>
      <c r="K307" s="193"/>
      <c r="L307" s="315"/>
      <c r="M307" s="479"/>
      <c r="N307" s="406"/>
      <c r="O307" s="193"/>
      <c r="P307" s="315" t="s">
        <v>34</v>
      </c>
      <c r="Q307" s="316"/>
      <c r="R307" s="664"/>
      <c r="S307" s="310"/>
      <c r="T307" s="1226"/>
      <c r="U307" s="1226"/>
      <c r="V307" s="261"/>
      <c r="W307" s="261"/>
      <c r="X307" s="261"/>
    </row>
    <row r="308" spans="1:24" s="306" customFormat="1" ht="12.75">
      <c r="A308" s="388"/>
      <c r="B308" s="1102"/>
      <c r="C308" s="919"/>
      <c r="D308" s="883"/>
      <c r="E308" s="883"/>
      <c r="F308" s="883"/>
      <c r="G308" s="661"/>
      <c r="H308" s="658"/>
      <c r="I308" s="602"/>
      <c r="J308" s="406"/>
      <c r="K308" s="193"/>
      <c r="L308" s="315"/>
      <c r="M308" s="479"/>
      <c r="N308" s="406"/>
      <c r="O308" s="193"/>
      <c r="P308" s="315" t="s">
        <v>34</v>
      </c>
      <c r="Q308" s="316"/>
      <c r="R308" s="664"/>
      <c r="S308" s="310"/>
      <c r="T308" s="1226"/>
      <c r="U308" s="1226"/>
      <c r="V308" s="261"/>
      <c r="W308" s="261"/>
      <c r="X308" s="261"/>
    </row>
    <row r="309" spans="1:24" s="306" customFormat="1" ht="12.75">
      <c r="A309" s="388"/>
      <c r="B309" s="1102"/>
      <c r="C309" s="919"/>
      <c r="D309" s="883"/>
      <c r="E309" s="883"/>
      <c r="F309" s="883"/>
      <c r="G309" s="661"/>
      <c r="H309" s="658"/>
      <c r="I309" s="602"/>
      <c r="J309" s="406"/>
      <c r="K309" s="193"/>
      <c r="L309" s="315"/>
      <c r="M309" s="479"/>
      <c r="N309" s="406"/>
      <c r="O309" s="193"/>
      <c r="P309" s="315" t="s">
        <v>34</v>
      </c>
      <c r="Q309" s="316"/>
      <c r="R309" s="664"/>
      <c r="S309" s="310"/>
      <c r="T309" s="1226"/>
      <c r="U309" s="1226"/>
      <c r="V309" s="261"/>
      <c r="W309" s="261"/>
      <c r="X309" s="261"/>
    </row>
    <row r="310" spans="1:24" s="306" customFormat="1" ht="12.75">
      <c r="A310" s="388"/>
      <c r="B310" s="1102"/>
      <c r="C310" s="919"/>
      <c r="D310" s="883"/>
      <c r="E310" s="883"/>
      <c r="F310" s="883"/>
      <c r="G310" s="661"/>
      <c r="H310" s="658"/>
      <c r="I310" s="602"/>
      <c r="J310" s="406"/>
      <c r="K310" s="193"/>
      <c r="L310" s="315"/>
      <c r="M310" s="479"/>
      <c r="N310" s="406"/>
      <c r="O310" s="193"/>
      <c r="P310" s="315" t="s">
        <v>34</v>
      </c>
      <c r="Q310" s="316"/>
      <c r="R310" s="664"/>
      <c r="S310" s="310"/>
      <c r="T310" s="1226"/>
      <c r="U310" s="1226"/>
      <c r="V310" s="261"/>
      <c r="W310" s="261"/>
      <c r="X310" s="261"/>
    </row>
    <row r="311" spans="1:24" s="306" customFormat="1" ht="12.75">
      <c r="A311" s="388"/>
      <c r="B311" s="1102"/>
      <c r="C311" s="919"/>
      <c r="D311" s="883"/>
      <c r="E311" s="883"/>
      <c r="F311" s="883"/>
      <c r="G311" s="661"/>
      <c r="H311" s="658"/>
      <c r="I311" s="602"/>
      <c r="J311" s="406"/>
      <c r="K311" s="193"/>
      <c r="L311" s="315"/>
      <c r="M311" s="479"/>
      <c r="N311" s="406"/>
      <c r="O311" s="193"/>
      <c r="P311" s="315" t="s">
        <v>34</v>
      </c>
      <c r="Q311" s="316"/>
      <c r="R311" s="664"/>
      <c r="S311" s="310"/>
      <c r="T311" s="1226"/>
      <c r="U311" s="1226"/>
      <c r="V311" s="261"/>
      <c r="W311" s="261"/>
      <c r="X311" s="261"/>
    </row>
    <row r="312" spans="1:24" s="306" customFormat="1" ht="12.75">
      <c r="A312" s="388"/>
      <c r="B312" s="1102"/>
      <c r="C312" s="919"/>
      <c r="D312" s="883"/>
      <c r="E312" s="883"/>
      <c r="F312" s="883"/>
      <c r="G312" s="661"/>
      <c r="H312" s="658"/>
      <c r="I312" s="602"/>
      <c r="J312" s="406"/>
      <c r="K312" s="193"/>
      <c r="L312" s="315"/>
      <c r="M312" s="479"/>
      <c r="N312" s="406"/>
      <c r="O312" s="193"/>
      <c r="P312" s="315" t="s">
        <v>34</v>
      </c>
      <c r="Q312" s="316"/>
      <c r="R312" s="664"/>
      <c r="S312" s="310"/>
      <c r="T312" s="1226"/>
      <c r="U312" s="1226"/>
      <c r="V312" s="261"/>
      <c r="W312" s="261"/>
      <c r="X312" s="261"/>
    </row>
    <row r="313" spans="1:24" s="306" customFormat="1" ht="12.75">
      <c r="A313" s="388"/>
      <c r="B313" s="1102"/>
      <c r="C313" s="919"/>
      <c r="D313" s="883"/>
      <c r="E313" s="883"/>
      <c r="F313" s="883"/>
      <c r="G313" s="661"/>
      <c r="H313" s="658"/>
      <c r="I313" s="602"/>
      <c r="J313" s="406"/>
      <c r="K313" s="193"/>
      <c r="L313" s="315"/>
      <c r="M313" s="479"/>
      <c r="N313" s="406"/>
      <c r="O313" s="193"/>
      <c r="P313" s="315" t="s">
        <v>34</v>
      </c>
      <c r="Q313" s="316"/>
      <c r="R313" s="664"/>
      <c r="S313" s="310"/>
      <c r="T313" s="1226"/>
      <c r="U313" s="1226"/>
      <c r="V313" s="261"/>
      <c r="W313" s="261"/>
      <c r="X313" s="261"/>
    </row>
    <row r="314" spans="1:24" s="306" customFormat="1" ht="12.75">
      <c r="A314" s="388"/>
      <c r="B314" s="1102"/>
      <c r="C314" s="919"/>
      <c r="D314" s="883"/>
      <c r="E314" s="883"/>
      <c r="F314" s="883"/>
      <c r="G314" s="661"/>
      <c r="H314" s="658"/>
      <c r="I314" s="602"/>
      <c r="J314" s="406"/>
      <c r="K314" s="193"/>
      <c r="L314" s="315"/>
      <c r="M314" s="479"/>
      <c r="N314" s="406"/>
      <c r="O314" s="193"/>
      <c r="P314" s="315" t="s">
        <v>34</v>
      </c>
      <c r="Q314" s="316"/>
      <c r="R314" s="664"/>
      <c r="S314" s="310"/>
      <c r="T314" s="1226"/>
      <c r="U314" s="1226"/>
      <c r="V314" s="261"/>
      <c r="W314" s="261"/>
      <c r="X314" s="261"/>
    </row>
    <row r="315" spans="1:24" s="306" customFormat="1" ht="12.75">
      <c r="A315" s="388"/>
      <c r="B315" s="1102"/>
      <c r="C315" s="919"/>
      <c r="D315" s="883"/>
      <c r="E315" s="883"/>
      <c r="F315" s="883"/>
      <c r="G315" s="661"/>
      <c r="H315" s="658"/>
      <c r="I315" s="602"/>
      <c r="J315" s="406"/>
      <c r="K315" s="193"/>
      <c r="L315" s="315"/>
      <c r="M315" s="479"/>
      <c r="N315" s="406"/>
      <c r="O315" s="193"/>
      <c r="P315" s="315" t="s">
        <v>34</v>
      </c>
      <c r="Q315" s="316"/>
      <c r="R315" s="664"/>
      <c r="S315" s="310"/>
      <c r="T315" s="1226"/>
      <c r="U315" s="1226"/>
      <c r="V315" s="261"/>
      <c r="W315" s="261"/>
      <c r="X315" s="261"/>
    </row>
    <row r="316" spans="1:24" s="306" customFormat="1" ht="12.75">
      <c r="A316" s="388"/>
      <c r="B316" s="1102"/>
      <c r="C316" s="919"/>
      <c r="D316" s="883"/>
      <c r="E316" s="883"/>
      <c r="F316" s="883"/>
      <c r="G316" s="661"/>
      <c r="H316" s="658"/>
      <c r="I316" s="602"/>
      <c r="J316" s="406"/>
      <c r="K316" s="193"/>
      <c r="L316" s="315"/>
      <c r="M316" s="479"/>
      <c r="N316" s="406"/>
      <c r="O316" s="193"/>
      <c r="P316" s="315" t="s">
        <v>34</v>
      </c>
      <c r="Q316" s="316"/>
      <c r="R316" s="664"/>
      <c r="S316" s="310"/>
      <c r="T316" s="1226"/>
      <c r="U316" s="1226"/>
      <c r="V316" s="261"/>
      <c r="W316" s="261"/>
      <c r="X316" s="261"/>
    </row>
    <row r="317" spans="1:24" s="306" customFormat="1" ht="12.75">
      <c r="A317" s="388"/>
      <c r="B317" s="1102"/>
      <c r="C317" s="919"/>
      <c r="D317" s="883"/>
      <c r="E317" s="883"/>
      <c r="F317" s="883"/>
      <c r="G317" s="661"/>
      <c r="H317" s="658"/>
      <c r="I317" s="602"/>
      <c r="J317" s="406"/>
      <c r="K317" s="193"/>
      <c r="L317" s="315"/>
      <c r="M317" s="479"/>
      <c r="N317" s="406"/>
      <c r="O317" s="193"/>
      <c r="P317" s="315" t="s">
        <v>34</v>
      </c>
      <c r="Q317" s="316"/>
      <c r="R317" s="664"/>
      <c r="S317" s="310"/>
      <c r="T317" s="1226"/>
      <c r="U317" s="1226"/>
      <c r="V317" s="261"/>
      <c r="W317" s="261"/>
      <c r="X317" s="261"/>
    </row>
    <row r="318" spans="1:24" s="306" customFormat="1" ht="12.75">
      <c r="A318" s="388"/>
      <c r="B318" s="1102"/>
      <c r="C318" s="919"/>
      <c r="D318" s="883"/>
      <c r="E318" s="883"/>
      <c r="F318" s="883"/>
      <c r="G318" s="661"/>
      <c r="H318" s="658"/>
      <c r="I318" s="602"/>
      <c r="J318" s="406"/>
      <c r="K318" s="193"/>
      <c r="L318" s="315"/>
      <c r="M318" s="479"/>
      <c r="N318" s="406"/>
      <c r="O318" s="193"/>
      <c r="P318" s="315" t="s">
        <v>34</v>
      </c>
      <c r="Q318" s="316"/>
      <c r="R318" s="664"/>
      <c r="S318" s="310"/>
      <c r="T318" s="1226"/>
      <c r="U318" s="1226"/>
      <c r="V318" s="261"/>
      <c r="W318" s="261"/>
      <c r="X318" s="261"/>
    </row>
    <row r="319" spans="1:24" s="306" customFormat="1" ht="12.75">
      <c r="A319" s="388"/>
      <c r="B319" s="1102"/>
      <c r="C319" s="919"/>
      <c r="D319" s="883"/>
      <c r="E319" s="883"/>
      <c r="F319" s="883"/>
      <c r="G319" s="661"/>
      <c r="H319" s="658"/>
      <c r="I319" s="602"/>
      <c r="J319" s="406"/>
      <c r="K319" s="193"/>
      <c r="L319" s="315"/>
      <c r="M319" s="479"/>
      <c r="N319" s="406"/>
      <c r="O319" s="193"/>
      <c r="P319" s="315" t="s">
        <v>34</v>
      </c>
      <c r="Q319" s="316"/>
      <c r="R319" s="664"/>
      <c r="S319" s="310"/>
      <c r="T319" s="1226"/>
      <c r="U319" s="1226"/>
      <c r="V319" s="261"/>
      <c r="W319" s="261"/>
      <c r="X319" s="261"/>
    </row>
    <row r="320" spans="1:24" s="306" customFormat="1" ht="12.75">
      <c r="A320" s="388"/>
      <c r="B320" s="1102"/>
      <c r="C320" s="919"/>
      <c r="D320" s="883"/>
      <c r="E320" s="883"/>
      <c r="F320" s="883"/>
      <c r="G320" s="661"/>
      <c r="H320" s="658"/>
      <c r="I320" s="602"/>
      <c r="J320" s="406"/>
      <c r="K320" s="193"/>
      <c r="L320" s="315"/>
      <c r="M320" s="479"/>
      <c r="N320" s="406"/>
      <c r="O320" s="193"/>
      <c r="P320" s="315" t="s">
        <v>34</v>
      </c>
      <c r="Q320" s="316"/>
      <c r="R320" s="664"/>
      <c r="S320" s="310"/>
      <c r="T320" s="1226"/>
      <c r="U320" s="1226"/>
      <c r="V320" s="261"/>
      <c r="W320" s="261"/>
      <c r="X320" s="261"/>
    </row>
    <row r="321" spans="1:38" s="306" customFormat="1" ht="12.75">
      <c r="A321" s="388"/>
      <c r="B321" s="1102"/>
      <c r="C321" s="919"/>
      <c r="D321" s="883"/>
      <c r="E321" s="883"/>
      <c r="F321" s="883"/>
      <c r="G321" s="661"/>
      <c r="H321" s="658"/>
      <c r="I321" s="602"/>
      <c r="J321" s="406"/>
      <c r="K321" s="193"/>
      <c r="L321" s="315"/>
      <c r="M321" s="479"/>
      <c r="N321" s="406"/>
      <c r="O321" s="193"/>
      <c r="P321" s="315" t="s">
        <v>34</v>
      </c>
      <c r="Q321" s="316"/>
      <c r="R321" s="664"/>
      <c r="S321" s="310"/>
      <c r="T321" s="1226"/>
      <c r="U321" s="1226"/>
      <c r="V321" s="261"/>
      <c r="W321" s="261"/>
      <c r="X321" s="261"/>
    </row>
    <row r="322" spans="1:38" s="306" customFormat="1" ht="13.5" thickBot="1">
      <c r="A322" s="388"/>
      <c r="B322" s="1103"/>
      <c r="C322" s="926"/>
      <c r="D322" s="887"/>
      <c r="E322" s="887"/>
      <c r="F322" s="887"/>
      <c r="G322" s="662"/>
      <c r="H322" s="659"/>
      <c r="I322" s="603"/>
      <c r="J322" s="407"/>
      <c r="K322" s="195"/>
      <c r="L322" s="311"/>
      <c r="M322" s="480"/>
      <c r="N322" s="407"/>
      <c r="O322" s="195"/>
      <c r="P322" s="311" t="s">
        <v>34</v>
      </c>
      <c r="Q322" s="312"/>
      <c r="R322" s="665"/>
      <c r="S322" s="310"/>
      <c r="T322" s="1227"/>
      <c r="U322" s="1227"/>
      <c r="V322" s="261"/>
      <c r="W322" s="261"/>
      <c r="X322" s="261"/>
    </row>
    <row r="323" spans="1:38" s="306" customFormat="1" ht="12.75">
      <c r="A323" s="388"/>
      <c r="B323" s="872"/>
      <c r="C323" s="872"/>
      <c r="D323" s="872"/>
      <c r="E323" s="872"/>
      <c r="F323" s="886"/>
      <c r="G323" s="886"/>
      <c r="H323" s="886"/>
      <c r="I323" s="886"/>
      <c r="J323" s="886"/>
      <c r="K323" s="886"/>
      <c r="L323" s="886"/>
      <c r="M323" s="403"/>
      <c r="N323" s="404"/>
      <c r="O323" s="138"/>
      <c r="P323" s="138"/>
      <c r="Q323" s="261"/>
      <c r="R323" s="261"/>
      <c r="S323" s="261"/>
      <c r="T323" s="261"/>
      <c r="U323" s="261"/>
      <c r="V323" s="261"/>
      <c r="W323" s="261"/>
      <c r="X323" s="261"/>
    </row>
    <row r="324" spans="1:38" s="208" customFormat="1" ht="12.75">
      <c r="A324" s="209"/>
      <c r="B324" s="205" t="s">
        <v>130</v>
      </c>
      <c r="C324" s="205"/>
      <c r="S324" s="365"/>
      <c r="T324" s="365"/>
      <c r="U324" s="365"/>
      <c r="V324" s="365"/>
      <c r="W324" s="365"/>
      <c r="X324" s="365"/>
      <c r="Y324" s="365"/>
      <c r="Z324" s="365"/>
      <c r="AA324" s="365"/>
      <c r="AB324" s="365"/>
      <c r="AC324" s="365"/>
      <c r="AD324" s="365"/>
      <c r="AI324" s="365"/>
    </row>
    <row r="325" spans="1:38" s="208" customFormat="1" ht="15.75" thickBot="1">
      <c r="A325" s="209"/>
      <c r="B325" s="18"/>
      <c r="C325" s="18"/>
      <c r="D325" s="18"/>
      <c r="E325" s="18"/>
      <c r="F325" s="18"/>
      <c r="G325" s="18"/>
      <c r="H325" s="18"/>
      <c r="I325" s="18"/>
      <c r="J325" s="18"/>
      <c r="K325" s="18"/>
      <c r="L325" s="18"/>
      <c r="M325" s="18"/>
      <c r="N325" s="18"/>
      <c r="O325" s="18"/>
      <c r="P325" s="18"/>
      <c r="Q325" s="18"/>
      <c r="S325" s="365"/>
      <c r="T325" s="365"/>
      <c r="U325" s="365"/>
      <c r="V325" s="365"/>
      <c r="W325" s="365"/>
      <c r="X325" s="365"/>
      <c r="Y325" s="365"/>
      <c r="Z325" s="365"/>
      <c r="AA325" s="365"/>
      <c r="AB325" s="365"/>
      <c r="AC325" s="365"/>
      <c r="AD325" s="365"/>
      <c r="AI325" s="365"/>
    </row>
    <row r="326" spans="1:38" s="208" customFormat="1" ht="200.1" customHeight="1" thickBot="1">
      <c r="A326" s="209"/>
      <c r="B326" s="1003"/>
      <c r="C326" s="1004"/>
      <c r="D326" s="1004"/>
      <c r="E326" s="1004"/>
      <c r="F326" s="1004"/>
      <c r="G326" s="1004"/>
      <c r="H326" s="1004"/>
      <c r="I326" s="1004"/>
      <c r="J326" s="1004"/>
      <c r="K326" s="1004"/>
      <c r="L326" s="1004"/>
      <c r="M326" s="1004"/>
      <c r="N326" s="1004"/>
      <c r="O326" s="1004"/>
      <c r="P326" s="1004"/>
      <c r="Q326" s="1004"/>
      <c r="R326" s="1005"/>
      <c r="S326" s="1089"/>
      <c r="T326" s="1089"/>
      <c r="U326" s="1089"/>
      <c r="V326" s="1089"/>
      <c r="W326" s="1089"/>
      <c r="X326" s="1089"/>
      <c r="Y326" s="1089"/>
      <c r="Z326" s="1089"/>
      <c r="AA326" s="1089"/>
      <c r="AB326" s="1089"/>
      <c r="AC326" s="1089"/>
      <c r="AD326" s="1089"/>
      <c r="AE326" s="1089"/>
      <c r="AF326" s="1089"/>
      <c r="AG326" s="1089"/>
      <c r="AH326" s="1089"/>
      <c r="AI326" s="1089"/>
      <c r="AJ326" s="1089"/>
      <c r="AK326" s="1089"/>
      <c r="AL326" s="1089"/>
    </row>
    <row r="327" spans="1:38" s="306" customFormat="1" ht="15" customHeight="1">
      <c r="A327" s="388"/>
      <c r="B327" s="18"/>
      <c r="C327" s="18"/>
      <c r="D327" s="18"/>
      <c r="E327" s="18"/>
      <c r="F327" s="18"/>
      <c r="G327" s="18"/>
      <c r="H327" s="18"/>
      <c r="I327" s="18"/>
      <c r="J327" s="18"/>
      <c r="K327" s="18"/>
      <c r="L327" s="18"/>
      <c r="M327" s="18"/>
      <c r="N327" s="18"/>
      <c r="O327" s="18"/>
      <c r="P327" s="18"/>
      <c r="Q327" s="18"/>
      <c r="S327" s="371"/>
      <c r="T327" s="371"/>
      <c r="U327" s="371"/>
      <c r="V327" s="371"/>
      <c r="W327" s="371"/>
      <c r="X327" s="371"/>
      <c r="Y327" s="371"/>
      <c r="Z327" s="371"/>
      <c r="AA327" s="371"/>
      <c r="AB327" s="371"/>
      <c r="AC327" s="371"/>
      <c r="AD327" s="371"/>
      <c r="AI327" s="371"/>
    </row>
    <row r="328" spans="1:38" s="208" customFormat="1">
      <c r="A328" s="210"/>
      <c r="B328" s="211" t="s">
        <v>890</v>
      </c>
      <c r="C328" s="209"/>
      <c r="S328" s="365"/>
      <c r="T328" s="365"/>
      <c r="U328" s="365"/>
      <c r="V328" s="365"/>
      <c r="W328" s="365"/>
      <c r="X328" s="365"/>
      <c r="Y328" s="365"/>
      <c r="Z328" s="365"/>
      <c r="AA328" s="365"/>
      <c r="AB328" s="365"/>
      <c r="AC328" s="365"/>
      <c r="AD328" s="365"/>
      <c r="AI328" s="365"/>
    </row>
    <row r="329" spans="1:38" s="208" customFormat="1">
      <c r="A329" s="210"/>
      <c r="B329" s="211"/>
      <c r="C329" s="209"/>
      <c r="S329" s="365"/>
      <c r="T329" s="365"/>
      <c r="U329" s="365"/>
      <c r="V329" s="365"/>
      <c r="W329" s="365"/>
      <c r="X329" s="365"/>
      <c r="Y329" s="365"/>
      <c r="Z329" s="365"/>
      <c r="AA329" s="365"/>
      <c r="AB329" s="365"/>
      <c r="AC329" s="365"/>
      <c r="AD329" s="365"/>
      <c r="AI329" s="365"/>
    </row>
    <row r="330" spans="1:38" s="221" customFormat="1" ht="19.5" customHeight="1">
      <c r="A330" s="254"/>
      <c r="B330" s="982" t="s">
        <v>136</v>
      </c>
      <c r="C330" s="982"/>
      <c r="D330" s="982"/>
      <c r="E330" s="982"/>
      <c r="F330" s="982"/>
      <c r="G330" s="982"/>
      <c r="H330" s="982"/>
      <c r="I330" s="982"/>
      <c r="J330" s="982"/>
      <c r="K330" s="982"/>
      <c r="L330" s="982"/>
      <c r="M330" s="982"/>
      <c r="N330" s="982"/>
      <c r="O330" s="982"/>
      <c r="P330" s="982"/>
      <c r="Q330" s="982"/>
      <c r="S330" s="369"/>
      <c r="T330" s="369"/>
      <c r="U330" s="369"/>
      <c r="V330" s="369"/>
      <c r="W330" s="369"/>
      <c r="X330" s="369"/>
      <c r="Y330" s="369"/>
      <c r="Z330" s="369"/>
      <c r="AA330" s="369"/>
      <c r="AB330" s="369"/>
      <c r="AC330" s="369"/>
      <c r="AD330" s="369"/>
      <c r="AI330" s="369"/>
    </row>
    <row r="331" spans="1:38" s="221" customFormat="1" ht="13.5" thickBot="1">
      <c r="B331" s="208"/>
      <c r="C331" s="209"/>
      <c r="D331" s="208"/>
      <c r="E331" s="208"/>
      <c r="F331" s="208"/>
      <c r="G331" s="208"/>
      <c r="H331" s="208"/>
      <c r="I331" s="208"/>
      <c r="J331" s="208"/>
      <c r="K331" s="208"/>
      <c r="L331" s="208"/>
      <c r="M331" s="208"/>
      <c r="S331" s="369"/>
      <c r="T331" s="369"/>
      <c r="U331" s="369"/>
      <c r="V331" s="369"/>
      <c r="W331" s="369"/>
      <c r="X331" s="369"/>
      <c r="Y331" s="369"/>
      <c r="Z331" s="369"/>
      <c r="AA331" s="369"/>
      <c r="AB331" s="369"/>
      <c r="AC331" s="369"/>
      <c r="AD331" s="369"/>
      <c r="AI331" s="369"/>
    </row>
    <row r="332" spans="1:38" s="221" customFormat="1" ht="15" customHeight="1" thickBot="1">
      <c r="B332" s="1218" t="s">
        <v>889</v>
      </c>
      <c r="C332" s="1060"/>
      <c r="D332" s="1075" t="s">
        <v>41</v>
      </c>
      <c r="E332" s="1076"/>
      <c r="F332" s="1076"/>
      <c r="G332" s="1060"/>
      <c r="H332" s="1075" t="s">
        <v>159</v>
      </c>
      <c r="I332" s="1076"/>
      <c r="J332" s="1076"/>
      <c r="K332" s="1076"/>
      <c r="L332" s="1076"/>
      <c r="M332" s="1076"/>
      <c r="N332" s="1076"/>
      <c r="O332" s="1076"/>
      <c r="P332" s="1076"/>
      <c r="Q332" s="1219"/>
      <c r="S332" s="369"/>
      <c r="T332" s="369"/>
      <c r="U332" s="369"/>
      <c r="V332" s="369"/>
      <c r="W332" s="369"/>
      <c r="X332" s="369"/>
      <c r="Y332" s="369"/>
      <c r="Z332" s="369"/>
      <c r="AA332" s="369"/>
      <c r="AB332" s="369"/>
      <c r="AC332" s="369"/>
      <c r="AD332" s="369"/>
      <c r="AI332" s="369"/>
    </row>
    <row r="333" spans="1:38" s="221" customFormat="1" ht="12.75">
      <c r="A333" s="228"/>
      <c r="B333" s="1220"/>
      <c r="C333" s="1070"/>
      <c r="D333" s="1279"/>
      <c r="E333" s="1280"/>
      <c r="F333" s="1280"/>
      <c r="G333" s="1282"/>
      <c r="H333" s="1279"/>
      <c r="I333" s="1280"/>
      <c r="J333" s="1280"/>
      <c r="K333" s="1280"/>
      <c r="L333" s="1280"/>
      <c r="M333" s="1280"/>
      <c r="N333" s="1280"/>
      <c r="O333" s="1280"/>
      <c r="P333" s="1280"/>
      <c r="Q333" s="1281"/>
      <c r="S333" s="369"/>
      <c r="T333" s="369"/>
      <c r="U333" s="369"/>
      <c r="V333" s="369"/>
      <c r="W333" s="369"/>
      <c r="X333" s="369"/>
      <c r="Y333" s="369"/>
      <c r="Z333" s="369"/>
      <c r="AA333" s="369"/>
      <c r="AB333" s="369"/>
      <c r="AC333" s="369"/>
      <c r="AD333" s="369"/>
      <c r="AI333" s="369"/>
    </row>
    <row r="334" spans="1:38" s="221" customFormat="1" ht="12.75">
      <c r="A334" s="228"/>
      <c r="B334" s="1111"/>
      <c r="C334" s="1112"/>
      <c r="D334" s="1109"/>
      <c r="E334" s="1109"/>
      <c r="F334" s="1109"/>
      <c r="G334" s="1109"/>
      <c r="H334" s="1109"/>
      <c r="I334" s="1109"/>
      <c r="J334" s="1109"/>
      <c r="K334" s="1109"/>
      <c r="L334" s="1109"/>
      <c r="M334" s="1109"/>
      <c r="N334" s="1109"/>
      <c r="O334" s="1109"/>
      <c r="P334" s="1246"/>
      <c r="Q334" s="1110"/>
      <c r="S334" s="369"/>
      <c r="T334" s="369"/>
      <c r="U334" s="369"/>
      <c r="V334" s="369"/>
      <c r="W334" s="369"/>
      <c r="X334" s="369"/>
      <c r="Y334" s="369"/>
      <c r="Z334" s="369"/>
      <c r="AA334" s="369"/>
      <c r="AB334" s="369"/>
      <c r="AC334" s="369"/>
      <c r="AD334" s="369"/>
      <c r="AI334" s="369"/>
    </row>
    <row r="335" spans="1:38" s="221" customFormat="1" ht="12.75">
      <c r="A335" s="228"/>
      <c r="B335" s="1111"/>
      <c r="C335" s="1112"/>
      <c r="D335" s="1109"/>
      <c r="E335" s="1109"/>
      <c r="F335" s="1109"/>
      <c r="G335" s="1109"/>
      <c r="H335" s="1109"/>
      <c r="I335" s="1109"/>
      <c r="J335" s="1109"/>
      <c r="K335" s="1109"/>
      <c r="L335" s="1109"/>
      <c r="M335" s="1109"/>
      <c r="N335" s="1109"/>
      <c r="O335" s="1109"/>
      <c r="P335" s="1246"/>
      <c r="Q335" s="1110"/>
      <c r="S335" s="369"/>
      <c r="T335" s="369"/>
      <c r="U335" s="369"/>
      <c r="V335" s="369"/>
      <c r="W335" s="369"/>
      <c r="X335" s="369"/>
      <c r="Y335" s="369"/>
      <c r="Z335" s="369"/>
      <c r="AA335" s="369"/>
      <c r="AB335" s="369"/>
      <c r="AC335" s="369"/>
      <c r="AD335" s="369"/>
      <c r="AI335" s="369"/>
    </row>
    <row r="336" spans="1:38" s="221" customFormat="1" ht="12.75">
      <c r="A336" s="228"/>
      <c r="B336" s="1111"/>
      <c r="C336" s="1112"/>
      <c r="D336" s="1109"/>
      <c r="E336" s="1109"/>
      <c r="F336" s="1109"/>
      <c r="G336" s="1109"/>
      <c r="H336" s="1109"/>
      <c r="I336" s="1109"/>
      <c r="J336" s="1109"/>
      <c r="K336" s="1109"/>
      <c r="L336" s="1109"/>
      <c r="M336" s="1109"/>
      <c r="N336" s="1109"/>
      <c r="O336" s="1109"/>
      <c r="P336" s="1246"/>
      <c r="Q336" s="1110"/>
      <c r="S336" s="369"/>
      <c r="T336" s="369"/>
      <c r="U336" s="369"/>
      <c r="V336" s="369"/>
      <c r="W336" s="369"/>
      <c r="X336" s="369"/>
      <c r="Y336" s="369"/>
      <c r="Z336" s="369"/>
      <c r="AA336" s="369"/>
      <c r="AB336" s="369"/>
      <c r="AC336" s="369"/>
      <c r="AD336" s="369"/>
      <c r="AI336" s="369"/>
    </row>
    <row r="337" spans="1:35" s="221" customFormat="1" ht="12.75">
      <c r="A337" s="228"/>
      <c r="B337" s="1111"/>
      <c r="C337" s="1112"/>
      <c r="D337" s="1109"/>
      <c r="E337" s="1109"/>
      <c r="F337" s="1109"/>
      <c r="G337" s="1109"/>
      <c r="H337" s="1109"/>
      <c r="I337" s="1109"/>
      <c r="J337" s="1109"/>
      <c r="K337" s="1109"/>
      <c r="L337" s="1109"/>
      <c r="M337" s="1109"/>
      <c r="N337" s="1109"/>
      <c r="O337" s="1109"/>
      <c r="P337" s="1246"/>
      <c r="Q337" s="1110"/>
      <c r="S337" s="369"/>
      <c r="T337" s="369"/>
      <c r="U337" s="369"/>
      <c r="V337" s="369"/>
      <c r="W337" s="369"/>
      <c r="X337" s="369"/>
      <c r="Y337" s="369"/>
      <c r="Z337" s="369"/>
      <c r="AA337" s="369"/>
      <c r="AB337" s="369"/>
      <c r="AC337" s="369"/>
      <c r="AD337" s="369"/>
      <c r="AI337" s="369"/>
    </row>
    <row r="338" spans="1:35" s="221" customFormat="1" ht="12.75">
      <c r="A338" s="228"/>
      <c r="B338" s="1111"/>
      <c r="C338" s="1112"/>
      <c r="D338" s="1109"/>
      <c r="E338" s="1109"/>
      <c r="F338" s="1109"/>
      <c r="G338" s="1109"/>
      <c r="H338" s="1109"/>
      <c r="I338" s="1109"/>
      <c r="J338" s="1109"/>
      <c r="K338" s="1109"/>
      <c r="L338" s="1109"/>
      <c r="M338" s="1109"/>
      <c r="N338" s="1109"/>
      <c r="O338" s="1109"/>
      <c r="P338" s="1246"/>
      <c r="Q338" s="1110"/>
      <c r="S338" s="369"/>
      <c r="T338" s="369"/>
      <c r="U338" s="369"/>
      <c r="V338" s="369"/>
      <c r="W338" s="369"/>
      <c r="X338" s="369"/>
      <c r="Y338" s="369"/>
      <c r="Z338" s="369"/>
      <c r="AA338" s="369"/>
      <c r="AB338" s="369"/>
      <c r="AC338" s="369"/>
      <c r="AD338" s="369"/>
      <c r="AI338" s="369"/>
    </row>
    <row r="339" spans="1:35" s="221" customFormat="1" ht="12.75">
      <c r="A339" s="228"/>
      <c r="B339" s="1111"/>
      <c r="C339" s="1112"/>
      <c r="D339" s="1109"/>
      <c r="E339" s="1109"/>
      <c r="F339" s="1109"/>
      <c r="G339" s="1109"/>
      <c r="H339" s="1109"/>
      <c r="I339" s="1109"/>
      <c r="J339" s="1109"/>
      <c r="K339" s="1109"/>
      <c r="L339" s="1109"/>
      <c r="M339" s="1109"/>
      <c r="N339" s="1109"/>
      <c r="O339" s="1109"/>
      <c r="P339" s="1246"/>
      <c r="Q339" s="1110"/>
      <c r="S339" s="369"/>
      <c r="T339" s="369"/>
      <c r="U339" s="369"/>
      <c r="V339" s="369"/>
      <c r="W339" s="369"/>
      <c r="X339" s="369"/>
      <c r="Y339" s="369"/>
      <c r="Z339" s="369"/>
      <c r="AA339" s="369"/>
      <c r="AB339" s="369"/>
      <c r="AC339" s="369"/>
      <c r="AD339" s="369"/>
      <c r="AI339" s="369"/>
    </row>
    <row r="340" spans="1:35" s="221" customFormat="1" ht="12.75">
      <c r="A340" s="228"/>
      <c r="B340" s="1111"/>
      <c r="C340" s="1112"/>
      <c r="D340" s="1109"/>
      <c r="E340" s="1109"/>
      <c r="F340" s="1109"/>
      <c r="G340" s="1109"/>
      <c r="H340" s="1109"/>
      <c r="I340" s="1109"/>
      <c r="J340" s="1109"/>
      <c r="K340" s="1109"/>
      <c r="L340" s="1109"/>
      <c r="M340" s="1109"/>
      <c r="N340" s="1109"/>
      <c r="O340" s="1109"/>
      <c r="P340" s="1246"/>
      <c r="Q340" s="1110"/>
      <c r="S340" s="369"/>
      <c r="T340" s="369"/>
      <c r="U340" s="369"/>
      <c r="V340" s="369"/>
      <c r="W340" s="369"/>
      <c r="X340" s="369"/>
      <c r="Y340" s="369"/>
      <c r="Z340" s="369"/>
      <c r="AA340" s="369"/>
      <c r="AB340" s="369"/>
      <c r="AC340" s="369"/>
      <c r="AD340" s="369"/>
      <c r="AI340" s="369"/>
    </row>
    <row r="341" spans="1:35" s="221" customFormat="1" ht="12.75">
      <c r="A341" s="228"/>
      <c r="B341" s="1111"/>
      <c r="C341" s="1112"/>
      <c r="D341" s="1109"/>
      <c r="E341" s="1109"/>
      <c r="F341" s="1109"/>
      <c r="G341" s="1109"/>
      <c r="H341" s="1109"/>
      <c r="I341" s="1109"/>
      <c r="J341" s="1109"/>
      <c r="K341" s="1109"/>
      <c r="L341" s="1109"/>
      <c r="M341" s="1109"/>
      <c r="N341" s="1109"/>
      <c r="O341" s="1109"/>
      <c r="P341" s="1246"/>
      <c r="Q341" s="1110"/>
      <c r="S341" s="369"/>
      <c r="T341" s="369"/>
      <c r="U341" s="369"/>
      <c r="V341" s="369"/>
      <c r="W341" s="369"/>
      <c r="X341" s="369"/>
      <c r="Y341" s="369"/>
      <c r="Z341" s="369"/>
      <c r="AA341" s="369"/>
      <c r="AB341" s="369"/>
      <c r="AC341" s="369"/>
      <c r="AD341" s="369"/>
      <c r="AI341" s="369"/>
    </row>
    <row r="342" spans="1:35" s="221" customFormat="1" ht="12.75">
      <c r="A342" s="228"/>
      <c r="B342" s="1111"/>
      <c r="C342" s="1112"/>
      <c r="D342" s="1109"/>
      <c r="E342" s="1109"/>
      <c r="F342" s="1109"/>
      <c r="G342" s="1109"/>
      <c r="H342" s="1109"/>
      <c r="I342" s="1109"/>
      <c r="J342" s="1109"/>
      <c r="K342" s="1109"/>
      <c r="L342" s="1109"/>
      <c r="M342" s="1109"/>
      <c r="N342" s="1109"/>
      <c r="O342" s="1109"/>
      <c r="P342" s="1246"/>
      <c r="Q342" s="1110"/>
      <c r="S342" s="369"/>
      <c r="T342" s="369"/>
      <c r="U342" s="369"/>
      <c r="V342" s="369"/>
      <c r="W342" s="369"/>
      <c r="X342" s="369"/>
      <c r="Y342" s="369"/>
      <c r="Z342" s="369"/>
      <c r="AA342" s="369"/>
      <c r="AB342" s="369"/>
      <c r="AC342" s="369"/>
      <c r="AD342" s="369"/>
      <c r="AI342" s="369"/>
    </row>
    <row r="343" spans="1:35" s="221" customFormat="1" ht="12.75">
      <c r="A343" s="228"/>
      <c r="B343" s="1111"/>
      <c r="C343" s="1112"/>
      <c r="D343" s="1109"/>
      <c r="E343" s="1109"/>
      <c r="F343" s="1109"/>
      <c r="G343" s="1109"/>
      <c r="H343" s="1109"/>
      <c r="I343" s="1109"/>
      <c r="J343" s="1109"/>
      <c r="K343" s="1109"/>
      <c r="L343" s="1109"/>
      <c r="M343" s="1109"/>
      <c r="N343" s="1109"/>
      <c r="O343" s="1109"/>
      <c r="P343" s="1246"/>
      <c r="Q343" s="1110"/>
      <c r="S343" s="369"/>
      <c r="T343" s="369"/>
      <c r="U343" s="369"/>
      <c r="V343" s="369"/>
      <c r="W343" s="369"/>
      <c r="X343" s="369"/>
      <c r="Y343" s="369"/>
      <c r="Z343" s="369"/>
      <c r="AA343" s="369"/>
      <c r="AB343" s="369"/>
      <c r="AC343" s="369"/>
      <c r="AD343" s="369"/>
      <c r="AI343" s="369"/>
    </row>
    <row r="344" spans="1:35" s="221" customFormat="1" ht="12.75">
      <c r="A344" s="228"/>
      <c r="B344" s="1111"/>
      <c r="C344" s="1112"/>
      <c r="D344" s="1109"/>
      <c r="E344" s="1109"/>
      <c r="F344" s="1109"/>
      <c r="G344" s="1109"/>
      <c r="H344" s="1109"/>
      <c r="I344" s="1109"/>
      <c r="J344" s="1109"/>
      <c r="K344" s="1109"/>
      <c r="L344" s="1109"/>
      <c r="M344" s="1109"/>
      <c r="N344" s="1109"/>
      <c r="O344" s="1109"/>
      <c r="P344" s="1246"/>
      <c r="Q344" s="1110"/>
      <c r="S344" s="369"/>
      <c r="T344" s="369"/>
      <c r="U344" s="369"/>
      <c r="V344" s="369"/>
      <c r="W344" s="369"/>
      <c r="X344" s="369"/>
      <c r="Y344" s="369"/>
      <c r="Z344" s="369"/>
      <c r="AA344" s="369"/>
      <c r="AB344" s="369"/>
      <c r="AC344" s="369"/>
      <c r="AD344" s="369"/>
      <c r="AI344" s="369"/>
    </row>
    <row r="345" spans="1:35" s="221" customFormat="1" ht="12.75">
      <c r="A345" s="228"/>
      <c r="B345" s="1111"/>
      <c r="C345" s="1112"/>
      <c r="D345" s="1109"/>
      <c r="E345" s="1109"/>
      <c r="F345" s="1109"/>
      <c r="G345" s="1109"/>
      <c r="H345" s="1109"/>
      <c r="I345" s="1109"/>
      <c r="J345" s="1109"/>
      <c r="K345" s="1109"/>
      <c r="L345" s="1109"/>
      <c r="M345" s="1109"/>
      <c r="N345" s="1109"/>
      <c r="O345" s="1109"/>
      <c r="P345" s="1246"/>
      <c r="Q345" s="1110"/>
      <c r="S345" s="369"/>
      <c r="T345" s="369"/>
      <c r="U345" s="369"/>
      <c r="V345" s="369"/>
      <c r="W345" s="369"/>
      <c r="X345" s="369"/>
      <c r="Y345" s="369"/>
      <c r="Z345" s="369"/>
      <c r="AA345" s="369"/>
      <c r="AB345" s="369"/>
      <c r="AC345" s="369"/>
      <c r="AD345" s="369"/>
      <c r="AI345" s="369"/>
    </row>
    <row r="346" spans="1:35" s="221" customFormat="1" ht="12.75">
      <c r="A346" s="228"/>
      <c r="B346" s="1111"/>
      <c r="C346" s="1112"/>
      <c r="D346" s="1109"/>
      <c r="E346" s="1109"/>
      <c r="F346" s="1109"/>
      <c r="G346" s="1109"/>
      <c r="H346" s="1109"/>
      <c r="I346" s="1109"/>
      <c r="J346" s="1109"/>
      <c r="K346" s="1109"/>
      <c r="L346" s="1109"/>
      <c r="M346" s="1109"/>
      <c r="N346" s="1109"/>
      <c r="O346" s="1109"/>
      <c r="P346" s="1246"/>
      <c r="Q346" s="1110"/>
      <c r="S346" s="369"/>
      <c r="T346" s="369"/>
      <c r="U346" s="369"/>
      <c r="V346" s="369"/>
      <c r="W346" s="369"/>
      <c r="X346" s="369"/>
      <c r="Y346" s="369"/>
      <c r="Z346" s="369"/>
      <c r="AA346" s="369"/>
      <c r="AB346" s="369"/>
      <c r="AC346" s="369"/>
      <c r="AD346" s="369"/>
      <c r="AI346" s="369"/>
    </row>
    <row r="347" spans="1:35" s="221" customFormat="1" ht="12.75">
      <c r="A347" s="228"/>
      <c r="B347" s="1111"/>
      <c r="C347" s="1112"/>
      <c r="D347" s="1109"/>
      <c r="E347" s="1109"/>
      <c r="F347" s="1109"/>
      <c r="G347" s="1109"/>
      <c r="H347" s="1109"/>
      <c r="I347" s="1109"/>
      <c r="J347" s="1109"/>
      <c r="K347" s="1109"/>
      <c r="L347" s="1109"/>
      <c r="M347" s="1109"/>
      <c r="N347" s="1109"/>
      <c r="O347" s="1109"/>
      <c r="P347" s="1246"/>
      <c r="Q347" s="1110"/>
      <c r="S347" s="369"/>
      <c r="T347" s="369"/>
      <c r="U347" s="369"/>
      <c r="V347" s="369"/>
      <c r="W347" s="369"/>
      <c r="X347" s="369"/>
      <c r="Y347" s="369"/>
      <c r="Z347" s="369"/>
      <c r="AA347" s="369"/>
      <c r="AB347" s="369"/>
      <c r="AC347" s="369"/>
      <c r="AD347" s="369"/>
      <c r="AI347" s="369"/>
    </row>
    <row r="348" spans="1:35" s="221" customFormat="1" ht="12.75">
      <c r="A348" s="228"/>
      <c r="B348" s="1111"/>
      <c r="C348" s="1112"/>
      <c r="D348" s="1109"/>
      <c r="E348" s="1109"/>
      <c r="F348" s="1109"/>
      <c r="G348" s="1109"/>
      <c r="H348" s="1109"/>
      <c r="I348" s="1109"/>
      <c r="J348" s="1109"/>
      <c r="K348" s="1109"/>
      <c r="L348" s="1109"/>
      <c r="M348" s="1109"/>
      <c r="N348" s="1109"/>
      <c r="O348" s="1109"/>
      <c r="P348" s="1246"/>
      <c r="Q348" s="1110"/>
      <c r="S348" s="369"/>
      <c r="T348" s="369"/>
      <c r="U348" s="369"/>
      <c r="V348" s="369"/>
      <c r="W348" s="369"/>
      <c r="X348" s="369"/>
      <c r="Y348" s="369"/>
      <c r="Z348" s="369"/>
      <c r="AA348" s="369"/>
      <c r="AB348" s="369"/>
      <c r="AC348" s="369"/>
      <c r="AD348" s="369"/>
      <c r="AI348" s="369"/>
    </row>
    <row r="349" spans="1:35" s="221" customFormat="1" ht="12.75">
      <c r="A349" s="228"/>
      <c r="B349" s="1111"/>
      <c r="C349" s="1112"/>
      <c r="D349" s="1109"/>
      <c r="E349" s="1109"/>
      <c r="F349" s="1109"/>
      <c r="G349" s="1109"/>
      <c r="H349" s="1109"/>
      <c r="I349" s="1109"/>
      <c r="J349" s="1109"/>
      <c r="K349" s="1109"/>
      <c r="L349" s="1109"/>
      <c r="M349" s="1109"/>
      <c r="N349" s="1109"/>
      <c r="O349" s="1109"/>
      <c r="P349" s="1246"/>
      <c r="Q349" s="1110"/>
      <c r="S349" s="369"/>
      <c r="T349" s="369"/>
      <c r="U349" s="369"/>
      <c r="V349" s="369"/>
      <c r="W349" s="369"/>
      <c r="X349" s="369"/>
      <c r="Y349" s="369"/>
      <c r="Z349" s="369"/>
      <c r="AA349" s="369"/>
      <c r="AB349" s="369"/>
      <c r="AC349" s="369"/>
      <c r="AD349" s="369"/>
      <c r="AI349" s="369"/>
    </row>
    <row r="350" spans="1:35" s="221" customFormat="1" ht="12.75">
      <c r="A350" s="228"/>
      <c r="B350" s="1111"/>
      <c r="C350" s="1112"/>
      <c r="D350" s="1109"/>
      <c r="E350" s="1109"/>
      <c r="F350" s="1109"/>
      <c r="G350" s="1109"/>
      <c r="H350" s="1109"/>
      <c r="I350" s="1109"/>
      <c r="J350" s="1109"/>
      <c r="K350" s="1109"/>
      <c r="L350" s="1109"/>
      <c r="M350" s="1109"/>
      <c r="N350" s="1109"/>
      <c r="O350" s="1109"/>
      <c r="P350" s="1246"/>
      <c r="Q350" s="1110"/>
      <c r="S350" s="369"/>
      <c r="T350" s="369"/>
      <c r="U350" s="369"/>
      <c r="V350" s="369"/>
      <c r="W350" s="369"/>
      <c r="X350" s="369"/>
      <c r="Y350" s="369"/>
      <c r="Z350" s="369"/>
      <c r="AA350" s="369"/>
      <c r="AB350" s="369"/>
      <c r="AC350" s="369"/>
      <c r="AD350" s="369"/>
      <c r="AI350" s="369"/>
    </row>
    <row r="351" spans="1:35" s="221" customFormat="1" ht="12.75">
      <c r="A351" s="228"/>
      <c r="B351" s="1111"/>
      <c r="C351" s="1112"/>
      <c r="D351" s="1109"/>
      <c r="E351" s="1109"/>
      <c r="F351" s="1109"/>
      <c r="G351" s="1109"/>
      <c r="H351" s="1109"/>
      <c r="I351" s="1109"/>
      <c r="J351" s="1109"/>
      <c r="K351" s="1109"/>
      <c r="L351" s="1109"/>
      <c r="M351" s="1109"/>
      <c r="N351" s="1109"/>
      <c r="O351" s="1109"/>
      <c r="P351" s="1246"/>
      <c r="Q351" s="1110"/>
      <c r="S351" s="369"/>
      <c r="T351" s="369"/>
      <c r="U351" s="369"/>
      <c r="V351" s="369"/>
      <c r="W351" s="369"/>
      <c r="X351" s="369"/>
      <c r="Y351" s="369"/>
      <c r="Z351" s="369"/>
      <c r="AA351" s="369"/>
      <c r="AB351" s="369"/>
      <c r="AC351" s="369"/>
      <c r="AD351" s="369"/>
      <c r="AI351" s="369"/>
    </row>
    <row r="352" spans="1:35" s="221" customFormat="1" ht="12.75">
      <c r="A352" s="228"/>
      <c r="B352" s="1111"/>
      <c r="C352" s="1112"/>
      <c r="D352" s="1109"/>
      <c r="E352" s="1109"/>
      <c r="F352" s="1109"/>
      <c r="G352" s="1109"/>
      <c r="H352" s="1109"/>
      <c r="I352" s="1109"/>
      <c r="J352" s="1109"/>
      <c r="K352" s="1109"/>
      <c r="L352" s="1109"/>
      <c r="M352" s="1109"/>
      <c r="N352" s="1109"/>
      <c r="O352" s="1109"/>
      <c r="P352" s="1246"/>
      <c r="Q352" s="1110"/>
      <c r="S352" s="369"/>
      <c r="T352" s="369"/>
      <c r="U352" s="369"/>
      <c r="V352" s="369"/>
      <c r="W352" s="369"/>
      <c r="X352" s="369"/>
      <c r="Y352" s="369"/>
      <c r="Z352" s="369"/>
      <c r="AA352" s="369"/>
      <c r="AB352" s="369"/>
      <c r="AC352" s="369"/>
      <c r="AD352" s="369"/>
      <c r="AI352" s="369"/>
    </row>
    <row r="353" spans="1:35" s="221" customFormat="1" ht="12.75">
      <c r="A353" s="228"/>
      <c r="B353" s="1111"/>
      <c r="C353" s="1112"/>
      <c r="D353" s="1109"/>
      <c r="E353" s="1109"/>
      <c r="F353" s="1109"/>
      <c r="G353" s="1109"/>
      <c r="H353" s="1109"/>
      <c r="I353" s="1109"/>
      <c r="J353" s="1109"/>
      <c r="K353" s="1109"/>
      <c r="L353" s="1109"/>
      <c r="M353" s="1109"/>
      <c r="N353" s="1109"/>
      <c r="O353" s="1109"/>
      <c r="P353" s="1246"/>
      <c r="Q353" s="1110"/>
      <c r="S353" s="369"/>
      <c r="T353" s="369"/>
      <c r="U353" s="369"/>
      <c r="V353" s="369"/>
      <c r="W353" s="369"/>
      <c r="X353" s="369"/>
      <c r="Y353" s="369"/>
      <c r="Z353" s="369"/>
      <c r="AA353" s="369"/>
      <c r="AB353" s="369"/>
      <c r="AC353" s="369"/>
      <c r="AD353" s="369"/>
      <c r="AI353" s="369"/>
    </row>
    <row r="354" spans="1:35" s="221" customFormat="1" ht="12.75">
      <c r="A354" s="228"/>
      <c r="B354" s="1111"/>
      <c r="C354" s="1112"/>
      <c r="D354" s="1109"/>
      <c r="E354" s="1109"/>
      <c r="F354" s="1109"/>
      <c r="G354" s="1109"/>
      <c r="H354" s="1109"/>
      <c r="I354" s="1109"/>
      <c r="J354" s="1109"/>
      <c r="K354" s="1109"/>
      <c r="L354" s="1109"/>
      <c r="M354" s="1109"/>
      <c r="N354" s="1109"/>
      <c r="O354" s="1109"/>
      <c r="P354" s="1246"/>
      <c r="Q354" s="1110"/>
      <c r="S354" s="369"/>
      <c r="T354" s="369"/>
      <c r="U354" s="369"/>
      <c r="V354" s="369"/>
      <c r="W354" s="369"/>
      <c r="X354" s="369"/>
      <c r="Y354" s="369"/>
      <c r="Z354" s="369"/>
      <c r="AA354" s="369"/>
      <c r="AB354" s="369"/>
      <c r="AC354" s="369"/>
      <c r="AD354" s="369"/>
      <c r="AI354" s="369"/>
    </row>
    <row r="355" spans="1:35" s="221" customFormat="1" ht="12.75">
      <c r="A355" s="228"/>
      <c r="B355" s="1111"/>
      <c r="C355" s="1112"/>
      <c r="D355" s="1109"/>
      <c r="E355" s="1109"/>
      <c r="F355" s="1109"/>
      <c r="G355" s="1109"/>
      <c r="H355" s="1109"/>
      <c r="I355" s="1109"/>
      <c r="J355" s="1109"/>
      <c r="K355" s="1109"/>
      <c r="L355" s="1109"/>
      <c r="M355" s="1109"/>
      <c r="N355" s="1109"/>
      <c r="O355" s="1109"/>
      <c r="P355" s="1246"/>
      <c r="Q355" s="1110"/>
      <c r="S355" s="369"/>
      <c r="T355" s="369"/>
      <c r="U355" s="369"/>
      <c r="V355" s="369"/>
      <c r="W355" s="369"/>
      <c r="X355" s="369"/>
      <c r="Y355" s="369"/>
      <c r="Z355" s="369"/>
      <c r="AA355" s="369"/>
      <c r="AB355" s="369"/>
      <c r="AC355" s="369"/>
      <c r="AD355" s="369"/>
      <c r="AI355" s="369"/>
    </row>
    <row r="356" spans="1:35" s="221" customFormat="1" ht="12.75">
      <c r="A356" s="228"/>
      <c r="B356" s="1111"/>
      <c r="C356" s="1112"/>
      <c r="D356" s="1109"/>
      <c r="E356" s="1109"/>
      <c r="F356" s="1109"/>
      <c r="G356" s="1109"/>
      <c r="H356" s="1109"/>
      <c r="I356" s="1109"/>
      <c r="J356" s="1109"/>
      <c r="K356" s="1109"/>
      <c r="L356" s="1109"/>
      <c r="M356" s="1109"/>
      <c r="N356" s="1109"/>
      <c r="O356" s="1109"/>
      <c r="P356" s="1246"/>
      <c r="Q356" s="1110"/>
      <c r="S356" s="369"/>
      <c r="T356" s="369"/>
      <c r="U356" s="369"/>
      <c r="V356" s="369"/>
      <c r="W356" s="369"/>
      <c r="X356" s="369"/>
      <c r="Y356" s="369"/>
      <c r="Z356" s="369"/>
      <c r="AA356" s="369"/>
      <c r="AB356" s="369"/>
      <c r="AC356" s="369"/>
      <c r="AD356" s="369"/>
      <c r="AI356" s="369"/>
    </row>
    <row r="357" spans="1:35" s="221" customFormat="1" ht="12.75">
      <c r="A357" s="228"/>
      <c r="B357" s="1111"/>
      <c r="C357" s="1112"/>
      <c r="D357" s="1109"/>
      <c r="E357" s="1109"/>
      <c r="F357" s="1109"/>
      <c r="G357" s="1109"/>
      <c r="H357" s="1109"/>
      <c r="I357" s="1109"/>
      <c r="J357" s="1109"/>
      <c r="K357" s="1109"/>
      <c r="L357" s="1109"/>
      <c r="M357" s="1109"/>
      <c r="N357" s="1109"/>
      <c r="O357" s="1109"/>
      <c r="P357" s="1246"/>
      <c r="Q357" s="1110"/>
      <c r="S357" s="369"/>
      <c r="T357" s="369"/>
      <c r="U357" s="369"/>
      <c r="V357" s="369"/>
      <c r="W357" s="369"/>
      <c r="X357" s="369"/>
      <c r="Y357" s="369"/>
      <c r="Z357" s="369"/>
      <c r="AA357" s="369"/>
      <c r="AB357" s="369"/>
      <c r="AC357" s="369"/>
      <c r="AD357" s="369"/>
      <c r="AI357" s="369"/>
    </row>
    <row r="358" spans="1:35" s="221" customFormat="1" ht="12.75">
      <c r="A358" s="228"/>
      <c r="B358" s="1111"/>
      <c r="C358" s="1112"/>
      <c r="D358" s="1109"/>
      <c r="E358" s="1109"/>
      <c r="F358" s="1109"/>
      <c r="G358" s="1109"/>
      <c r="H358" s="1109"/>
      <c r="I358" s="1109"/>
      <c r="J358" s="1109"/>
      <c r="K358" s="1109"/>
      <c r="L358" s="1109"/>
      <c r="M358" s="1109"/>
      <c r="N358" s="1109"/>
      <c r="O358" s="1109"/>
      <c r="P358" s="1246"/>
      <c r="Q358" s="1110"/>
      <c r="S358" s="369"/>
      <c r="T358" s="369"/>
      <c r="U358" s="369"/>
      <c r="V358" s="369"/>
      <c r="W358" s="369"/>
      <c r="X358" s="369"/>
      <c r="Y358" s="369"/>
      <c r="Z358" s="369"/>
      <c r="AA358" s="369"/>
      <c r="AB358" s="369"/>
      <c r="AC358" s="369"/>
      <c r="AD358" s="369"/>
      <c r="AI358" s="369"/>
    </row>
    <row r="359" spans="1:35" s="221" customFormat="1" ht="12.75">
      <c r="A359" s="228"/>
      <c r="B359" s="1111"/>
      <c r="C359" s="1112"/>
      <c r="D359" s="1109"/>
      <c r="E359" s="1109"/>
      <c r="F359" s="1109"/>
      <c r="G359" s="1109"/>
      <c r="H359" s="1109"/>
      <c r="I359" s="1109"/>
      <c r="J359" s="1109"/>
      <c r="K359" s="1109"/>
      <c r="L359" s="1109"/>
      <c r="M359" s="1109"/>
      <c r="N359" s="1109"/>
      <c r="O359" s="1109"/>
      <c r="P359" s="1246"/>
      <c r="Q359" s="1110"/>
      <c r="S359" s="369"/>
      <c r="T359" s="369"/>
      <c r="U359" s="369"/>
      <c r="V359" s="369"/>
      <c r="W359" s="369"/>
      <c r="X359" s="369"/>
      <c r="Y359" s="369"/>
      <c r="Z359" s="369"/>
      <c r="AA359" s="369"/>
      <c r="AB359" s="369"/>
      <c r="AC359" s="369"/>
      <c r="AD359" s="369"/>
      <c r="AI359" s="369"/>
    </row>
    <row r="360" spans="1:35" s="221" customFormat="1" ht="12.75">
      <c r="A360" s="228"/>
      <c r="B360" s="1111"/>
      <c r="C360" s="1112"/>
      <c r="D360" s="1109"/>
      <c r="E360" s="1109"/>
      <c r="F360" s="1109"/>
      <c r="G360" s="1109"/>
      <c r="H360" s="1109"/>
      <c r="I360" s="1109"/>
      <c r="J360" s="1109"/>
      <c r="K360" s="1109"/>
      <c r="L360" s="1109"/>
      <c r="M360" s="1109"/>
      <c r="N360" s="1109"/>
      <c r="O360" s="1109"/>
      <c r="P360" s="1246"/>
      <c r="Q360" s="1110"/>
      <c r="S360" s="369"/>
      <c r="T360" s="369"/>
      <c r="U360" s="369"/>
      <c r="V360" s="369"/>
      <c r="W360" s="369"/>
      <c r="X360" s="369"/>
      <c r="Y360" s="369"/>
      <c r="Z360" s="369"/>
      <c r="AA360" s="369"/>
      <c r="AB360" s="369"/>
      <c r="AC360" s="369"/>
      <c r="AD360" s="369"/>
      <c r="AI360" s="369"/>
    </row>
    <row r="361" spans="1:35" s="221" customFormat="1" ht="12.75">
      <c r="A361" s="228"/>
      <c r="B361" s="1111"/>
      <c r="C361" s="1112"/>
      <c r="D361" s="1109"/>
      <c r="E361" s="1109"/>
      <c r="F361" s="1109"/>
      <c r="G361" s="1109"/>
      <c r="H361" s="1109"/>
      <c r="I361" s="1109"/>
      <c r="J361" s="1109"/>
      <c r="K361" s="1109"/>
      <c r="L361" s="1109"/>
      <c r="M361" s="1109"/>
      <c r="N361" s="1109"/>
      <c r="O361" s="1109"/>
      <c r="P361" s="1246"/>
      <c r="Q361" s="1110"/>
      <c r="S361" s="369"/>
      <c r="T361" s="369"/>
      <c r="U361" s="369"/>
      <c r="V361" s="369"/>
      <c r="W361" s="369"/>
      <c r="X361" s="369"/>
      <c r="Y361" s="369"/>
      <c r="Z361" s="369"/>
      <c r="AA361" s="369"/>
      <c r="AB361" s="369"/>
      <c r="AC361" s="369"/>
      <c r="AD361" s="369"/>
      <c r="AI361" s="369"/>
    </row>
    <row r="362" spans="1:35" s="221" customFormat="1" ht="13.5" thickBot="1">
      <c r="A362" s="228"/>
      <c r="B362" s="1157"/>
      <c r="C362" s="1158"/>
      <c r="D362" s="1133"/>
      <c r="E362" s="1133"/>
      <c r="F362" s="1133"/>
      <c r="G362" s="1133"/>
      <c r="H362" s="1133"/>
      <c r="I362" s="1133"/>
      <c r="J362" s="1133"/>
      <c r="K362" s="1133"/>
      <c r="L362" s="1133"/>
      <c r="M362" s="1133"/>
      <c r="N362" s="1133"/>
      <c r="O362" s="1133"/>
      <c r="P362" s="1273"/>
      <c r="Q362" s="1134"/>
      <c r="S362" s="369"/>
      <c r="T362" s="369"/>
      <c r="U362" s="369"/>
      <c r="V362" s="369"/>
      <c r="W362" s="369"/>
      <c r="X362" s="369"/>
      <c r="Y362" s="369"/>
      <c r="Z362" s="369"/>
      <c r="AA362" s="369"/>
      <c r="AB362" s="369"/>
      <c r="AC362" s="369"/>
      <c r="AD362" s="369"/>
      <c r="AI362" s="369"/>
    </row>
    <row r="363" spans="1:35" s="221" customFormat="1" ht="12.75">
      <c r="A363" s="228"/>
      <c r="B363" s="987"/>
      <c r="C363" s="987"/>
      <c r="D363" s="987"/>
      <c r="E363" s="987"/>
      <c r="F363" s="987"/>
      <c r="G363" s="987"/>
      <c r="H363" s="274"/>
      <c r="I363" s="635"/>
      <c r="J363" s="635"/>
      <c r="K363" s="635"/>
      <c r="L363" s="635"/>
      <c r="S363" s="369"/>
      <c r="T363" s="369"/>
      <c r="U363" s="369"/>
      <c r="V363" s="369"/>
      <c r="W363" s="369"/>
      <c r="X363" s="369"/>
      <c r="Y363" s="369"/>
      <c r="Z363" s="369"/>
      <c r="AA363" s="369"/>
      <c r="AB363" s="369"/>
      <c r="AC363" s="369"/>
      <c r="AD363" s="369"/>
      <c r="AI363" s="369"/>
    </row>
    <row r="364" spans="1:35">
      <c r="A364" s="210"/>
      <c r="B364" s="374" t="s">
        <v>211</v>
      </c>
      <c r="T364" s="365"/>
    </row>
    <row r="365" spans="1:35" ht="9" customHeight="1">
      <c r="B365" s="374"/>
      <c r="T365" s="365"/>
    </row>
    <row r="366" spans="1:35" ht="65.25" customHeight="1">
      <c r="B366" s="982" t="s">
        <v>289</v>
      </c>
      <c r="C366" s="982"/>
      <c r="D366" s="982"/>
      <c r="E366" s="982"/>
      <c r="F366" s="982"/>
      <c r="G366" s="286"/>
      <c r="H366" s="982" t="s">
        <v>283</v>
      </c>
      <c r="I366" s="982"/>
      <c r="J366" s="982"/>
      <c r="K366" s="982"/>
      <c r="L366" s="982"/>
      <c r="M366" s="982"/>
      <c r="N366" s="982"/>
      <c r="O366" s="982"/>
      <c r="P366" s="982"/>
      <c r="Q366" s="982"/>
      <c r="T366" s="365"/>
    </row>
    <row r="367" spans="1:35" ht="9" customHeight="1" thickBot="1">
      <c r="B367" s="205"/>
      <c r="C367" s="215"/>
      <c r="T367" s="365"/>
    </row>
    <row r="368" spans="1:35" ht="26.25" customHeight="1" thickBot="1">
      <c r="B368" s="1107" t="s">
        <v>91</v>
      </c>
      <c r="C368" s="1108"/>
      <c r="D368" s="1108"/>
      <c r="E368" s="1108" t="s">
        <v>139</v>
      </c>
      <c r="F368" s="1143"/>
      <c r="G368" s="375"/>
      <c r="H368" s="1107" t="s">
        <v>160</v>
      </c>
      <c r="I368" s="1144"/>
      <c r="J368" s="1144"/>
      <c r="K368" s="1144"/>
      <c r="L368" s="1144"/>
      <c r="M368" s="1108"/>
      <c r="N368" s="1108"/>
      <c r="O368" s="1108" t="s">
        <v>139</v>
      </c>
      <c r="P368" s="1278"/>
      <c r="Q368" s="1143"/>
      <c r="S368" s="392"/>
      <c r="Y368" s="365"/>
    </row>
    <row r="369" spans="2:20">
      <c r="B369" s="1145" t="s">
        <v>279</v>
      </c>
      <c r="C369" s="1146"/>
      <c r="D369" s="1146"/>
      <c r="E369" s="1274" t="s">
        <v>684</v>
      </c>
      <c r="F369" s="1275"/>
      <c r="G369" s="393"/>
      <c r="H369" s="1149"/>
      <c r="I369" s="1150"/>
      <c r="J369" s="1150"/>
      <c r="K369" s="1150"/>
      <c r="L369" s="1150"/>
      <c r="M369" s="1151"/>
      <c r="N369" s="1151"/>
      <c r="O369" s="1151"/>
      <c r="P369" s="1151"/>
      <c r="Q369" s="1156"/>
      <c r="S369" s="267"/>
      <c r="T369" s="364"/>
    </row>
    <row r="370" spans="2:20">
      <c r="B370" s="1115" t="s">
        <v>147</v>
      </c>
      <c r="C370" s="1116"/>
      <c r="D370" s="1116"/>
      <c r="E370" s="1276" t="s">
        <v>684</v>
      </c>
      <c r="F370" s="1277"/>
      <c r="G370" s="376"/>
      <c r="H370" s="1041"/>
      <c r="I370" s="1042"/>
      <c r="J370" s="1042"/>
      <c r="K370" s="1042"/>
      <c r="L370" s="1042"/>
      <c r="M370" s="1043"/>
      <c r="N370" s="1043"/>
      <c r="O370" s="1043"/>
      <c r="P370" s="1043"/>
      <c r="Q370" s="1113"/>
      <c r="S370" s="267"/>
      <c r="T370" s="364"/>
    </row>
    <row r="371" spans="2:20">
      <c r="B371" s="1115" t="s">
        <v>32</v>
      </c>
      <c r="C371" s="1116"/>
      <c r="D371" s="1116"/>
      <c r="E371" s="1117">
        <v>1000</v>
      </c>
      <c r="F371" s="1118"/>
      <c r="G371" s="377"/>
      <c r="H371" s="1041"/>
      <c r="I371" s="1042"/>
      <c r="J371" s="1042"/>
      <c r="K371" s="1042"/>
      <c r="L371" s="1042"/>
      <c r="M371" s="1043"/>
      <c r="N371" s="1043"/>
      <c r="O371" s="1043"/>
      <c r="P371" s="1043"/>
      <c r="Q371" s="1113"/>
      <c r="S371" s="267"/>
      <c r="T371" s="364"/>
    </row>
    <row r="372" spans="2:20">
      <c r="B372" s="1115" t="s">
        <v>287</v>
      </c>
      <c r="C372" s="1116"/>
      <c r="D372" s="1116"/>
      <c r="E372" s="1117">
        <v>1000</v>
      </c>
      <c r="F372" s="1118"/>
      <c r="G372" s="377"/>
      <c r="H372" s="1041"/>
      <c r="I372" s="1042"/>
      <c r="J372" s="1042"/>
      <c r="K372" s="1042"/>
      <c r="L372" s="1042"/>
      <c r="M372" s="1043"/>
      <c r="N372" s="1043"/>
      <c r="O372" s="1043"/>
      <c r="P372" s="1043"/>
      <c r="Q372" s="1113"/>
      <c r="S372" s="267"/>
      <c r="T372" s="364"/>
    </row>
    <row r="373" spans="2:20" ht="15" customHeight="1">
      <c r="B373" s="1115" t="s">
        <v>288</v>
      </c>
      <c r="C373" s="1116"/>
      <c r="D373" s="1116"/>
      <c r="E373" s="1117">
        <v>1000</v>
      </c>
      <c r="F373" s="1118"/>
      <c r="G373" s="377"/>
      <c r="H373" s="1041"/>
      <c r="I373" s="1042"/>
      <c r="J373" s="1042"/>
      <c r="K373" s="1042"/>
      <c r="L373" s="1042"/>
      <c r="M373" s="1043"/>
      <c r="N373" s="1043"/>
      <c r="O373" s="1043"/>
      <c r="P373" s="1043"/>
      <c r="Q373" s="1113"/>
      <c r="S373" s="267"/>
      <c r="T373" s="364"/>
    </row>
    <row r="374" spans="2:20" ht="15" customHeight="1">
      <c r="B374" s="1115" t="s">
        <v>220</v>
      </c>
      <c r="C374" s="1116"/>
      <c r="D374" s="1116"/>
      <c r="E374" s="1117">
        <v>1000</v>
      </c>
      <c r="F374" s="1118"/>
      <c r="G374" s="377"/>
      <c r="H374" s="1041"/>
      <c r="I374" s="1042"/>
      <c r="J374" s="1042"/>
      <c r="K374" s="1042"/>
      <c r="L374" s="1042"/>
      <c r="M374" s="1043"/>
      <c r="N374" s="1043"/>
      <c r="O374" s="1043"/>
      <c r="P374" s="1043"/>
      <c r="Q374" s="1113"/>
      <c r="S374" s="267"/>
      <c r="T374" s="364"/>
    </row>
    <row r="375" spans="2:20" ht="15" customHeight="1">
      <c r="B375" s="1115" t="s">
        <v>221</v>
      </c>
      <c r="C375" s="1116"/>
      <c r="D375" s="1116"/>
      <c r="E375" s="1117">
        <v>1000</v>
      </c>
      <c r="F375" s="1118"/>
      <c r="G375" s="377"/>
      <c r="H375" s="1041"/>
      <c r="I375" s="1042"/>
      <c r="J375" s="1042"/>
      <c r="K375" s="1042"/>
      <c r="L375" s="1042"/>
      <c r="M375" s="1043"/>
      <c r="N375" s="1043"/>
      <c r="O375" s="1043"/>
      <c r="P375" s="1043"/>
      <c r="Q375" s="1113"/>
      <c r="S375" s="267"/>
      <c r="T375" s="364"/>
    </row>
    <row r="376" spans="2:20">
      <c r="B376" s="1115" t="s">
        <v>140</v>
      </c>
      <c r="C376" s="1116"/>
      <c r="D376" s="1116"/>
      <c r="E376" s="1117">
        <v>1000</v>
      </c>
      <c r="F376" s="1118"/>
      <c r="G376" s="377"/>
      <c r="H376" s="1041"/>
      <c r="I376" s="1042"/>
      <c r="J376" s="1042"/>
      <c r="K376" s="1042"/>
      <c r="L376" s="1042"/>
      <c r="M376" s="1043"/>
      <c r="N376" s="1043"/>
      <c r="O376" s="1043"/>
      <c r="P376" s="1043"/>
      <c r="Q376" s="1113"/>
      <c r="S376" s="267"/>
      <c r="T376" s="364"/>
    </row>
    <row r="377" spans="2:20">
      <c r="B377" s="1115" t="s">
        <v>262</v>
      </c>
      <c r="C377" s="1116"/>
      <c r="D377" s="1116"/>
      <c r="E377" s="1117">
        <v>1000</v>
      </c>
      <c r="F377" s="1118"/>
      <c r="G377" s="377"/>
      <c r="H377" s="1041"/>
      <c r="I377" s="1042"/>
      <c r="J377" s="1042"/>
      <c r="K377" s="1042"/>
      <c r="L377" s="1042"/>
      <c r="M377" s="1043"/>
      <c r="N377" s="1043"/>
      <c r="O377" s="1043"/>
      <c r="P377" s="1043"/>
      <c r="Q377" s="1113"/>
      <c r="S377" s="267"/>
      <c r="T377" s="364"/>
    </row>
    <row r="378" spans="2:20">
      <c r="B378" s="1115" t="s">
        <v>264</v>
      </c>
      <c r="C378" s="1116"/>
      <c r="D378" s="1116"/>
      <c r="E378" s="1117">
        <v>1000</v>
      </c>
      <c r="F378" s="1118"/>
      <c r="G378" s="377"/>
      <c r="H378" s="1041"/>
      <c r="I378" s="1042"/>
      <c r="J378" s="1042"/>
      <c r="K378" s="1042"/>
      <c r="L378" s="1042"/>
      <c r="M378" s="1043"/>
      <c r="N378" s="1043"/>
      <c r="O378" s="1043"/>
      <c r="P378" s="1043"/>
      <c r="Q378" s="1113"/>
      <c r="S378" s="267"/>
    </row>
    <row r="379" spans="2:20">
      <c r="B379" s="1115" t="s">
        <v>265</v>
      </c>
      <c r="C379" s="1116"/>
      <c r="D379" s="1116"/>
      <c r="E379" s="1117">
        <v>1000</v>
      </c>
      <c r="F379" s="1118"/>
      <c r="G379" s="377"/>
      <c r="H379" s="1041"/>
      <c r="I379" s="1042"/>
      <c r="J379" s="1042"/>
      <c r="K379" s="1042"/>
      <c r="L379" s="1042"/>
      <c r="M379" s="1043"/>
      <c r="N379" s="1043"/>
      <c r="O379" s="1043"/>
      <c r="P379" s="1043"/>
      <c r="Q379" s="1113"/>
      <c r="S379" s="267"/>
    </row>
    <row r="380" spans="2:20">
      <c r="B380" s="1115" t="s">
        <v>148</v>
      </c>
      <c r="C380" s="1116"/>
      <c r="D380" s="1116"/>
      <c r="E380" s="1117">
        <v>1000</v>
      </c>
      <c r="F380" s="1118"/>
      <c r="G380" s="377"/>
      <c r="H380" s="1041"/>
      <c r="I380" s="1042"/>
      <c r="J380" s="1042"/>
      <c r="K380" s="1042"/>
      <c r="L380" s="1042"/>
      <c r="M380" s="1043"/>
      <c r="N380" s="1043"/>
      <c r="O380" s="1043"/>
      <c r="P380" s="1043"/>
      <c r="Q380" s="1113"/>
      <c r="S380" s="267"/>
    </row>
    <row r="381" spans="2:20">
      <c r="B381" s="1115" t="s">
        <v>263</v>
      </c>
      <c r="C381" s="1116"/>
      <c r="D381" s="1116"/>
      <c r="E381" s="1213" t="s">
        <v>282</v>
      </c>
      <c r="F381" s="1214"/>
      <c r="G381" s="377"/>
      <c r="H381" s="1041"/>
      <c r="I381" s="1042"/>
      <c r="J381" s="1042"/>
      <c r="K381" s="1042"/>
      <c r="L381" s="1042"/>
      <c r="M381" s="1043"/>
      <c r="N381" s="1043"/>
      <c r="O381" s="1043"/>
      <c r="P381" s="1043"/>
      <c r="Q381" s="1113"/>
      <c r="S381" s="267"/>
    </row>
    <row r="382" spans="2:20">
      <c r="B382" s="1115" t="s">
        <v>266</v>
      </c>
      <c r="C382" s="1116"/>
      <c r="D382" s="1116"/>
      <c r="E382" s="1117">
        <v>1000</v>
      </c>
      <c r="F382" s="1118"/>
      <c r="G382" s="377"/>
      <c r="H382" s="1041"/>
      <c r="I382" s="1042"/>
      <c r="J382" s="1042"/>
      <c r="K382" s="1042"/>
      <c r="L382" s="1042"/>
      <c r="M382" s="1043"/>
      <c r="N382" s="1043"/>
      <c r="O382" s="1043"/>
      <c r="P382" s="1043"/>
      <c r="Q382" s="1113"/>
      <c r="S382" s="267"/>
    </row>
    <row r="383" spans="2:20">
      <c r="B383" s="1115" t="s">
        <v>267</v>
      </c>
      <c r="C383" s="1116"/>
      <c r="D383" s="1116"/>
      <c r="E383" s="1117">
        <v>1000</v>
      </c>
      <c r="F383" s="1118"/>
      <c r="G383" s="377"/>
      <c r="H383" s="1041"/>
      <c r="I383" s="1042"/>
      <c r="J383" s="1042"/>
      <c r="K383" s="1042"/>
      <c r="L383" s="1042"/>
      <c r="M383" s="1043"/>
      <c r="N383" s="1043"/>
      <c r="O383" s="1043"/>
      <c r="P383" s="1043"/>
      <c r="Q383" s="1113"/>
      <c r="S383" s="267"/>
    </row>
    <row r="384" spans="2:20">
      <c r="B384" s="1115" t="s">
        <v>268</v>
      </c>
      <c r="C384" s="1116"/>
      <c r="D384" s="1116"/>
      <c r="E384" s="1117">
        <v>1000</v>
      </c>
      <c r="F384" s="1118"/>
      <c r="G384" s="377"/>
      <c r="H384" s="1041"/>
      <c r="I384" s="1042"/>
      <c r="J384" s="1042"/>
      <c r="K384" s="1042"/>
      <c r="L384" s="1042"/>
      <c r="M384" s="1043"/>
      <c r="N384" s="1043"/>
      <c r="O384" s="1043"/>
      <c r="P384" s="1043"/>
      <c r="Q384" s="1113"/>
      <c r="S384" s="267"/>
    </row>
    <row r="385" spans="2:19">
      <c r="B385" s="1115" t="s">
        <v>269</v>
      </c>
      <c r="C385" s="1116"/>
      <c r="D385" s="1116"/>
      <c r="E385" s="1116" t="s">
        <v>270</v>
      </c>
      <c r="F385" s="1302"/>
      <c r="G385" s="377"/>
      <c r="H385" s="1041"/>
      <c r="I385" s="1042"/>
      <c r="J385" s="1042"/>
      <c r="K385" s="1042"/>
      <c r="L385" s="1042"/>
      <c r="M385" s="1043"/>
      <c r="N385" s="1043"/>
      <c r="O385" s="1043"/>
      <c r="P385" s="1043"/>
      <c r="Q385" s="1113"/>
      <c r="S385" s="267"/>
    </row>
    <row r="386" spans="2:19">
      <c r="B386" s="1115" t="s">
        <v>271</v>
      </c>
      <c r="C386" s="1116"/>
      <c r="D386" s="1116"/>
      <c r="E386" s="1116" t="s">
        <v>270</v>
      </c>
      <c r="F386" s="1302"/>
      <c r="G386" s="280"/>
      <c r="H386" s="1041"/>
      <c r="I386" s="1042"/>
      <c r="J386" s="1042"/>
      <c r="K386" s="1042"/>
      <c r="L386" s="1042"/>
      <c r="M386" s="1043"/>
      <c r="N386" s="1043"/>
      <c r="O386" s="1043"/>
      <c r="P386" s="1043"/>
      <c r="Q386" s="1113"/>
      <c r="S386" s="267"/>
    </row>
    <row r="387" spans="2:19">
      <c r="B387" s="1115" t="s">
        <v>924</v>
      </c>
      <c r="C387" s="1116"/>
      <c r="D387" s="1116"/>
      <c r="E387" s="1276" t="s">
        <v>684</v>
      </c>
      <c r="F387" s="1277"/>
      <c r="G387" s="607"/>
      <c r="H387" s="1041"/>
      <c r="I387" s="1042"/>
      <c r="J387" s="1042"/>
      <c r="K387" s="1042"/>
      <c r="L387" s="1042"/>
      <c r="M387" s="1043"/>
      <c r="N387" s="1043"/>
      <c r="O387" s="1043"/>
      <c r="P387" s="1043"/>
      <c r="Q387" s="1113"/>
      <c r="S387" s="267"/>
    </row>
    <row r="388" spans="2:19">
      <c r="B388" s="1115" t="s">
        <v>940</v>
      </c>
      <c r="C388" s="1116"/>
      <c r="D388" s="1116"/>
      <c r="E388" s="1117">
        <v>1000</v>
      </c>
      <c r="F388" s="1118"/>
      <c r="G388" s="607"/>
      <c r="H388" s="1041"/>
      <c r="I388" s="1042"/>
      <c r="J388" s="1042"/>
      <c r="K388" s="1042"/>
      <c r="L388" s="1042"/>
      <c r="M388" s="1043"/>
      <c r="N388" s="1043"/>
      <c r="O388" s="1043"/>
      <c r="P388" s="1043"/>
      <c r="Q388" s="1113"/>
      <c r="S388" s="267"/>
    </row>
    <row r="389" spans="2:19">
      <c r="B389" s="1115" t="s">
        <v>939</v>
      </c>
      <c r="C389" s="1116"/>
      <c r="D389" s="1116"/>
      <c r="E389" s="1117">
        <v>1000</v>
      </c>
      <c r="F389" s="1118"/>
      <c r="G389" s="607"/>
      <c r="H389" s="1041"/>
      <c r="I389" s="1042"/>
      <c r="J389" s="1042"/>
      <c r="K389" s="1042"/>
      <c r="L389" s="1042"/>
      <c r="M389" s="1043"/>
      <c r="N389" s="1043"/>
      <c r="O389" s="1043"/>
      <c r="P389" s="1043"/>
      <c r="Q389" s="1113"/>
      <c r="S389" s="267"/>
    </row>
    <row r="390" spans="2:19">
      <c r="B390" s="1115" t="s">
        <v>941</v>
      </c>
      <c r="C390" s="1116"/>
      <c r="D390" s="1116"/>
      <c r="E390" s="1299" t="s">
        <v>938</v>
      </c>
      <c r="F390" s="1300"/>
      <c r="G390" s="607"/>
      <c r="H390" s="1041"/>
      <c r="I390" s="1042"/>
      <c r="J390" s="1042"/>
      <c r="K390" s="1042"/>
      <c r="L390" s="1042"/>
      <c r="M390" s="1043"/>
      <c r="N390" s="1043"/>
      <c r="O390" s="1043"/>
      <c r="P390" s="1043"/>
      <c r="Q390" s="1113"/>
      <c r="S390" s="267"/>
    </row>
    <row r="391" spans="2:19">
      <c r="B391" s="1115" t="s">
        <v>942</v>
      </c>
      <c r="C391" s="1116"/>
      <c r="D391" s="1116"/>
      <c r="E391" s="1299" t="s">
        <v>938</v>
      </c>
      <c r="F391" s="1300"/>
      <c r="G391" s="607"/>
      <c r="H391" s="1041"/>
      <c r="I391" s="1042"/>
      <c r="J391" s="1042"/>
      <c r="K391" s="1042"/>
      <c r="L391" s="1042"/>
      <c r="M391" s="1043"/>
      <c r="N391" s="1043"/>
      <c r="O391" s="1043"/>
      <c r="P391" s="1043"/>
      <c r="Q391" s="1113"/>
      <c r="S391" s="267"/>
    </row>
    <row r="392" spans="2:19">
      <c r="B392" s="1115" t="s">
        <v>943</v>
      </c>
      <c r="C392" s="1116"/>
      <c r="D392" s="1116"/>
      <c r="E392" s="1299" t="s">
        <v>938</v>
      </c>
      <c r="F392" s="1300"/>
      <c r="G392" s="607"/>
      <c r="H392" s="1041"/>
      <c r="I392" s="1042"/>
      <c r="J392" s="1042"/>
      <c r="K392" s="1042"/>
      <c r="L392" s="1042"/>
      <c r="M392" s="1043"/>
      <c r="N392" s="1043"/>
      <c r="O392" s="1043"/>
      <c r="P392" s="1043"/>
      <c r="Q392" s="1113"/>
      <c r="S392" s="267"/>
    </row>
    <row r="393" spans="2:19">
      <c r="B393" s="1115" t="s">
        <v>944</v>
      </c>
      <c r="C393" s="1116"/>
      <c r="D393" s="1116"/>
      <c r="E393" s="1299" t="s">
        <v>938</v>
      </c>
      <c r="F393" s="1300"/>
      <c r="G393" s="607"/>
      <c r="H393" s="1041"/>
      <c r="I393" s="1042"/>
      <c r="J393" s="1042"/>
      <c r="K393" s="1042"/>
      <c r="L393" s="1042"/>
      <c r="M393" s="1043"/>
      <c r="N393" s="1043"/>
      <c r="O393" s="1043"/>
      <c r="P393" s="1043"/>
      <c r="Q393" s="1113"/>
      <c r="S393" s="267"/>
    </row>
    <row r="394" spans="2:19">
      <c r="B394" s="1115" t="s">
        <v>945</v>
      </c>
      <c r="C394" s="1116"/>
      <c r="D394" s="1116"/>
      <c r="E394" s="1299" t="s">
        <v>938</v>
      </c>
      <c r="F394" s="1300"/>
      <c r="G394" s="607"/>
      <c r="H394" s="1041"/>
      <c r="I394" s="1042"/>
      <c r="J394" s="1042"/>
      <c r="K394" s="1042"/>
      <c r="L394" s="1042"/>
      <c r="M394" s="1043"/>
      <c r="N394" s="1043"/>
      <c r="O394" s="1043"/>
      <c r="P394" s="1043"/>
      <c r="Q394" s="1113"/>
      <c r="S394" s="267"/>
    </row>
    <row r="395" spans="2:19">
      <c r="B395" s="1115" t="s">
        <v>946</v>
      </c>
      <c r="C395" s="1116"/>
      <c r="D395" s="1116"/>
      <c r="E395" s="1299" t="s">
        <v>938</v>
      </c>
      <c r="F395" s="1300"/>
      <c r="G395" s="607"/>
      <c r="H395" s="1041"/>
      <c r="I395" s="1042"/>
      <c r="J395" s="1042"/>
      <c r="K395" s="1042"/>
      <c r="L395" s="1042"/>
      <c r="M395" s="1043"/>
      <c r="N395" s="1043"/>
      <c r="O395" s="1043"/>
      <c r="P395" s="1043"/>
      <c r="Q395" s="1113"/>
      <c r="S395" s="267"/>
    </row>
    <row r="396" spans="2:19">
      <c r="B396" s="1115" t="s">
        <v>947</v>
      </c>
      <c r="C396" s="1116"/>
      <c r="D396" s="1116"/>
      <c r="E396" s="1299" t="s">
        <v>938</v>
      </c>
      <c r="F396" s="1300"/>
      <c r="G396" s="607"/>
      <c r="H396" s="1041"/>
      <c r="I396" s="1042"/>
      <c r="J396" s="1042"/>
      <c r="K396" s="1042"/>
      <c r="L396" s="1042"/>
      <c r="M396" s="1043"/>
      <c r="N396" s="1043"/>
      <c r="O396" s="1043"/>
      <c r="P396" s="1043"/>
      <c r="Q396" s="1113"/>
      <c r="S396" s="267"/>
    </row>
    <row r="397" spans="2:19">
      <c r="B397" s="1115" t="s">
        <v>948</v>
      </c>
      <c r="C397" s="1116"/>
      <c r="D397" s="1116"/>
      <c r="E397" s="1299" t="s">
        <v>938</v>
      </c>
      <c r="F397" s="1300"/>
      <c r="G397" s="607"/>
      <c r="H397" s="1041"/>
      <c r="I397" s="1042"/>
      <c r="J397" s="1042"/>
      <c r="K397" s="1042"/>
      <c r="L397" s="1042"/>
      <c r="M397" s="1043"/>
      <c r="N397" s="1043"/>
      <c r="O397" s="1043"/>
      <c r="P397" s="1043"/>
      <c r="Q397" s="1113"/>
      <c r="S397" s="267"/>
    </row>
    <row r="398" spans="2:19">
      <c r="B398" s="1115" t="s">
        <v>949</v>
      </c>
      <c r="C398" s="1116"/>
      <c r="D398" s="1116"/>
      <c r="E398" s="1305" t="s">
        <v>958</v>
      </c>
      <c r="F398" s="1300"/>
      <c r="G398" s="607"/>
      <c r="H398" s="1041"/>
      <c r="I398" s="1042"/>
      <c r="J398" s="1042"/>
      <c r="K398" s="1042"/>
      <c r="L398" s="1042"/>
      <c r="M398" s="1043"/>
      <c r="N398" s="1043"/>
      <c r="O398" s="1043"/>
      <c r="P398" s="1043"/>
      <c r="Q398" s="1113"/>
      <c r="S398" s="267"/>
    </row>
    <row r="399" spans="2:19">
      <c r="B399" s="1115" t="s">
        <v>950</v>
      </c>
      <c r="C399" s="1116"/>
      <c r="D399" s="1116"/>
      <c r="E399" s="1299" t="s">
        <v>959</v>
      </c>
      <c r="F399" s="1300"/>
      <c r="G399" s="607"/>
      <c r="H399" s="1041"/>
      <c r="I399" s="1042"/>
      <c r="J399" s="1042"/>
      <c r="K399" s="1042"/>
      <c r="L399" s="1042"/>
      <c r="M399" s="1043"/>
      <c r="N399" s="1043"/>
      <c r="O399" s="1043"/>
      <c r="P399" s="1043"/>
      <c r="Q399" s="1113"/>
      <c r="S399" s="267"/>
    </row>
    <row r="400" spans="2:19">
      <c r="B400" s="1115" t="s">
        <v>951</v>
      </c>
      <c r="C400" s="1116"/>
      <c r="D400" s="1116"/>
      <c r="E400" s="1276" t="s">
        <v>684</v>
      </c>
      <c r="F400" s="1277"/>
      <c r="G400" s="607"/>
      <c r="H400" s="1041"/>
      <c r="I400" s="1042"/>
      <c r="J400" s="1042"/>
      <c r="K400" s="1042"/>
      <c r="L400" s="1042"/>
      <c r="M400" s="1043"/>
      <c r="N400" s="1043"/>
      <c r="O400" s="1043"/>
      <c r="P400" s="1043"/>
      <c r="Q400" s="1113"/>
      <c r="S400" s="267"/>
    </row>
    <row r="401" spans="1:19">
      <c r="B401" s="1115" t="s">
        <v>961</v>
      </c>
      <c r="C401" s="1116"/>
      <c r="D401" s="1116"/>
      <c r="E401" s="1117">
        <v>1000</v>
      </c>
      <c r="F401" s="1118"/>
      <c r="G401" s="607"/>
      <c r="H401" s="1041"/>
      <c r="I401" s="1042"/>
      <c r="J401" s="1042"/>
      <c r="K401" s="1042"/>
      <c r="L401" s="1042"/>
      <c r="M401" s="1043"/>
      <c r="N401" s="1043"/>
      <c r="O401" s="1043"/>
      <c r="P401" s="1043"/>
      <c r="Q401" s="1113"/>
      <c r="S401" s="267"/>
    </row>
    <row r="402" spans="1:19">
      <c r="B402" s="1115" t="s">
        <v>952</v>
      </c>
      <c r="C402" s="1116"/>
      <c r="D402" s="1116"/>
      <c r="E402" s="1117">
        <v>1000</v>
      </c>
      <c r="F402" s="1118"/>
      <c r="G402" s="607"/>
      <c r="H402" s="1041"/>
      <c r="I402" s="1042"/>
      <c r="J402" s="1042"/>
      <c r="K402" s="1042"/>
      <c r="L402" s="1042"/>
      <c r="M402" s="1043"/>
      <c r="N402" s="1043"/>
      <c r="O402" s="1043"/>
      <c r="P402" s="1043"/>
      <c r="Q402" s="1113"/>
      <c r="S402" s="267"/>
    </row>
    <row r="403" spans="1:19">
      <c r="B403" s="1115" t="s">
        <v>953</v>
      </c>
      <c r="C403" s="1116"/>
      <c r="D403" s="1116"/>
      <c r="E403" s="1276" t="s">
        <v>684</v>
      </c>
      <c r="F403" s="1277"/>
      <c r="G403" s="607"/>
      <c r="H403" s="1041"/>
      <c r="I403" s="1042"/>
      <c r="J403" s="1042"/>
      <c r="K403" s="1042"/>
      <c r="L403" s="1042"/>
      <c r="M403" s="1043"/>
      <c r="N403" s="1043"/>
      <c r="O403" s="1043"/>
      <c r="P403" s="1043"/>
      <c r="Q403" s="1113"/>
      <c r="S403" s="267"/>
    </row>
    <row r="404" spans="1:19">
      <c r="B404" s="1115" t="s">
        <v>954</v>
      </c>
      <c r="C404" s="1116"/>
      <c r="D404" s="1116"/>
      <c r="E404" s="1276" t="s">
        <v>684</v>
      </c>
      <c r="F404" s="1277"/>
      <c r="G404" s="607"/>
      <c r="H404" s="1041"/>
      <c r="I404" s="1042"/>
      <c r="J404" s="1042"/>
      <c r="K404" s="1042"/>
      <c r="L404" s="1042"/>
      <c r="M404" s="1043"/>
      <c r="N404" s="1043"/>
      <c r="O404" s="1043"/>
      <c r="P404" s="1043"/>
      <c r="Q404" s="1113"/>
      <c r="S404" s="267"/>
    </row>
    <row r="405" spans="1:19">
      <c r="B405" s="1115" t="s">
        <v>937</v>
      </c>
      <c r="C405" s="1116"/>
      <c r="D405" s="1116"/>
      <c r="E405" s="1299" t="s">
        <v>938</v>
      </c>
      <c r="F405" s="1300"/>
      <c r="G405" s="607"/>
      <c r="H405" s="1041"/>
      <c r="I405" s="1042"/>
      <c r="J405" s="1042"/>
      <c r="K405" s="1042"/>
      <c r="L405" s="1042"/>
      <c r="M405" s="1043"/>
      <c r="N405" s="1043"/>
      <c r="O405" s="1043"/>
      <c r="P405" s="1043"/>
      <c r="Q405" s="1113"/>
      <c r="S405" s="267"/>
    </row>
    <row r="406" spans="1:19">
      <c r="B406" s="1115" t="s">
        <v>955</v>
      </c>
      <c r="C406" s="1116"/>
      <c r="D406" s="1116"/>
      <c r="E406" s="1299" t="s">
        <v>938</v>
      </c>
      <c r="F406" s="1300"/>
      <c r="G406" s="607"/>
      <c r="H406" s="1041"/>
      <c r="I406" s="1042"/>
      <c r="J406" s="1042"/>
      <c r="K406" s="1042"/>
      <c r="L406" s="1042"/>
      <c r="M406" s="1043"/>
      <c r="N406" s="1043"/>
      <c r="O406" s="1043"/>
      <c r="P406" s="1043"/>
      <c r="Q406" s="1113"/>
      <c r="S406" s="267"/>
    </row>
    <row r="407" spans="1:19">
      <c r="B407" s="1115" t="s">
        <v>956</v>
      </c>
      <c r="C407" s="1116"/>
      <c r="D407" s="1116"/>
      <c r="E407" s="1299" t="s">
        <v>938</v>
      </c>
      <c r="F407" s="1300"/>
      <c r="G407" s="607"/>
      <c r="H407" s="1041"/>
      <c r="I407" s="1042"/>
      <c r="J407" s="1042"/>
      <c r="K407" s="1042"/>
      <c r="L407" s="1042"/>
      <c r="M407" s="1043"/>
      <c r="N407" s="1043"/>
      <c r="O407" s="1043"/>
      <c r="P407" s="1043"/>
      <c r="Q407" s="1113"/>
      <c r="S407" s="267"/>
    </row>
    <row r="408" spans="1:19">
      <c r="B408" s="1115" t="s">
        <v>957</v>
      </c>
      <c r="C408" s="1116"/>
      <c r="D408" s="1116"/>
      <c r="E408" s="1117">
        <v>1000</v>
      </c>
      <c r="F408" s="1118"/>
      <c r="G408" s="607"/>
      <c r="H408" s="1041"/>
      <c r="I408" s="1042"/>
      <c r="J408" s="1042"/>
      <c r="K408" s="1042"/>
      <c r="L408" s="1042"/>
      <c r="M408" s="1043"/>
      <c r="N408" s="1043"/>
      <c r="O408" s="1043"/>
      <c r="P408" s="1043"/>
      <c r="Q408" s="1113"/>
      <c r="S408" s="267"/>
    </row>
    <row r="409" spans="1:19">
      <c r="B409" s="1115" t="s">
        <v>934</v>
      </c>
      <c r="C409" s="1116"/>
      <c r="D409" s="1116"/>
      <c r="E409" s="1299">
        <v>65</v>
      </c>
      <c r="F409" s="1300"/>
      <c r="G409" s="607"/>
      <c r="H409" s="1041"/>
      <c r="I409" s="1042"/>
      <c r="J409" s="1042"/>
      <c r="K409" s="1042"/>
      <c r="L409" s="1042"/>
      <c r="M409" s="1043"/>
      <c r="N409" s="1043"/>
      <c r="O409" s="1043"/>
      <c r="P409" s="1043"/>
      <c r="Q409" s="1113"/>
      <c r="S409" s="267"/>
    </row>
    <row r="410" spans="1:19" ht="15" customHeight="1">
      <c r="B410" s="1121" t="s">
        <v>935</v>
      </c>
      <c r="C410" s="1122"/>
      <c r="D410" s="1123"/>
      <c r="E410" s="1299">
        <v>50</v>
      </c>
      <c r="F410" s="1300"/>
      <c r="G410" s="607"/>
      <c r="H410" s="1041"/>
      <c r="I410" s="1042"/>
      <c r="J410" s="1042"/>
      <c r="K410" s="1042"/>
      <c r="L410" s="1042"/>
      <c r="M410" s="1043"/>
      <c r="N410" s="1043"/>
      <c r="O410" s="1043"/>
      <c r="P410" s="1043"/>
      <c r="Q410" s="1113"/>
      <c r="S410" s="267"/>
    </row>
    <row r="411" spans="1:19" ht="15.75" customHeight="1" thickBot="1">
      <c r="B411" s="1126" t="s">
        <v>936</v>
      </c>
      <c r="C411" s="1127"/>
      <c r="D411" s="1128"/>
      <c r="E411" s="1306">
        <v>5</v>
      </c>
      <c r="F411" s="1307"/>
      <c r="G411" s="607"/>
      <c r="H411" s="1046"/>
      <c r="I411" s="1047"/>
      <c r="J411" s="1047"/>
      <c r="K411" s="1047"/>
      <c r="L411" s="1047"/>
      <c r="M411" s="1048"/>
      <c r="N411" s="1048"/>
      <c r="O411" s="1048"/>
      <c r="P411" s="1048"/>
      <c r="Q411" s="1159"/>
      <c r="S411" s="267"/>
    </row>
    <row r="412" spans="1:19">
      <c r="B412" s="243"/>
      <c r="C412" s="280"/>
      <c r="E412" s="266"/>
      <c r="F412" s="266"/>
      <c r="S412" s="267"/>
    </row>
    <row r="413" spans="1:19">
      <c r="A413" s="210"/>
      <c r="B413" s="301" t="s">
        <v>143</v>
      </c>
      <c r="S413" s="364"/>
    </row>
    <row r="414" spans="1:19" ht="9" customHeight="1">
      <c r="A414" s="210"/>
      <c r="B414" s="378"/>
    </row>
    <row r="415" spans="1:19" ht="28.5" customHeight="1">
      <c r="A415" s="210"/>
      <c r="B415" s="241" t="s">
        <v>149</v>
      </c>
      <c r="C415" s="394"/>
      <c r="D415" s="394"/>
      <c r="E415" s="395"/>
      <c r="F415" s="395"/>
      <c r="G415" s="982" t="s">
        <v>150</v>
      </c>
      <c r="H415" s="982"/>
      <c r="I415" s="982"/>
      <c r="J415" s="982"/>
      <c r="K415" s="982"/>
      <c r="L415" s="982"/>
      <c r="M415" s="982"/>
      <c r="N415" s="982"/>
      <c r="O415" s="982"/>
      <c r="P415" s="982"/>
      <c r="Q415" s="982"/>
    </row>
    <row r="416" spans="1:19">
      <c r="A416" s="210"/>
      <c r="B416" s="378"/>
      <c r="D416" s="340"/>
      <c r="F416" s="286"/>
      <c r="G416" s="286"/>
      <c r="H416" s="286"/>
      <c r="I416" s="630"/>
      <c r="J416" s="630"/>
      <c r="K416" s="630"/>
      <c r="L416" s="630"/>
      <c r="M416" s="286"/>
    </row>
    <row r="417" spans="1:35" s="319" customFormat="1">
      <c r="A417" s="247"/>
      <c r="B417" s="304" t="s">
        <v>102</v>
      </c>
      <c r="G417" s="1301" t="s">
        <v>118</v>
      </c>
      <c r="H417" s="1301"/>
      <c r="I417" s="1301"/>
      <c r="J417" s="1301"/>
      <c r="K417" s="1301"/>
      <c r="L417" s="1301"/>
      <c r="M417" s="1301"/>
      <c r="S417" s="396"/>
      <c r="T417" s="396"/>
      <c r="U417" s="396"/>
      <c r="V417" s="396"/>
      <c r="W417" s="396"/>
      <c r="X417" s="396"/>
      <c r="Y417" s="396"/>
      <c r="Z417" s="396"/>
      <c r="AA417" s="396"/>
      <c r="AB417" s="396"/>
      <c r="AC417" s="396"/>
      <c r="AD417" s="396"/>
      <c r="AI417" s="396"/>
    </row>
    <row r="418" spans="1:35" ht="9" customHeight="1" thickBot="1">
      <c r="A418" s="210"/>
      <c r="B418" s="374"/>
      <c r="G418" s="382"/>
    </row>
    <row r="419" spans="1:35" ht="15.75" thickBot="1">
      <c r="A419" s="210"/>
      <c r="B419" s="1293" t="s">
        <v>103</v>
      </c>
      <c r="C419" s="1294"/>
      <c r="D419" s="1295"/>
      <c r="G419" s="1245" t="s">
        <v>119</v>
      </c>
      <c r="H419" s="1242"/>
      <c r="I419" s="647"/>
      <c r="J419" s="647"/>
      <c r="K419" s="647"/>
      <c r="L419" s="647"/>
      <c r="M419" s="1242" t="s">
        <v>105</v>
      </c>
      <c r="N419" s="1242"/>
      <c r="O419" s="1242" t="s">
        <v>151</v>
      </c>
      <c r="P419" s="1243"/>
      <c r="Q419" s="1244"/>
      <c r="S419" s="392"/>
      <c r="T419" s="364"/>
    </row>
    <row r="420" spans="1:35">
      <c r="A420" s="210"/>
      <c r="B420" s="1283" t="s">
        <v>272</v>
      </c>
      <c r="C420" s="1174"/>
      <c r="D420" s="1284"/>
      <c r="G420" s="1241"/>
      <c r="H420" s="1071"/>
      <c r="I420" s="639"/>
      <c r="J420" s="639"/>
      <c r="K420" s="639"/>
      <c r="L420" s="639"/>
      <c r="M420" s="1237"/>
      <c r="N420" s="1237"/>
      <c r="O420" s="1237"/>
      <c r="P420" s="1238"/>
      <c r="Q420" s="1239"/>
      <c r="S420" s="392"/>
      <c r="T420" s="364"/>
    </row>
    <row r="421" spans="1:35">
      <c r="A421" s="210"/>
      <c r="B421" s="1285" t="s">
        <v>104</v>
      </c>
      <c r="C421" s="1114"/>
      <c r="D421" s="1286"/>
      <c r="G421" s="1241"/>
      <c r="H421" s="1071"/>
      <c r="I421" s="639"/>
      <c r="J421" s="639"/>
      <c r="K421" s="639"/>
      <c r="L421" s="639"/>
      <c r="M421" s="1237"/>
      <c r="N421" s="1237"/>
      <c r="O421" s="1237"/>
      <c r="P421" s="1238"/>
      <c r="Q421" s="1239"/>
      <c r="S421" s="267"/>
      <c r="T421" s="364"/>
    </row>
    <row r="422" spans="1:35">
      <c r="A422" s="210"/>
      <c r="B422" s="1285" t="s">
        <v>274</v>
      </c>
      <c r="C422" s="1114"/>
      <c r="D422" s="1286"/>
      <c r="G422" s="1240"/>
      <c r="H422" s="1052"/>
      <c r="I422" s="641"/>
      <c r="J422" s="641"/>
      <c r="K422" s="641"/>
      <c r="L422" s="641"/>
      <c r="M422" s="1234"/>
      <c r="N422" s="1234"/>
      <c r="O422" s="1234"/>
      <c r="P422" s="1235"/>
      <c r="Q422" s="1236"/>
      <c r="S422" s="267"/>
      <c r="T422" s="364"/>
    </row>
    <row r="423" spans="1:35">
      <c r="A423" s="210"/>
      <c r="B423" s="1285" t="s">
        <v>106</v>
      </c>
      <c r="C423" s="1114"/>
      <c r="D423" s="1286"/>
      <c r="G423" s="1240"/>
      <c r="H423" s="1052"/>
      <c r="I423" s="641"/>
      <c r="J423" s="641"/>
      <c r="K423" s="641"/>
      <c r="L423" s="641"/>
      <c r="M423" s="1234"/>
      <c r="N423" s="1234"/>
      <c r="O423" s="1234"/>
      <c r="P423" s="1235"/>
      <c r="Q423" s="1236"/>
      <c r="S423" s="267"/>
      <c r="T423" s="364"/>
    </row>
    <row r="424" spans="1:35">
      <c r="A424" s="210"/>
      <c r="B424" s="1285" t="s">
        <v>107</v>
      </c>
      <c r="C424" s="1114"/>
      <c r="D424" s="1286"/>
      <c r="G424" s="1240"/>
      <c r="H424" s="1052"/>
      <c r="I424" s="641"/>
      <c r="J424" s="641"/>
      <c r="K424" s="641"/>
      <c r="L424" s="641"/>
      <c r="M424" s="1234"/>
      <c r="N424" s="1234"/>
      <c r="O424" s="1234"/>
      <c r="P424" s="1235"/>
      <c r="Q424" s="1236"/>
      <c r="S424" s="267"/>
      <c r="T424" s="364"/>
    </row>
    <row r="425" spans="1:35">
      <c r="A425" s="210"/>
      <c r="B425" s="1285" t="s">
        <v>32</v>
      </c>
      <c r="C425" s="1114"/>
      <c r="D425" s="1286"/>
      <c r="G425" s="1240"/>
      <c r="H425" s="1052"/>
      <c r="I425" s="641"/>
      <c r="J425" s="641"/>
      <c r="K425" s="641"/>
      <c r="L425" s="641"/>
      <c r="M425" s="1234"/>
      <c r="N425" s="1234"/>
      <c r="O425" s="1234"/>
      <c r="P425" s="1235"/>
      <c r="Q425" s="1236"/>
      <c r="S425" s="267"/>
      <c r="T425" s="364"/>
    </row>
    <row r="426" spans="1:35">
      <c r="A426" s="210"/>
      <c r="B426" s="1285" t="s">
        <v>276</v>
      </c>
      <c r="C426" s="1114"/>
      <c r="D426" s="1286"/>
      <c r="G426" s="1240"/>
      <c r="H426" s="1052"/>
      <c r="I426" s="641"/>
      <c r="J426" s="641"/>
      <c r="K426" s="641"/>
      <c r="L426" s="641"/>
      <c r="M426" s="1234"/>
      <c r="N426" s="1234"/>
      <c r="O426" s="1234"/>
      <c r="P426" s="1235"/>
      <c r="Q426" s="1236"/>
      <c r="S426" s="267"/>
      <c r="T426" s="364"/>
    </row>
    <row r="427" spans="1:35">
      <c r="A427" s="210"/>
      <c r="B427" s="1285" t="s">
        <v>108</v>
      </c>
      <c r="C427" s="1114"/>
      <c r="D427" s="1286"/>
      <c r="G427" s="1240"/>
      <c r="H427" s="1052"/>
      <c r="I427" s="641"/>
      <c r="J427" s="641"/>
      <c r="K427" s="641"/>
      <c r="L427" s="641"/>
      <c r="M427" s="1234"/>
      <c r="N427" s="1234"/>
      <c r="O427" s="1234"/>
      <c r="P427" s="1235"/>
      <c r="Q427" s="1236"/>
      <c r="S427" s="267"/>
      <c r="T427" s="364"/>
    </row>
    <row r="428" spans="1:35">
      <c r="A428" s="210"/>
      <c r="B428" s="1285" t="s">
        <v>109</v>
      </c>
      <c r="C428" s="1114"/>
      <c r="D428" s="1286"/>
      <c r="G428" s="1240"/>
      <c r="H428" s="1052"/>
      <c r="I428" s="641"/>
      <c r="J428" s="641"/>
      <c r="K428" s="641"/>
      <c r="L428" s="641"/>
      <c r="M428" s="1234"/>
      <c r="N428" s="1234"/>
      <c r="O428" s="1234"/>
      <c r="P428" s="1235"/>
      <c r="Q428" s="1236"/>
      <c r="S428" s="267"/>
      <c r="T428" s="364"/>
      <c r="U428" s="364"/>
    </row>
    <row r="429" spans="1:35">
      <c r="A429" s="210"/>
      <c r="B429" s="1285" t="s">
        <v>275</v>
      </c>
      <c r="C429" s="1114"/>
      <c r="D429" s="1286"/>
      <c r="G429" s="1240"/>
      <c r="H429" s="1052"/>
      <c r="I429" s="641"/>
      <c r="J429" s="641"/>
      <c r="K429" s="641"/>
      <c r="L429" s="641"/>
      <c r="M429" s="1234"/>
      <c r="N429" s="1234"/>
      <c r="O429" s="1234"/>
      <c r="P429" s="1235"/>
      <c r="Q429" s="1236"/>
      <c r="S429" s="267"/>
      <c r="T429" s="364"/>
      <c r="U429" s="364"/>
    </row>
    <row r="430" spans="1:35">
      <c r="A430" s="210"/>
      <c r="B430" s="1285" t="s">
        <v>110</v>
      </c>
      <c r="C430" s="1114"/>
      <c r="D430" s="1286"/>
      <c r="G430" s="1240"/>
      <c r="H430" s="1052"/>
      <c r="I430" s="641"/>
      <c r="J430" s="641"/>
      <c r="K430" s="641"/>
      <c r="L430" s="641"/>
      <c r="M430" s="1234"/>
      <c r="N430" s="1234"/>
      <c r="O430" s="1234"/>
      <c r="P430" s="1235"/>
      <c r="Q430" s="1236"/>
      <c r="S430" s="267"/>
      <c r="T430" s="364"/>
      <c r="U430" s="364"/>
    </row>
    <row r="431" spans="1:35" ht="15.75" thickBot="1">
      <c r="A431" s="210"/>
      <c r="B431" s="1290" t="s">
        <v>273</v>
      </c>
      <c r="C431" s="1291"/>
      <c r="D431" s="1292"/>
      <c r="G431" s="1240"/>
      <c r="H431" s="1052"/>
      <c r="I431" s="641"/>
      <c r="J431" s="641"/>
      <c r="K431" s="641"/>
      <c r="L431" s="641"/>
      <c r="M431" s="1234"/>
      <c r="N431" s="1234"/>
      <c r="O431" s="1234"/>
      <c r="P431" s="1235"/>
      <c r="Q431" s="1236"/>
      <c r="S431" s="267"/>
      <c r="T431" s="364"/>
    </row>
    <row r="432" spans="1:35">
      <c r="A432" s="210"/>
      <c r="B432" s="378"/>
      <c r="G432" s="1240"/>
      <c r="H432" s="1052"/>
      <c r="I432" s="641"/>
      <c r="J432" s="641"/>
      <c r="K432" s="641"/>
      <c r="L432" s="641"/>
      <c r="M432" s="1234"/>
      <c r="N432" s="1234"/>
      <c r="O432" s="1234"/>
      <c r="P432" s="1235"/>
      <c r="Q432" s="1236"/>
      <c r="S432" s="267"/>
      <c r="T432" s="364"/>
    </row>
    <row r="433" spans="1:20" ht="15.75" thickBot="1">
      <c r="A433" s="210"/>
      <c r="B433" s="281" t="s">
        <v>184</v>
      </c>
      <c r="C433" s="215"/>
      <c r="D433" s="215"/>
      <c r="G433" s="1303"/>
      <c r="H433" s="1304"/>
      <c r="I433" s="646"/>
      <c r="J433" s="646"/>
      <c r="K433" s="646"/>
      <c r="L433" s="646"/>
      <c r="M433" s="1296"/>
      <c r="N433" s="1296"/>
      <c r="O433" s="1296"/>
      <c r="P433" s="1297"/>
      <c r="Q433" s="1298"/>
      <c r="S433" s="267"/>
      <c r="T433" s="364"/>
    </row>
    <row r="434" spans="1:20" ht="15.75" thickBot="1">
      <c r="A434" s="210"/>
      <c r="B434" s="281"/>
      <c r="C434" s="215"/>
      <c r="D434" s="215"/>
      <c r="S434" s="267"/>
      <c r="T434" s="364"/>
    </row>
    <row r="435" spans="1:20">
      <c r="A435" s="210"/>
      <c r="B435" s="1293" t="s">
        <v>111</v>
      </c>
      <c r="C435" s="1294"/>
      <c r="D435" s="1295"/>
      <c r="S435" s="267"/>
      <c r="T435" s="364"/>
    </row>
    <row r="436" spans="1:20" ht="15.75" thickBot="1">
      <c r="A436" s="210"/>
      <c r="B436" s="1287" t="s">
        <v>112</v>
      </c>
      <c r="C436" s="1288"/>
      <c r="D436" s="1289"/>
      <c r="S436" s="267"/>
      <c r="T436" s="364"/>
    </row>
    <row r="437" spans="1:20">
      <c r="A437" s="210"/>
      <c r="B437" s="378"/>
      <c r="C437" s="215"/>
      <c r="D437" s="215"/>
      <c r="S437" s="267"/>
      <c r="T437" s="364"/>
    </row>
    <row r="438" spans="1:20">
      <c r="A438" s="210"/>
      <c r="B438" s="281" t="s">
        <v>113</v>
      </c>
      <c r="C438" s="215"/>
      <c r="D438" s="215"/>
      <c r="S438" s="267"/>
      <c r="T438" s="364"/>
    </row>
    <row r="439" spans="1:20" ht="15.75" thickBot="1">
      <c r="A439" s="210"/>
      <c r="B439" s="281"/>
      <c r="C439" s="215"/>
      <c r="D439" s="215"/>
      <c r="S439" s="267"/>
      <c r="T439" s="364"/>
    </row>
    <row r="440" spans="1:20">
      <c r="A440" s="210"/>
      <c r="B440" s="1293" t="s">
        <v>284</v>
      </c>
      <c r="C440" s="1294"/>
      <c r="D440" s="1295"/>
    </row>
    <row r="441" spans="1:20">
      <c r="A441" s="210"/>
      <c r="B441" s="1285" t="s">
        <v>23</v>
      </c>
      <c r="C441" s="1114"/>
      <c r="D441" s="1286"/>
    </row>
    <row r="442" spans="1:20">
      <c r="A442" s="210"/>
      <c r="B442" s="1285" t="s">
        <v>24</v>
      </c>
      <c r="C442" s="1114"/>
      <c r="D442" s="1286"/>
    </row>
    <row r="443" spans="1:20">
      <c r="A443" s="210"/>
      <c r="B443" s="1285" t="s">
        <v>114</v>
      </c>
      <c r="C443" s="1114"/>
      <c r="D443" s="1286"/>
    </row>
    <row r="444" spans="1:20">
      <c r="A444" s="210"/>
      <c r="B444" s="1285" t="s">
        <v>35</v>
      </c>
      <c r="C444" s="1114"/>
      <c r="D444" s="1286"/>
    </row>
    <row r="445" spans="1:20">
      <c r="A445" s="210"/>
      <c r="B445" s="1283" t="s">
        <v>285</v>
      </c>
      <c r="C445" s="1174"/>
      <c r="D445" s="1284"/>
    </row>
    <row r="446" spans="1:20">
      <c r="A446" s="210"/>
      <c r="B446" s="1285" t="s">
        <v>286</v>
      </c>
      <c r="C446" s="1114"/>
      <c r="D446" s="1286"/>
    </row>
    <row r="447" spans="1:20" ht="15.75" thickBot="1">
      <c r="A447" s="210"/>
      <c r="B447" s="1287" t="s">
        <v>262</v>
      </c>
      <c r="C447" s="1288"/>
      <c r="D447" s="1289"/>
    </row>
    <row r="448" spans="1:20">
      <c r="A448" s="210"/>
      <c r="B448" s="397"/>
      <c r="C448" s="205"/>
      <c r="D448" s="205"/>
      <c r="E448" s="205"/>
      <c r="F448" s="205"/>
      <c r="G448" s="205"/>
      <c r="H448" s="205"/>
      <c r="I448" s="205"/>
      <c r="J448" s="205"/>
      <c r="K448" s="205"/>
      <c r="L448" s="205"/>
      <c r="M448" s="205"/>
      <c r="N448" s="205"/>
      <c r="O448" s="205"/>
      <c r="P448" s="205"/>
    </row>
  </sheetData>
  <sheetProtection formatCells="0" formatColumns="0" formatRows="0"/>
  <customSheetViews>
    <customSheetView guid="{B6007CFB-3D06-43CC-8EB0-042D40129E35}" scale="80" showGridLines="0">
      <selection activeCell="O203" sqref="O203"/>
      <rowBreaks count="3" manualBreakCount="3">
        <brk id="44" max="16383" man="1"/>
        <brk id="786" max="16383" man="1"/>
        <brk id="810" max="16383" man="1"/>
      </rowBreaks>
      <pageMargins left="0.70866141732283472" right="0.70866141732283472" top="0.74803149606299213" bottom="0.74803149606299213" header="0.31496062992125984" footer="0.31496062992125984"/>
      <pageSetup paperSize="9" scale="45" orientation="landscape" r:id="rId1"/>
    </customSheetView>
  </customSheetViews>
  <mergeCells count="564">
    <mergeCell ref="O405:Q405"/>
    <mergeCell ref="O406:Q406"/>
    <mergeCell ref="O407:Q407"/>
    <mergeCell ref="U96:U115"/>
    <mergeCell ref="T96:T115"/>
    <mergeCell ref="O396:Q396"/>
    <mergeCell ref="O397:Q397"/>
    <mergeCell ref="O398:Q398"/>
    <mergeCell ref="O399:Q399"/>
    <mergeCell ref="O400:Q400"/>
    <mergeCell ref="O401:Q401"/>
    <mergeCell ref="O402:Q402"/>
    <mergeCell ref="O403:Q403"/>
    <mergeCell ref="O404:Q404"/>
    <mergeCell ref="O387:Q387"/>
    <mergeCell ref="O388:Q388"/>
    <mergeCell ref="O389:Q389"/>
    <mergeCell ref="O390:Q390"/>
    <mergeCell ref="O391:Q391"/>
    <mergeCell ref="O392:Q392"/>
    <mergeCell ref="O393:Q393"/>
    <mergeCell ref="O394:Q394"/>
    <mergeCell ref="O395:Q395"/>
    <mergeCell ref="T142:T161"/>
    <mergeCell ref="H404:N404"/>
    <mergeCell ref="H405:N405"/>
    <mergeCell ref="B400:D400"/>
    <mergeCell ref="H406:N406"/>
    <mergeCell ref="H407:N407"/>
    <mergeCell ref="H408:N408"/>
    <mergeCell ref="H409:N409"/>
    <mergeCell ref="H410:N410"/>
    <mergeCell ref="H411:N411"/>
    <mergeCell ref="B408:D408"/>
    <mergeCell ref="B409:D409"/>
    <mergeCell ref="B411:D411"/>
    <mergeCell ref="E408:F408"/>
    <mergeCell ref="E409:F409"/>
    <mergeCell ref="E411:F411"/>
    <mergeCell ref="B410:D410"/>
    <mergeCell ref="E410:F410"/>
    <mergeCell ref="H387:N387"/>
    <mergeCell ref="H388:N388"/>
    <mergeCell ref="H389:N389"/>
    <mergeCell ref="H390:N390"/>
    <mergeCell ref="H391:N391"/>
    <mergeCell ref="H392:N392"/>
    <mergeCell ref="H393:N393"/>
    <mergeCell ref="H394:N394"/>
    <mergeCell ref="H395:N395"/>
    <mergeCell ref="H396:N396"/>
    <mergeCell ref="H397:N397"/>
    <mergeCell ref="H398:N398"/>
    <mergeCell ref="H399:N399"/>
    <mergeCell ref="H400:N400"/>
    <mergeCell ref="H401:N401"/>
    <mergeCell ref="H402:N402"/>
    <mergeCell ref="B396:D396"/>
    <mergeCell ref="B397:D397"/>
    <mergeCell ref="B398:D398"/>
    <mergeCell ref="B399:D399"/>
    <mergeCell ref="E387:F387"/>
    <mergeCell ref="E388:F388"/>
    <mergeCell ref="E389:F389"/>
    <mergeCell ref="E390:F390"/>
    <mergeCell ref="E396:F396"/>
    <mergeCell ref="E397:F397"/>
    <mergeCell ref="E398:F398"/>
    <mergeCell ref="B387:D387"/>
    <mergeCell ref="B388:D388"/>
    <mergeCell ref="B389:D389"/>
    <mergeCell ref="B390:D390"/>
    <mergeCell ref="B391:D391"/>
    <mergeCell ref="B392:D392"/>
    <mergeCell ref="B393:D393"/>
    <mergeCell ref="B394:D394"/>
    <mergeCell ref="B395:D395"/>
    <mergeCell ref="AG326:AI326"/>
    <mergeCell ref="AJ326:AL326"/>
    <mergeCell ref="B326:R326"/>
    <mergeCell ref="G432:H432"/>
    <mergeCell ref="G433:H433"/>
    <mergeCell ref="B443:D443"/>
    <mergeCell ref="G430:H430"/>
    <mergeCell ref="B419:D419"/>
    <mergeCell ref="B421:D421"/>
    <mergeCell ref="B422:D422"/>
    <mergeCell ref="B423:D423"/>
    <mergeCell ref="H379:N379"/>
    <mergeCell ref="B442:D442"/>
    <mergeCell ref="S326:U326"/>
    <mergeCell ref="V326:Z326"/>
    <mergeCell ref="AA326:AC326"/>
    <mergeCell ref="AD326:AF326"/>
    <mergeCell ref="E375:F375"/>
    <mergeCell ref="G424:H424"/>
    <mergeCell ref="G425:H425"/>
    <mergeCell ref="E384:F384"/>
    <mergeCell ref="H384:N384"/>
    <mergeCell ref="E385:F385"/>
    <mergeCell ref="H381:N381"/>
    <mergeCell ref="B420:D420"/>
    <mergeCell ref="E383:F383"/>
    <mergeCell ref="B385:D385"/>
    <mergeCell ref="E378:F378"/>
    <mergeCell ref="B373:D373"/>
    <mergeCell ref="O376:Q376"/>
    <mergeCell ref="B374:D374"/>
    <mergeCell ref="B375:D375"/>
    <mergeCell ref="E374:F374"/>
    <mergeCell ref="B402:D402"/>
    <mergeCell ref="B403:D403"/>
    <mergeCell ref="B404:D404"/>
    <mergeCell ref="B405:D405"/>
    <mergeCell ref="B406:D406"/>
    <mergeCell ref="H380:N380"/>
    <mergeCell ref="B401:D401"/>
    <mergeCell ref="B407:D407"/>
    <mergeCell ref="E399:F399"/>
    <mergeCell ref="E400:F400"/>
    <mergeCell ref="E401:F401"/>
    <mergeCell ref="E402:F402"/>
    <mergeCell ref="E403:F403"/>
    <mergeCell ref="E404:F404"/>
    <mergeCell ref="E405:F405"/>
    <mergeCell ref="B382:D382"/>
    <mergeCell ref="E382:F382"/>
    <mergeCell ref="B383:D383"/>
    <mergeCell ref="E373:F373"/>
    <mergeCell ref="B379:D379"/>
    <mergeCell ref="B380:D380"/>
    <mergeCell ref="B384:D384"/>
    <mergeCell ref="B386:D386"/>
    <mergeCell ref="B376:D376"/>
    <mergeCell ref="E386:F386"/>
    <mergeCell ref="O432:Q432"/>
    <mergeCell ref="O433:Q433"/>
    <mergeCell ref="M427:N427"/>
    <mergeCell ref="M428:N428"/>
    <mergeCell ref="M431:N431"/>
    <mergeCell ref="M432:N432"/>
    <mergeCell ref="E391:F391"/>
    <mergeCell ref="E392:F392"/>
    <mergeCell ref="E393:F393"/>
    <mergeCell ref="E394:F394"/>
    <mergeCell ref="E395:F395"/>
    <mergeCell ref="O430:Q430"/>
    <mergeCell ref="M424:N424"/>
    <mergeCell ref="G428:H428"/>
    <mergeCell ref="G427:H427"/>
    <mergeCell ref="G417:M417"/>
    <mergeCell ref="M433:N433"/>
    <mergeCell ref="M422:N422"/>
    <mergeCell ref="M423:N423"/>
    <mergeCell ref="E406:F406"/>
    <mergeCell ref="E407:F407"/>
    <mergeCell ref="O408:Q408"/>
    <mergeCell ref="O409:Q409"/>
    <mergeCell ref="O410:Q410"/>
    <mergeCell ref="B445:D445"/>
    <mergeCell ref="B446:D446"/>
    <mergeCell ref="B447:D447"/>
    <mergeCell ref="B441:D441"/>
    <mergeCell ref="B424:D424"/>
    <mergeCell ref="B425:D425"/>
    <mergeCell ref="B427:D427"/>
    <mergeCell ref="B428:D428"/>
    <mergeCell ref="B431:D431"/>
    <mergeCell ref="B435:D435"/>
    <mergeCell ref="B444:D444"/>
    <mergeCell ref="B436:D436"/>
    <mergeCell ref="B440:D440"/>
    <mergeCell ref="B430:D430"/>
    <mergeCell ref="B429:D429"/>
    <mergeCell ref="B426:D426"/>
    <mergeCell ref="B355:C355"/>
    <mergeCell ref="E377:F377"/>
    <mergeCell ref="H377:N377"/>
    <mergeCell ref="O377:Q377"/>
    <mergeCell ref="B381:D381"/>
    <mergeCell ref="O380:Q380"/>
    <mergeCell ref="H373:N373"/>
    <mergeCell ref="O373:Q373"/>
    <mergeCell ref="H376:N376"/>
    <mergeCell ref="H369:N369"/>
    <mergeCell ref="O369:Q369"/>
    <mergeCell ref="E376:F376"/>
    <mergeCell ref="E379:F379"/>
    <mergeCell ref="E380:F380"/>
    <mergeCell ref="H378:N378"/>
    <mergeCell ref="O378:Q378"/>
    <mergeCell ref="E381:F381"/>
    <mergeCell ref="B378:D378"/>
    <mergeCell ref="O381:Q381"/>
    <mergeCell ref="H374:N374"/>
    <mergeCell ref="H375:N375"/>
    <mergeCell ref="O374:Q374"/>
    <mergeCell ref="O375:Q375"/>
    <mergeCell ref="O372:Q372"/>
    <mergeCell ref="D342:G342"/>
    <mergeCell ref="H342:Q342"/>
    <mergeCell ref="B343:C343"/>
    <mergeCell ref="D343:G343"/>
    <mergeCell ref="H343:Q343"/>
    <mergeCell ref="B344:C344"/>
    <mergeCell ref="D344:G344"/>
    <mergeCell ref="H347:Q347"/>
    <mergeCell ref="B348:C348"/>
    <mergeCell ref="D338:G338"/>
    <mergeCell ref="H338:Q338"/>
    <mergeCell ref="H333:Q333"/>
    <mergeCell ref="D335:G335"/>
    <mergeCell ref="H335:Q335"/>
    <mergeCell ref="B330:Q330"/>
    <mergeCell ref="B332:C332"/>
    <mergeCell ref="D332:G332"/>
    <mergeCell ref="H332:Q332"/>
    <mergeCell ref="B336:C336"/>
    <mergeCell ref="D336:G336"/>
    <mergeCell ref="H336:Q336"/>
    <mergeCell ref="D333:G333"/>
    <mergeCell ref="B334:C334"/>
    <mergeCell ref="D334:G334"/>
    <mergeCell ref="H334:Q334"/>
    <mergeCell ref="B335:C335"/>
    <mergeCell ref="B333:C333"/>
    <mergeCell ref="B341:C341"/>
    <mergeCell ref="D341:G341"/>
    <mergeCell ref="H341:Q341"/>
    <mergeCell ref="H370:N370"/>
    <mergeCell ref="O379:Q379"/>
    <mergeCell ref="E371:F371"/>
    <mergeCell ref="D348:G348"/>
    <mergeCell ref="H348:Q348"/>
    <mergeCell ref="B371:D371"/>
    <mergeCell ref="B372:D372"/>
    <mergeCell ref="H350:Q350"/>
    <mergeCell ref="B347:C347"/>
    <mergeCell ref="D347:G347"/>
    <mergeCell ref="B370:D370"/>
    <mergeCell ref="B368:D368"/>
    <mergeCell ref="B369:D369"/>
    <mergeCell ref="E369:F369"/>
    <mergeCell ref="H368:N368"/>
    <mergeCell ref="O370:Q370"/>
    <mergeCell ref="E370:F370"/>
    <mergeCell ref="O368:Q368"/>
    <mergeCell ref="D351:G351"/>
    <mergeCell ref="H351:Q351"/>
    <mergeCell ref="B342:C342"/>
    <mergeCell ref="B339:C339"/>
    <mergeCell ref="D339:G339"/>
    <mergeCell ref="H339:Q339"/>
    <mergeCell ref="B337:C337"/>
    <mergeCell ref="D337:G337"/>
    <mergeCell ref="H337:Q337"/>
    <mergeCell ref="B338:C338"/>
    <mergeCell ref="B363:C363"/>
    <mergeCell ref="B360:C360"/>
    <mergeCell ref="D360:G360"/>
    <mergeCell ref="H360:Q360"/>
    <mergeCell ref="B361:C361"/>
    <mergeCell ref="D361:G361"/>
    <mergeCell ref="H361:Q361"/>
    <mergeCell ref="B362:C362"/>
    <mergeCell ref="D362:G362"/>
    <mergeCell ref="H362:Q362"/>
    <mergeCell ref="H346:Q346"/>
    <mergeCell ref="H344:Q344"/>
    <mergeCell ref="B350:C350"/>
    <mergeCell ref="D350:G350"/>
    <mergeCell ref="B340:C340"/>
    <mergeCell ref="D340:G340"/>
    <mergeCell ref="H340:Q340"/>
    <mergeCell ref="B56:F56"/>
    <mergeCell ref="G56:Q56"/>
    <mergeCell ref="B54:F54"/>
    <mergeCell ref="B55:F55"/>
    <mergeCell ref="G55:Q55"/>
    <mergeCell ref="B88:F88"/>
    <mergeCell ref="B61:F61"/>
    <mergeCell ref="B46:F46"/>
    <mergeCell ref="G46:Q46"/>
    <mergeCell ref="B47:F47"/>
    <mergeCell ref="B75:F75"/>
    <mergeCell ref="G75:Q75"/>
    <mergeCell ref="B66:F66"/>
    <mergeCell ref="G66:Q66"/>
    <mergeCell ref="B70:F70"/>
    <mergeCell ref="G70:Q70"/>
    <mergeCell ref="B71:F71"/>
    <mergeCell ref="G67:Q67"/>
    <mergeCell ref="B65:F65"/>
    <mergeCell ref="B57:F57"/>
    <mergeCell ref="G57:Q57"/>
    <mergeCell ref="B58:F58"/>
    <mergeCell ref="G58:Q58"/>
    <mergeCell ref="B60:F60"/>
    <mergeCell ref="G54:Q54"/>
    <mergeCell ref="G47:Q47"/>
    <mergeCell ref="B48:F48"/>
    <mergeCell ref="G48:Q48"/>
    <mergeCell ref="B49:F49"/>
    <mergeCell ref="G49:Q49"/>
    <mergeCell ref="B50:F50"/>
    <mergeCell ref="G50:Q50"/>
    <mergeCell ref="B51:F51"/>
    <mergeCell ref="G51:Q51"/>
    <mergeCell ref="B52:F52"/>
    <mergeCell ref="G52:Q52"/>
    <mergeCell ref="B53:F53"/>
    <mergeCell ref="G53:Q53"/>
    <mergeCell ref="G71:Q71"/>
    <mergeCell ref="R71:S71"/>
    <mergeCell ref="B77:F77"/>
    <mergeCell ref="G77:Q77"/>
    <mergeCell ref="B72:F72"/>
    <mergeCell ref="G72:Q72"/>
    <mergeCell ref="R72:S72"/>
    <mergeCell ref="G61:Q61"/>
    <mergeCell ref="B89:F89"/>
    <mergeCell ref="G89:Q89"/>
    <mergeCell ref="R74:S74"/>
    <mergeCell ref="R66:S66"/>
    <mergeCell ref="R70:S70"/>
    <mergeCell ref="R67:S67"/>
    <mergeCell ref="R64:S64"/>
    <mergeCell ref="R65:S65"/>
    <mergeCell ref="B63:F63"/>
    <mergeCell ref="G63:Q63"/>
    <mergeCell ref="R63:S63"/>
    <mergeCell ref="B64:F64"/>
    <mergeCell ref="B67:F67"/>
    <mergeCell ref="B59:F59"/>
    <mergeCell ref="G59:Q59"/>
    <mergeCell ref="B68:F68"/>
    <mergeCell ref="G68:Q68"/>
    <mergeCell ref="R68:S68"/>
    <mergeCell ref="G64:Q64"/>
    <mergeCell ref="G65:Q65"/>
    <mergeCell ref="G60:Q60"/>
    <mergeCell ref="B86:S86"/>
    <mergeCell ref="R73:S73"/>
    <mergeCell ref="B74:F74"/>
    <mergeCell ref="G74:Q74"/>
    <mergeCell ref="B69:F69"/>
    <mergeCell ref="G69:Q69"/>
    <mergeCell ref="B73:F73"/>
    <mergeCell ref="G73:Q73"/>
    <mergeCell ref="L94:M94"/>
    <mergeCell ref="J94:K94"/>
    <mergeCell ref="P94:Q94"/>
    <mergeCell ref="N94:O94"/>
    <mergeCell ref="G76:Q76"/>
    <mergeCell ref="R76:S76"/>
    <mergeCell ref="R69:S69"/>
    <mergeCell ref="B93:T93"/>
    <mergeCell ref="G88:Q88"/>
    <mergeCell ref="B82:Q82"/>
    <mergeCell ref="R75:S75"/>
    <mergeCell ref="B76:F76"/>
    <mergeCell ref="R77:S77"/>
    <mergeCell ref="B78:F78"/>
    <mergeCell ref="G78:Q78"/>
    <mergeCell ref="R78:S78"/>
    <mergeCell ref="B356:C356"/>
    <mergeCell ref="D356:G356"/>
    <mergeCell ref="H356:Q356"/>
    <mergeCell ref="B366:F366"/>
    <mergeCell ref="D358:G358"/>
    <mergeCell ref="H358:Q358"/>
    <mergeCell ref="B359:C359"/>
    <mergeCell ref="D359:G359"/>
    <mergeCell ref="H359:Q359"/>
    <mergeCell ref="B357:C357"/>
    <mergeCell ref="D357:G357"/>
    <mergeCell ref="H357:Q357"/>
    <mergeCell ref="B358:C358"/>
    <mergeCell ref="G431:H431"/>
    <mergeCell ref="E372:F372"/>
    <mergeCell ref="B377:D377"/>
    <mergeCell ref="B345:C345"/>
    <mergeCell ref="D345:G345"/>
    <mergeCell ref="H345:Q345"/>
    <mergeCell ref="E368:F368"/>
    <mergeCell ref="B349:C349"/>
    <mergeCell ref="D349:G349"/>
    <mergeCell ref="H349:Q349"/>
    <mergeCell ref="B346:C346"/>
    <mergeCell ref="D346:G346"/>
    <mergeCell ref="B351:C351"/>
    <mergeCell ref="B352:C352"/>
    <mergeCell ref="D352:G352"/>
    <mergeCell ref="H352:Q352"/>
    <mergeCell ref="B353:C353"/>
    <mergeCell ref="D353:G353"/>
    <mergeCell ref="H353:Q353"/>
    <mergeCell ref="B354:C354"/>
    <mergeCell ref="D354:G354"/>
    <mergeCell ref="H354:Q354"/>
    <mergeCell ref="D355:G355"/>
    <mergeCell ref="H355:Q355"/>
    <mergeCell ref="M425:N425"/>
    <mergeCell ref="G421:H421"/>
    <mergeCell ref="G422:H422"/>
    <mergeCell ref="G423:H423"/>
    <mergeCell ref="H371:N371"/>
    <mergeCell ref="O371:Q371"/>
    <mergeCell ref="O384:Q384"/>
    <mergeCell ref="O382:Q382"/>
    <mergeCell ref="H383:N383"/>
    <mergeCell ref="O383:Q383"/>
    <mergeCell ref="H385:N385"/>
    <mergeCell ref="H382:N382"/>
    <mergeCell ref="O385:Q385"/>
    <mergeCell ref="O419:Q419"/>
    <mergeCell ref="O421:Q421"/>
    <mergeCell ref="G419:H419"/>
    <mergeCell ref="G415:Q415"/>
    <mergeCell ref="M419:N419"/>
    <mergeCell ref="M421:N421"/>
    <mergeCell ref="H386:N386"/>
    <mergeCell ref="O386:Q386"/>
    <mergeCell ref="H372:N372"/>
    <mergeCell ref="O411:Q411"/>
    <mergeCell ref="H403:N403"/>
    <mergeCell ref="D11:E11"/>
    <mergeCell ref="F11:H11"/>
    <mergeCell ref="I11:J11"/>
    <mergeCell ref="D12:E12"/>
    <mergeCell ref="F12:H12"/>
    <mergeCell ref="O431:Q431"/>
    <mergeCell ref="M420:N420"/>
    <mergeCell ref="M430:N430"/>
    <mergeCell ref="D363:G363"/>
    <mergeCell ref="H366:Q366"/>
    <mergeCell ref="O420:Q420"/>
    <mergeCell ref="G426:H426"/>
    <mergeCell ref="M426:N426"/>
    <mergeCell ref="O426:Q426"/>
    <mergeCell ref="G429:H429"/>
    <mergeCell ref="M429:N429"/>
    <mergeCell ref="O429:Q429"/>
    <mergeCell ref="O427:Q427"/>
    <mergeCell ref="O428:Q428"/>
    <mergeCell ref="G420:H420"/>
    <mergeCell ref="O422:Q422"/>
    <mergeCell ref="O423:Q423"/>
    <mergeCell ref="O424:Q424"/>
    <mergeCell ref="O425:Q425"/>
    <mergeCell ref="D8:E8"/>
    <mergeCell ref="F8:H8"/>
    <mergeCell ref="I8:J8"/>
    <mergeCell ref="D9:E9"/>
    <mergeCell ref="F9:H9"/>
    <mergeCell ref="I9:J9"/>
    <mergeCell ref="D10:E10"/>
    <mergeCell ref="F10:H10"/>
    <mergeCell ref="I10:J10"/>
    <mergeCell ref="D5:E5"/>
    <mergeCell ref="F5:H5"/>
    <mergeCell ref="I5:J5"/>
    <mergeCell ref="D6:E6"/>
    <mergeCell ref="F6:H6"/>
    <mergeCell ref="I6:J6"/>
    <mergeCell ref="D7:E7"/>
    <mergeCell ref="F7:H7"/>
    <mergeCell ref="I7:J7"/>
    <mergeCell ref="D22:E22"/>
    <mergeCell ref="F22:H22"/>
    <mergeCell ref="I22:J22"/>
    <mergeCell ref="B24:N24"/>
    <mergeCell ref="B32:N32"/>
    <mergeCell ref="I12:J12"/>
    <mergeCell ref="D13:E13"/>
    <mergeCell ref="F13:H13"/>
    <mergeCell ref="I13:J13"/>
    <mergeCell ref="D14:E14"/>
    <mergeCell ref="F14:H14"/>
    <mergeCell ref="I14:J14"/>
    <mergeCell ref="D15:E15"/>
    <mergeCell ref="F15:H15"/>
    <mergeCell ref="I15:J15"/>
    <mergeCell ref="D16:E16"/>
    <mergeCell ref="F16:H16"/>
    <mergeCell ref="I16:J16"/>
    <mergeCell ref="D17:E17"/>
    <mergeCell ref="F17:H17"/>
    <mergeCell ref="I17:J17"/>
    <mergeCell ref="D18:E18"/>
    <mergeCell ref="F18:H18"/>
    <mergeCell ref="I18:J18"/>
    <mergeCell ref="D19:E19"/>
    <mergeCell ref="F19:H19"/>
    <mergeCell ref="I19:J19"/>
    <mergeCell ref="D20:E20"/>
    <mergeCell ref="F20:H20"/>
    <mergeCell ref="I20:J20"/>
    <mergeCell ref="D21:E21"/>
    <mergeCell ref="F21:H21"/>
    <mergeCell ref="I21:J21"/>
    <mergeCell ref="J117:K117"/>
    <mergeCell ref="L117:M117"/>
    <mergeCell ref="N117:O117"/>
    <mergeCell ref="P117:Q117"/>
    <mergeCell ref="T119:T138"/>
    <mergeCell ref="U119:U138"/>
    <mergeCell ref="J140:K140"/>
    <mergeCell ref="L140:M140"/>
    <mergeCell ref="N140:O140"/>
    <mergeCell ref="P140:Q140"/>
    <mergeCell ref="U142:U161"/>
    <mergeCell ref="J163:K163"/>
    <mergeCell ref="L163:M163"/>
    <mergeCell ref="N163:O163"/>
    <mergeCell ref="P163:Q163"/>
    <mergeCell ref="T165:T184"/>
    <mergeCell ref="U165:U184"/>
    <mergeCell ref="J186:K186"/>
    <mergeCell ref="L186:M186"/>
    <mergeCell ref="N186:O186"/>
    <mergeCell ref="P186:Q186"/>
    <mergeCell ref="T257:T276"/>
    <mergeCell ref="U257:U276"/>
    <mergeCell ref="J278:K278"/>
    <mergeCell ref="L278:M278"/>
    <mergeCell ref="N278:O278"/>
    <mergeCell ref="P278:Q278"/>
    <mergeCell ref="T188:T207"/>
    <mergeCell ref="U188:U207"/>
    <mergeCell ref="J209:K209"/>
    <mergeCell ref="L209:M209"/>
    <mergeCell ref="N209:O209"/>
    <mergeCell ref="P209:Q209"/>
    <mergeCell ref="T211:T230"/>
    <mergeCell ref="U211:U230"/>
    <mergeCell ref="J232:K232"/>
    <mergeCell ref="L232:M232"/>
    <mergeCell ref="N232:O232"/>
    <mergeCell ref="P232:Q232"/>
    <mergeCell ref="T280:T299"/>
    <mergeCell ref="U280:U299"/>
    <mergeCell ref="J301:K301"/>
    <mergeCell ref="L301:M301"/>
    <mergeCell ref="N301:O301"/>
    <mergeCell ref="P301:Q301"/>
    <mergeCell ref="T303:T322"/>
    <mergeCell ref="U303:U322"/>
    <mergeCell ref="B96:B115"/>
    <mergeCell ref="B119:B138"/>
    <mergeCell ref="B142:B161"/>
    <mergeCell ref="B165:B184"/>
    <mergeCell ref="B188:B207"/>
    <mergeCell ref="B211:B230"/>
    <mergeCell ref="B234:B253"/>
    <mergeCell ref="B257:B276"/>
    <mergeCell ref="B280:B299"/>
    <mergeCell ref="B303:B322"/>
    <mergeCell ref="T234:T253"/>
    <mergeCell ref="U234:U253"/>
    <mergeCell ref="J255:K255"/>
    <mergeCell ref="L255:M255"/>
    <mergeCell ref="N255:O255"/>
    <mergeCell ref="P255:Q255"/>
  </mergeCells>
  <dataValidations count="13">
    <dataValidation type="list" allowBlank="1" showInputMessage="1" showErrorMessage="1" sqref="O420:Q433">
      <formula1>PensionerElements</formula1>
    </dataValidation>
    <dataValidation type="list" allowBlank="1" showInputMessage="1" showErrorMessage="1" sqref="G420:N433">
      <formula1>AllPensionerElements</formula1>
    </dataValidation>
    <dataValidation type="list" allowBlank="1" showInputMessage="1" showErrorMessage="1" sqref="B333:C362">
      <formula1>"Validation, Error, Warning"</formula1>
    </dataValidation>
    <dataValidation type="list" allowBlank="1" showInputMessage="1" showErrorMessage="1" sqref="J96:K115 J303:K322 J280:K299 J257:K276 J234:K253 J211:K230 J188:K207 J165:K184 J142:K161 J119:K138">
      <formula1>"ERF1,ERF2,ERF3,ERF4,ERF5,ERF6,ERF7,ERF8,ERF9,ERF10"</formula1>
    </dataValidation>
    <dataValidation type="list" allowBlank="1" showInputMessage="1" showErrorMessage="1" sqref="N96:O115 N303:O322 N280:O299 N257:O276 N234:O253 N211:O230 N188:O207 N165:O184 N142:O161 N119:O138">
      <formula1>"LRF1,LRF2,LRF3,LRF4,LRF5,LRF6,LRF7,LRF8,LRF9,LRF10"</formula1>
    </dataValidation>
    <dataValidation type="list" allowBlank="1" showInputMessage="1" showErrorMessage="1" sqref="S96:S115 S303:S322 S280:S299 S257:S276 S234:S253 S211:S230 S188:S207 S165:S184 S142:S161 S119:S138">
      <formula1>"Up,Down,Nearest"</formula1>
    </dataValidation>
    <dataValidation type="list" allowBlank="1" showInputMessage="1" showErrorMessage="1" sqref="R64:R78">
      <formula1>"Error, Warning"</formula1>
    </dataValidation>
    <dataValidation type="list" allowBlank="1" showInputMessage="1" showErrorMessage="1" sqref="G88:Q88">
      <formula1>"Yes, No"</formula1>
    </dataValidation>
    <dataValidation type="list" allowBlank="1" showInputMessage="1" showErrorMessage="1" sqref="N91:N92 N87 N84:N85">
      <formula1>$AG$43:$AG$62</formula1>
    </dataValidation>
    <dataValidation type="list" allowBlank="1" showInputMessage="1" showErrorMessage="1" sqref="O91:P92 O87:P87 O84:P85">
      <formula1>$AH$43:$AH$62</formula1>
    </dataValidation>
    <dataValidation type="list" allowBlank="1" showInputMessage="1" showErrorMessage="1" sqref="M91:M92 M87 M84:M85">
      <formula1>$AF$43:$AF$62</formula1>
    </dataValidation>
    <dataValidation type="list" allowBlank="1" showInputMessage="1" showErrorMessage="1" sqref="D33:F42">
      <formula1>"Final aSlary, Money Purchase, Hybrid"</formula1>
    </dataValidation>
    <dataValidation type="list" allowBlank="1" showInputMessage="1" showErrorMessage="1" sqref="G89:Q89">
      <formula1>"None,Revalue to Tranche NRD,Revalue to Current NRD,Revalue to Max of NRD and DOR"</formula1>
    </dataValidation>
  </dataValidations>
  <hyperlinks>
    <hyperlink ref="B25" location="AR_Categories" display="Categories / Sections of Membership Covered"/>
    <hyperlink ref="B26" location="AR_Members_Pension" display="Members Pension"/>
    <hyperlink ref="B27" location="AR_Tranches" display="Tranches"/>
    <hyperlink ref="B28" location="AR_Errors_Warnings" display="Scheme Specific Validations, Errors &amp; Warnings"/>
    <hyperlink ref="B29" location="AR_Letters" display="Letters"/>
    <hyperlink ref="B30" location="AR_Writeback" display="Fields to be posted to the Database"/>
    <hyperlink ref="B33" location="Scheme_Categories" display="Scheme Categories"/>
    <hyperlink ref="B34" location="Contracted_Out" display="Contracted Out"/>
    <hyperlink ref="B35" location="NRA" display="NRA"/>
    <hyperlink ref="B36" location="Pensionable_Salary" display="Pensionable Salary "/>
    <hyperlink ref="B37" location="Career_Average_Revalued_Earnings__CARE" display="Career Average Revalued Earnings (CARE)"/>
    <hyperlink ref="B38" location="Final_Pensionable_Salary" display="Final Pensionable Salary "/>
    <hyperlink ref="B39" location="Pensionable_Service" display="Pensionable Service "/>
    <hyperlink ref="B40" location="Part_Time" display="Part Time"/>
    <hyperlink ref="B41" location="Escalation" display="Escalation"/>
    <hyperlink ref="B42" location="Historic_Benefits" display="Historic Benefits"/>
    <hyperlink ref="G34" location="AVCs" display="AVCs"/>
    <hyperlink ref="G35" location="DC" display="DC"/>
    <hyperlink ref="G36" location="PCLS_Calculation" display="PCLS Calculation"/>
    <hyperlink ref="G37" location="Commutation_Residual_Pension" display="Commutation/Residual Pension"/>
    <hyperlink ref="G38" location="Additional_Cash" display="Additional Cash"/>
    <hyperlink ref="G39" location="Spouse_Dependants_Benefits" display="Spouse/Dependants Benefits"/>
    <hyperlink ref="G40" location="Death_Lump_Sums" display="Death Lump Sums"/>
    <hyperlink ref="G41" location="Children_s_Benefits" display="Children's Benefits"/>
    <hyperlink ref="G42" location="Trivial_Commutation" display="Trivial Commutation"/>
    <hyperlink ref="G33" location="GMP_Test" display="GMP Test"/>
  </hyperlinks>
  <pageMargins left="0.70866141732283472" right="0.70866141732283472" top="0.74803149606299213" bottom="0.74803149606299213" header="0.31496062992125984" footer="0.31496062992125984"/>
  <pageSetup paperSize="9" scale="45" orientation="landscape" r:id="rId2"/>
  <rowBreaks count="2" manualBreakCount="2">
    <brk id="363" max="16383" man="1"/>
    <brk id="412" max="16383" man="1"/>
  </rowBreaks>
  <legacyDrawing r:id="rId3"/>
</worksheet>
</file>

<file path=xl/worksheets/sheet7.xml><?xml version="1.0" encoding="utf-8"?>
<worksheet xmlns="http://schemas.openxmlformats.org/spreadsheetml/2006/main" xmlns:r="http://schemas.openxmlformats.org/officeDocument/2006/relationships">
  <sheetPr codeName="Sheet8"/>
  <dimension ref="A1:AG447"/>
  <sheetViews>
    <sheetView showGridLines="0" zoomScale="80" zoomScaleNormal="80" zoomScaleSheetLayoutView="70" workbookViewId="0">
      <selection activeCell="B1" sqref="B1"/>
    </sheetView>
  </sheetViews>
  <sheetFormatPr defaultRowHeight="15"/>
  <cols>
    <col min="1" max="1" width="4" style="394" bestFit="1" customWidth="1"/>
    <col min="2" max="2" width="29.140625" style="394" customWidth="1"/>
    <col min="3" max="3" width="31" style="394" customWidth="1"/>
    <col min="4" max="5" width="10.7109375" style="394" customWidth="1"/>
    <col min="6" max="6" width="15.85546875" style="410" customWidth="1"/>
    <col min="7" max="10" width="11.7109375" style="410" customWidth="1"/>
    <col min="11" max="11" width="18.85546875" style="410" customWidth="1"/>
    <col min="12" max="12" width="17.5703125" style="410" customWidth="1"/>
    <col min="13" max="13" width="20.85546875" style="410" customWidth="1"/>
    <col min="14" max="14" width="20.7109375" style="410" customWidth="1"/>
    <col min="15" max="15" width="16.140625" style="410" customWidth="1"/>
    <col min="16" max="18" width="16.42578125" style="410" customWidth="1"/>
    <col min="19" max="19" width="17.5703125" style="410" customWidth="1"/>
    <col min="20" max="20" width="19.7109375" style="394" customWidth="1"/>
    <col min="21" max="21" width="16.85546875" style="394" customWidth="1"/>
    <col min="22" max="16384" width="9.140625" style="394"/>
  </cols>
  <sheetData>
    <row r="1" spans="1:19" s="241" customFormat="1" ht="18.75">
      <c r="A1" s="323"/>
      <c r="B1" s="323" t="s">
        <v>20</v>
      </c>
      <c r="C1" s="408"/>
      <c r="F1" s="409"/>
      <c r="G1" s="409"/>
      <c r="H1" s="409"/>
      <c r="I1" s="409"/>
      <c r="J1" s="409"/>
      <c r="K1" s="409"/>
      <c r="L1" s="409"/>
      <c r="M1" s="409"/>
      <c r="N1" s="409"/>
      <c r="O1" s="409"/>
      <c r="P1" s="409"/>
      <c r="Q1" s="409"/>
      <c r="R1" s="409"/>
      <c r="S1" s="409"/>
    </row>
    <row r="2" spans="1:19" s="241" customFormat="1" ht="15" customHeight="1">
      <c r="A2" s="323"/>
      <c r="B2" s="323"/>
      <c r="C2" s="408"/>
      <c r="F2" s="409"/>
      <c r="G2" s="409"/>
      <c r="H2" s="409"/>
      <c r="I2" s="409"/>
      <c r="J2" s="409"/>
      <c r="K2" s="409"/>
      <c r="L2" s="409"/>
      <c r="M2" s="409"/>
      <c r="N2" s="409"/>
      <c r="O2" s="409"/>
      <c r="P2" s="409"/>
      <c r="Q2" s="409"/>
      <c r="R2" s="409"/>
      <c r="S2" s="409"/>
    </row>
    <row r="3" spans="1:19" s="241" customFormat="1" ht="15" customHeight="1">
      <c r="A3" s="323"/>
      <c r="B3" s="11" t="s">
        <v>121</v>
      </c>
      <c r="C3" s="209"/>
      <c r="D3" s="18"/>
      <c r="E3" s="18"/>
      <c r="F3" s="18"/>
      <c r="G3" s="356"/>
      <c r="H3" s="18"/>
      <c r="I3" s="18"/>
      <c r="J3" s="18"/>
      <c r="K3" s="409"/>
      <c r="L3" s="409"/>
      <c r="M3" s="409"/>
      <c r="N3" s="409"/>
      <c r="O3" s="409"/>
      <c r="P3" s="409"/>
      <c r="Q3" s="409"/>
      <c r="R3" s="409"/>
      <c r="S3" s="409"/>
    </row>
    <row r="4" spans="1:19" s="241" customFormat="1" ht="15" customHeight="1" thickBot="1">
      <c r="A4" s="323"/>
      <c r="B4" s="204"/>
      <c r="C4" s="209"/>
      <c r="D4" s="18"/>
      <c r="E4" s="18"/>
      <c r="F4" s="18"/>
      <c r="G4" s="356"/>
      <c r="H4" s="18"/>
      <c r="I4" s="18"/>
      <c r="J4" s="18"/>
      <c r="K4" s="409"/>
      <c r="L4" s="409"/>
      <c r="M4" s="409"/>
      <c r="N4" s="409"/>
      <c r="O4" s="409"/>
      <c r="P4" s="409"/>
      <c r="Q4" s="409"/>
      <c r="R4" s="409"/>
      <c r="S4" s="409"/>
    </row>
    <row r="5" spans="1:19" s="241" customFormat="1" ht="15" customHeight="1" thickBot="1">
      <c r="A5" s="323"/>
      <c r="B5" s="487" t="s">
        <v>94</v>
      </c>
      <c r="C5" s="488" t="s">
        <v>122</v>
      </c>
      <c r="D5" s="999" t="s">
        <v>163</v>
      </c>
      <c r="E5" s="999"/>
      <c r="F5" s="999" t="s">
        <v>123</v>
      </c>
      <c r="G5" s="999"/>
      <c r="H5" s="999"/>
      <c r="I5" s="1028" t="s">
        <v>738</v>
      </c>
      <c r="J5" s="1029"/>
      <c r="K5" s="409"/>
      <c r="L5" s="409"/>
      <c r="M5" s="409"/>
      <c r="N5" s="409"/>
      <c r="O5" s="409"/>
      <c r="P5" s="409"/>
      <c r="Q5" s="409"/>
      <c r="R5" s="409"/>
      <c r="S5" s="409"/>
    </row>
    <row r="6" spans="1:19" s="241" customFormat="1" ht="15" customHeight="1">
      <c r="A6" s="323"/>
      <c r="B6" s="489"/>
      <c r="C6" s="490"/>
      <c r="D6" s="1000"/>
      <c r="E6" s="1000"/>
      <c r="F6" s="1000"/>
      <c r="G6" s="1000"/>
      <c r="H6" s="1000"/>
      <c r="I6" s="997"/>
      <c r="J6" s="998"/>
      <c r="K6" s="409"/>
      <c r="L6" s="409"/>
      <c r="M6" s="409"/>
      <c r="N6" s="409"/>
      <c r="O6" s="409"/>
      <c r="P6" s="409"/>
      <c r="Q6" s="409"/>
      <c r="R6" s="409"/>
      <c r="S6" s="409"/>
    </row>
    <row r="7" spans="1:19" s="241" customFormat="1" ht="15" customHeight="1">
      <c r="A7" s="323"/>
      <c r="B7" s="491"/>
      <c r="C7" s="468"/>
      <c r="D7" s="1022"/>
      <c r="E7" s="1022"/>
      <c r="F7" s="1022"/>
      <c r="G7" s="1022"/>
      <c r="H7" s="1022"/>
      <c r="I7" s="1023"/>
      <c r="J7" s="1024"/>
      <c r="K7" s="409"/>
      <c r="L7" s="409"/>
      <c r="M7" s="409"/>
      <c r="N7" s="409"/>
      <c r="O7" s="409"/>
      <c r="P7" s="409"/>
      <c r="Q7" s="409"/>
      <c r="R7" s="409"/>
      <c r="S7" s="409"/>
    </row>
    <row r="8" spans="1:19" s="241" customFormat="1" ht="15" customHeight="1">
      <c r="A8" s="323"/>
      <c r="B8" s="491"/>
      <c r="C8" s="468"/>
      <c r="D8" s="1022"/>
      <c r="E8" s="1022"/>
      <c r="F8" s="1022"/>
      <c r="G8" s="1022"/>
      <c r="H8" s="1022"/>
      <c r="I8" s="1023"/>
      <c r="J8" s="1024"/>
      <c r="K8" s="409"/>
      <c r="L8" s="409"/>
      <c r="M8" s="409"/>
      <c r="N8" s="409"/>
      <c r="O8" s="409"/>
      <c r="P8" s="409"/>
      <c r="Q8" s="409"/>
      <c r="R8" s="409"/>
      <c r="S8" s="409"/>
    </row>
    <row r="9" spans="1:19" s="241" customFormat="1" ht="15" customHeight="1">
      <c r="A9" s="323"/>
      <c r="B9" s="491"/>
      <c r="C9" s="468"/>
      <c r="D9" s="1022"/>
      <c r="E9" s="1022"/>
      <c r="F9" s="1022"/>
      <c r="G9" s="1022"/>
      <c r="H9" s="1022"/>
      <c r="I9" s="1023"/>
      <c r="J9" s="1024"/>
      <c r="K9" s="409"/>
      <c r="L9" s="409"/>
      <c r="M9" s="409"/>
      <c r="N9" s="409"/>
      <c r="O9" s="409"/>
      <c r="P9" s="409"/>
      <c r="Q9" s="409"/>
      <c r="R9" s="409"/>
      <c r="S9" s="409"/>
    </row>
    <row r="10" spans="1:19" s="241" customFormat="1" ht="15" customHeight="1">
      <c r="A10" s="323"/>
      <c r="B10" s="491"/>
      <c r="C10" s="468"/>
      <c r="D10" s="1022"/>
      <c r="E10" s="1022"/>
      <c r="F10" s="1022"/>
      <c r="G10" s="1022"/>
      <c r="H10" s="1022"/>
      <c r="I10" s="1023"/>
      <c r="J10" s="1024"/>
      <c r="K10" s="409"/>
      <c r="L10" s="409"/>
      <c r="M10" s="409"/>
      <c r="N10" s="409"/>
      <c r="O10" s="409"/>
      <c r="P10" s="409"/>
      <c r="Q10" s="409"/>
      <c r="R10" s="409"/>
      <c r="S10" s="409"/>
    </row>
    <row r="11" spans="1:19" s="241" customFormat="1" ht="15" customHeight="1">
      <c r="A11" s="323"/>
      <c r="B11" s="491"/>
      <c r="C11" s="468"/>
      <c r="D11" s="1022"/>
      <c r="E11" s="1022"/>
      <c r="F11" s="1022"/>
      <c r="G11" s="1022"/>
      <c r="H11" s="1022"/>
      <c r="I11" s="1023"/>
      <c r="J11" s="1024"/>
      <c r="K11" s="409"/>
      <c r="L11" s="409"/>
      <c r="M11" s="409"/>
      <c r="N11" s="409"/>
      <c r="O11" s="409"/>
      <c r="P11" s="409"/>
      <c r="Q11" s="409"/>
      <c r="R11" s="409"/>
      <c r="S11" s="409"/>
    </row>
    <row r="12" spans="1:19" s="241" customFormat="1" ht="15" customHeight="1">
      <c r="A12" s="323"/>
      <c r="B12" s="491"/>
      <c r="C12" s="468"/>
      <c r="D12" s="1022"/>
      <c r="E12" s="1022"/>
      <c r="F12" s="1022"/>
      <c r="G12" s="1022"/>
      <c r="H12" s="1022"/>
      <c r="I12" s="1023"/>
      <c r="J12" s="1024"/>
      <c r="K12" s="409"/>
      <c r="L12" s="409"/>
      <c r="M12" s="409"/>
      <c r="N12" s="409"/>
      <c r="O12" s="409"/>
      <c r="P12" s="409"/>
      <c r="Q12" s="409"/>
      <c r="R12" s="409"/>
      <c r="S12" s="409"/>
    </row>
    <row r="13" spans="1:19" s="241" customFormat="1" ht="15" customHeight="1">
      <c r="A13" s="323"/>
      <c r="B13" s="491"/>
      <c r="C13" s="468"/>
      <c r="D13" s="1022"/>
      <c r="E13" s="1022"/>
      <c r="F13" s="1022"/>
      <c r="G13" s="1022"/>
      <c r="H13" s="1022"/>
      <c r="I13" s="1023"/>
      <c r="J13" s="1024"/>
      <c r="K13" s="409"/>
      <c r="L13" s="409"/>
      <c r="M13" s="409"/>
      <c r="N13" s="409"/>
      <c r="O13" s="409"/>
      <c r="P13" s="409"/>
      <c r="Q13" s="409"/>
      <c r="R13" s="409"/>
      <c r="S13" s="409"/>
    </row>
    <row r="14" spans="1:19" s="241" customFormat="1" ht="15" customHeight="1">
      <c r="A14" s="323"/>
      <c r="B14" s="491"/>
      <c r="C14" s="468"/>
      <c r="D14" s="1022"/>
      <c r="E14" s="1022"/>
      <c r="F14" s="1022"/>
      <c r="G14" s="1022"/>
      <c r="H14" s="1022"/>
      <c r="I14" s="1023"/>
      <c r="J14" s="1024"/>
      <c r="K14" s="409"/>
      <c r="L14" s="409"/>
      <c r="M14" s="409"/>
      <c r="N14" s="409"/>
      <c r="O14" s="409"/>
      <c r="P14" s="409"/>
      <c r="Q14" s="409"/>
      <c r="R14" s="409"/>
      <c r="S14" s="409"/>
    </row>
    <row r="15" spans="1:19" s="241" customFormat="1" ht="15" customHeight="1">
      <c r="A15" s="323"/>
      <c r="B15" s="491"/>
      <c r="C15" s="468"/>
      <c r="D15" s="1022"/>
      <c r="E15" s="1022"/>
      <c r="F15" s="1022"/>
      <c r="G15" s="1022"/>
      <c r="H15" s="1022"/>
      <c r="I15" s="1023"/>
      <c r="J15" s="1024"/>
      <c r="K15" s="409"/>
      <c r="L15" s="409"/>
      <c r="M15" s="409"/>
      <c r="N15" s="409"/>
      <c r="O15" s="409"/>
      <c r="P15" s="409"/>
      <c r="Q15" s="409"/>
      <c r="R15" s="409"/>
      <c r="S15" s="409"/>
    </row>
    <row r="16" spans="1:19" s="241" customFormat="1" ht="15" customHeight="1">
      <c r="A16" s="323"/>
      <c r="B16" s="491"/>
      <c r="C16" s="468"/>
      <c r="D16" s="1022"/>
      <c r="E16" s="1022"/>
      <c r="F16" s="1022"/>
      <c r="G16" s="1022"/>
      <c r="H16" s="1022"/>
      <c r="I16" s="1023"/>
      <c r="J16" s="1024"/>
      <c r="K16" s="409"/>
      <c r="L16" s="409"/>
      <c r="M16" s="409"/>
      <c r="N16" s="409"/>
      <c r="O16" s="409"/>
      <c r="P16" s="409"/>
      <c r="Q16" s="409"/>
      <c r="R16" s="409"/>
      <c r="S16" s="409"/>
    </row>
    <row r="17" spans="1:19" s="241" customFormat="1" ht="15" customHeight="1">
      <c r="A17" s="323"/>
      <c r="B17" s="491"/>
      <c r="C17" s="468"/>
      <c r="D17" s="1022"/>
      <c r="E17" s="1022"/>
      <c r="F17" s="1022"/>
      <c r="G17" s="1022"/>
      <c r="H17" s="1022"/>
      <c r="I17" s="1023"/>
      <c r="J17" s="1024"/>
      <c r="K17" s="409"/>
      <c r="L17" s="409"/>
      <c r="M17" s="409"/>
      <c r="N17" s="409"/>
      <c r="O17" s="409"/>
      <c r="P17" s="409"/>
      <c r="Q17" s="409"/>
      <c r="R17" s="409"/>
      <c r="S17" s="409"/>
    </row>
    <row r="18" spans="1:19" s="241" customFormat="1" ht="15" customHeight="1">
      <c r="A18" s="323"/>
      <c r="B18" s="491"/>
      <c r="C18" s="468"/>
      <c r="D18" s="1022"/>
      <c r="E18" s="1022"/>
      <c r="F18" s="1022"/>
      <c r="G18" s="1022"/>
      <c r="H18" s="1022"/>
      <c r="I18" s="1023"/>
      <c r="J18" s="1024"/>
      <c r="K18" s="409"/>
      <c r="L18" s="409"/>
      <c r="M18" s="409"/>
      <c r="N18" s="409"/>
      <c r="O18" s="409"/>
      <c r="P18" s="409"/>
      <c r="Q18" s="409"/>
      <c r="R18" s="409"/>
      <c r="S18" s="409"/>
    </row>
    <row r="19" spans="1:19" s="241" customFormat="1" ht="15" customHeight="1">
      <c r="A19" s="323"/>
      <c r="B19" s="491"/>
      <c r="C19" s="468"/>
      <c r="D19" s="1022"/>
      <c r="E19" s="1022"/>
      <c r="F19" s="1022"/>
      <c r="G19" s="1022"/>
      <c r="H19" s="1022"/>
      <c r="I19" s="1023"/>
      <c r="J19" s="1024"/>
      <c r="K19" s="409"/>
      <c r="L19" s="409"/>
      <c r="M19" s="409"/>
      <c r="N19" s="409"/>
      <c r="O19" s="409"/>
      <c r="P19" s="409"/>
      <c r="Q19" s="409"/>
      <c r="R19" s="409"/>
      <c r="S19" s="409"/>
    </row>
    <row r="20" spans="1:19" s="241" customFormat="1" ht="15" customHeight="1">
      <c r="A20" s="323"/>
      <c r="B20" s="491"/>
      <c r="C20" s="468"/>
      <c r="D20" s="1022"/>
      <c r="E20" s="1022"/>
      <c r="F20" s="1022"/>
      <c r="G20" s="1022"/>
      <c r="H20" s="1022"/>
      <c r="I20" s="1023"/>
      <c r="J20" s="1024"/>
      <c r="K20" s="409"/>
      <c r="L20" s="409"/>
      <c r="M20" s="409"/>
      <c r="N20" s="409"/>
      <c r="O20" s="409"/>
      <c r="P20" s="409"/>
      <c r="Q20" s="409"/>
      <c r="R20" s="409"/>
      <c r="S20" s="409"/>
    </row>
    <row r="21" spans="1:19" s="241" customFormat="1" ht="15" customHeight="1">
      <c r="A21" s="323"/>
      <c r="B21" s="491"/>
      <c r="C21" s="468"/>
      <c r="D21" s="1022"/>
      <c r="E21" s="1022"/>
      <c r="F21" s="1022"/>
      <c r="G21" s="1022"/>
      <c r="H21" s="1022"/>
      <c r="I21" s="1023"/>
      <c r="J21" s="1024"/>
      <c r="K21" s="409"/>
      <c r="L21" s="409"/>
      <c r="M21" s="409"/>
      <c r="N21" s="409"/>
      <c r="O21" s="409"/>
      <c r="P21" s="409"/>
      <c r="Q21" s="409"/>
      <c r="R21" s="409"/>
      <c r="S21" s="409"/>
    </row>
    <row r="22" spans="1:19" s="241" customFormat="1" ht="15" customHeight="1" thickBot="1">
      <c r="B22" s="492"/>
      <c r="C22" s="470"/>
      <c r="D22" s="1025"/>
      <c r="E22" s="1025"/>
      <c r="F22" s="1025"/>
      <c r="G22" s="1025"/>
      <c r="H22" s="1025"/>
      <c r="I22" s="1026"/>
      <c r="J22" s="1027"/>
      <c r="K22" s="410"/>
      <c r="L22" s="410"/>
      <c r="M22" s="410"/>
      <c r="N22" s="410"/>
      <c r="O22" s="409"/>
      <c r="P22" s="409"/>
      <c r="Q22" s="409"/>
      <c r="R22" s="409"/>
      <c r="S22" s="409"/>
    </row>
    <row r="23" spans="1:19" s="497" customFormat="1" ht="15" customHeight="1">
      <c r="B23" s="493"/>
      <c r="C23" s="467"/>
      <c r="D23" s="494"/>
      <c r="E23" s="494"/>
      <c r="F23" s="494"/>
      <c r="G23" s="494"/>
      <c r="H23" s="494"/>
      <c r="I23" s="494"/>
      <c r="J23" s="494"/>
      <c r="K23" s="416"/>
      <c r="L23" s="416"/>
      <c r="M23" s="416"/>
      <c r="N23" s="416"/>
      <c r="O23" s="498"/>
      <c r="P23" s="498"/>
      <c r="Q23" s="498"/>
      <c r="R23" s="498"/>
      <c r="S23" s="498"/>
    </row>
    <row r="24" spans="1:19" s="497" customFormat="1" ht="15" customHeight="1">
      <c r="B24" s="982" t="s">
        <v>876</v>
      </c>
      <c r="C24" s="982"/>
      <c r="D24" s="982"/>
      <c r="E24" s="982"/>
      <c r="F24" s="982"/>
      <c r="G24" s="982"/>
      <c r="H24" s="982"/>
      <c r="I24" s="982"/>
      <c r="J24" s="982"/>
      <c r="K24" s="416"/>
      <c r="L24" s="416"/>
      <c r="M24" s="416"/>
      <c r="N24" s="416"/>
      <c r="O24" s="498"/>
      <c r="P24" s="498"/>
      <c r="Q24" s="498"/>
      <c r="R24" s="498"/>
      <c r="S24" s="498"/>
    </row>
    <row r="25" spans="1:19" s="497" customFormat="1" ht="15" customHeight="1">
      <c r="B25" s="549" t="s">
        <v>125</v>
      </c>
      <c r="C25" s="503"/>
      <c r="D25" s="503"/>
      <c r="E25" s="503"/>
      <c r="F25" s="503"/>
      <c r="G25" s="503"/>
      <c r="H25" s="503"/>
      <c r="I25" s="503"/>
      <c r="J25" s="503"/>
      <c r="K25" s="498"/>
      <c r="L25" s="498"/>
      <c r="M25" s="498"/>
      <c r="N25" s="498"/>
      <c r="O25" s="498"/>
      <c r="P25" s="498"/>
      <c r="Q25" s="498"/>
      <c r="R25" s="498"/>
      <c r="S25" s="498"/>
    </row>
    <row r="26" spans="1:19" s="497" customFormat="1" ht="15" customHeight="1">
      <c r="B26" s="549" t="s">
        <v>13</v>
      </c>
      <c r="C26" s="503"/>
      <c r="D26" s="503"/>
      <c r="E26" s="503"/>
      <c r="F26" s="503"/>
      <c r="G26" s="503"/>
      <c r="H26" s="503"/>
      <c r="I26" s="503"/>
      <c r="J26" s="503"/>
      <c r="K26" s="498"/>
      <c r="L26" s="498"/>
      <c r="M26" s="498"/>
      <c r="N26" s="498"/>
      <c r="O26" s="498"/>
      <c r="P26" s="498"/>
      <c r="Q26" s="498"/>
      <c r="R26" s="498"/>
      <c r="S26" s="498"/>
    </row>
    <row r="27" spans="1:19" s="497" customFormat="1" ht="15" customHeight="1">
      <c r="B27" s="549" t="s">
        <v>145</v>
      </c>
      <c r="C27" s="503"/>
      <c r="D27" s="503"/>
      <c r="E27" s="503"/>
      <c r="F27" s="503"/>
      <c r="G27" s="503"/>
      <c r="H27" s="503"/>
      <c r="I27" s="503"/>
      <c r="J27" s="503"/>
      <c r="K27" s="498"/>
      <c r="L27" s="498"/>
      <c r="M27" s="498"/>
      <c r="N27" s="498"/>
      <c r="O27" s="498"/>
      <c r="P27" s="498"/>
      <c r="Q27" s="498"/>
      <c r="R27" s="498"/>
      <c r="S27" s="498"/>
    </row>
    <row r="28" spans="1:19" s="497" customFormat="1" ht="15" customHeight="1">
      <c r="B28" s="549" t="s">
        <v>890</v>
      </c>
      <c r="C28" s="505"/>
      <c r="D28" s="505"/>
      <c r="E28" s="505"/>
      <c r="F28" s="505"/>
      <c r="G28" s="505"/>
      <c r="H28" s="505"/>
      <c r="I28" s="505"/>
      <c r="J28" s="505"/>
      <c r="K28" s="498"/>
      <c r="L28" s="498"/>
      <c r="M28" s="498"/>
      <c r="N28" s="498"/>
      <c r="O28" s="498"/>
      <c r="P28" s="498"/>
      <c r="Q28" s="498"/>
      <c r="R28" s="498"/>
      <c r="S28" s="498"/>
    </row>
    <row r="29" spans="1:19" s="497" customFormat="1" ht="15" customHeight="1">
      <c r="B29" s="549" t="s">
        <v>210</v>
      </c>
      <c r="C29" s="503"/>
      <c r="D29" s="503"/>
      <c r="E29" s="503"/>
      <c r="F29" s="503"/>
      <c r="G29" s="503"/>
      <c r="H29" s="503"/>
      <c r="I29" s="503"/>
      <c r="J29" s="503"/>
      <c r="K29" s="498"/>
      <c r="L29" s="498"/>
      <c r="M29" s="498"/>
      <c r="N29" s="498"/>
      <c r="O29" s="498"/>
      <c r="P29" s="498"/>
      <c r="Q29" s="498"/>
      <c r="R29" s="498"/>
      <c r="S29" s="498"/>
    </row>
    <row r="30" spans="1:19" s="497" customFormat="1" ht="15" customHeight="1">
      <c r="B30" s="551" t="s">
        <v>143</v>
      </c>
      <c r="C30" s="503"/>
      <c r="D30" s="503"/>
      <c r="E30" s="503"/>
      <c r="F30" s="503"/>
      <c r="G30" s="503"/>
      <c r="H30" s="503"/>
      <c r="I30" s="503"/>
      <c r="J30" s="503"/>
      <c r="K30" s="498"/>
      <c r="L30" s="498"/>
      <c r="M30" s="498"/>
      <c r="N30" s="498"/>
      <c r="O30" s="498"/>
      <c r="P30" s="498"/>
      <c r="Q30" s="498"/>
      <c r="R30" s="498"/>
      <c r="S30" s="498"/>
    </row>
    <row r="31" spans="1:19" s="497" customFormat="1" ht="15" customHeight="1">
      <c r="B31" s="503"/>
      <c r="C31" s="503"/>
      <c r="D31" s="503"/>
      <c r="E31" s="503"/>
      <c r="F31" s="503"/>
      <c r="G31" s="503"/>
      <c r="H31" s="503"/>
      <c r="I31" s="503"/>
      <c r="J31" s="503"/>
      <c r="K31" s="416"/>
      <c r="L31" s="416"/>
      <c r="M31" s="416"/>
      <c r="N31" s="416"/>
      <c r="O31" s="498"/>
      <c r="P31" s="498"/>
      <c r="Q31" s="498"/>
      <c r="R31" s="498"/>
      <c r="S31" s="498"/>
    </row>
    <row r="32" spans="1:19" s="497" customFormat="1" ht="15" customHeight="1">
      <c r="B32" s="982" t="s">
        <v>870</v>
      </c>
      <c r="C32" s="982"/>
      <c r="D32" s="982"/>
      <c r="E32" s="982"/>
      <c r="F32" s="982"/>
      <c r="G32" s="982"/>
      <c r="H32" s="982"/>
      <c r="I32" s="982"/>
      <c r="J32" s="982"/>
      <c r="K32" s="416"/>
      <c r="L32" s="416"/>
      <c r="M32" s="416"/>
      <c r="N32" s="416"/>
      <c r="O32" s="498"/>
      <c r="P32" s="498"/>
      <c r="Q32" s="498"/>
      <c r="R32" s="498"/>
      <c r="S32" s="498"/>
    </row>
    <row r="33" spans="1:19" s="497" customFormat="1" ht="15" customHeight="1">
      <c r="B33" s="549" t="s">
        <v>14</v>
      </c>
      <c r="C33" s="546"/>
      <c r="D33" s="547"/>
      <c r="E33" s="547"/>
      <c r="F33" s="547"/>
      <c r="G33" s="549" t="s">
        <v>659</v>
      </c>
      <c r="H33" s="226"/>
      <c r="I33" s="325"/>
      <c r="J33" s="325"/>
      <c r="L33" s="416"/>
      <c r="M33" s="416"/>
      <c r="N33" s="416"/>
      <c r="O33" s="498"/>
      <c r="P33" s="498"/>
      <c r="Q33" s="498"/>
      <c r="R33" s="498"/>
      <c r="S33" s="498"/>
    </row>
    <row r="34" spans="1:19" s="497" customFormat="1" ht="15" customHeight="1">
      <c r="B34" s="550" t="s">
        <v>22</v>
      </c>
      <c r="C34" s="546"/>
      <c r="D34" s="547"/>
      <c r="E34" s="547"/>
      <c r="F34" s="547"/>
      <c r="G34" s="549" t="s">
        <v>674</v>
      </c>
      <c r="H34" s="226"/>
      <c r="I34" s="325"/>
      <c r="J34" s="325"/>
      <c r="K34" s="416"/>
      <c r="L34" s="416"/>
      <c r="M34" s="416"/>
      <c r="N34" s="416"/>
      <c r="O34" s="498"/>
      <c r="P34" s="498"/>
      <c r="Q34" s="498"/>
      <c r="R34" s="498"/>
      <c r="S34" s="498"/>
    </row>
    <row r="35" spans="1:19" s="497" customFormat="1" ht="15" customHeight="1">
      <c r="B35" s="550" t="s">
        <v>16</v>
      </c>
      <c r="C35" s="546"/>
      <c r="D35" s="547"/>
      <c r="E35" s="547"/>
      <c r="F35" s="547"/>
      <c r="G35" s="549" t="s">
        <v>6</v>
      </c>
      <c r="H35" s="226"/>
      <c r="I35" s="325"/>
      <c r="J35" s="325"/>
      <c r="K35" s="416"/>
      <c r="L35" s="416"/>
      <c r="M35" s="416"/>
      <c r="N35" s="416"/>
      <c r="O35" s="498"/>
      <c r="P35" s="498"/>
      <c r="Q35" s="498"/>
      <c r="R35" s="498"/>
      <c r="S35" s="498"/>
    </row>
    <row r="36" spans="1:19" s="497" customFormat="1" ht="15" customHeight="1">
      <c r="B36" s="553" t="s">
        <v>132</v>
      </c>
      <c r="C36" s="546"/>
      <c r="D36" s="547"/>
      <c r="E36" s="547"/>
      <c r="F36" s="547"/>
      <c r="G36" s="549" t="s">
        <v>681</v>
      </c>
      <c r="H36" s="226"/>
      <c r="I36" s="325"/>
      <c r="J36" s="325"/>
      <c r="K36" s="416"/>
      <c r="L36" s="416"/>
      <c r="M36" s="416"/>
      <c r="N36" s="416"/>
      <c r="O36" s="498"/>
      <c r="P36" s="498"/>
      <c r="Q36" s="498"/>
      <c r="R36" s="498"/>
      <c r="S36" s="498"/>
    </row>
    <row r="37" spans="1:19" s="576" customFormat="1" ht="15" customHeight="1">
      <c r="B37" s="552" t="s">
        <v>33</v>
      </c>
      <c r="C37" s="546"/>
      <c r="D37" s="575"/>
      <c r="E37" s="575"/>
      <c r="F37" s="575"/>
      <c r="G37" s="552" t="s">
        <v>7</v>
      </c>
      <c r="I37" s="577"/>
      <c r="J37" s="577"/>
      <c r="K37" s="578"/>
      <c r="L37" s="578"/>
      <c r="M37" s="578"/>
      <c r="N37" s="578"/>
      <c r="O37" s="579"/>
      <c r="P37" s="579"/>
      <c r="Q37" s="579"/>
      <c r="R37" s="579"/>
      <c r="S37" s="579"/>
    </row>
    <row r="38" spans="1:19" s="497" customFormat="1" ht="15" customHeight="1">
      <c r="B38" s="553" t="s">
        <v>133</v>
      </c>
      <c r="C38" s="546"/>
      <c r="D38" s="547"/>
      <c r="E38" s="547"/>
      <c r="F38" s="547"/>
      <c r="G38" s="549" t="s">
        <v>8</v>
      </c>
      <c r="H38" s="226"/>
      <c r="I38" s="325"/>
      <c r="J38" s="325"/>
      <c r="K38" s="416"/>
      <c r="L38" s="416"/>
      <c r="M38" s="416"/>
      <c r="N38" s="416"/>
      <c r="O38" s="498"/>
      <c r="P38" s="498"/>
      <c r="Q38" s="498"/>
      <c r="R38" s="498"/>
      <c r="S38" s="498"/>
    </row>
    <row r="39" spans="1:19" s="497" customFormat="1" ht="15" customHeight="1">
      <c r="B39" s="549" t="s">
        <v>865</v>
      </c>
      <c r="C39" s="546"/>
      <c r="D39" s="547"/>
      <c r="E39" s="547"/>
      <c r="F39" s="547"/>
      <c r="G39" s="549" t="s">
        <v>215</v>
      </c>
      <c r="H39" s="226"/>
      <c r="I39" s="494"/>
      <c r="J39" s="494"/>
      <c r="K39" s="416"/>
      <c r="L39" s="416"/>
      <c r="M39" s="416"/>
      <c r="N39" s="416"/>
      <c r="O39" s="498"/>
      <c r="P39" s="498"/>
      <c r="Q39" s="498"/>
      <c r="R39" s="498"/>
      <c r="S39" s="498"/>
    </row>
    <row r="40" spans="1:19" s="497" customFormat="1" ht="15" customHeight="1">
      <c r="B40" s="549" t="s">
        <v>4</v>
      </c>
      <c r="C40" s="546"/>
      <c r="D40" s="547"/>
      <c r="E40" s="547"/>
      <c r="F40" s="547"/>
      <c r="G40" s="549" t="s">
        <v>207</v>
      </c>
      <c r="H40" s="226"/>
      <c r="I40" s="494"/>
      <c r="J40" s="494"/>
      <c r="K40" s="416"/>
      <c r="L40" s="416"/>
      <c r="M40" s="416"/>
      <c r="N40" s="416"/>
      <c r="O40" s="498"/>
      <c r="P40" s="498"/>
      <c r="Q40" s="498"/>
      <c r="R40" s="498"/>
      <c r="S40" s="498"/>
    </row>
    <row r="41" spans="1:19" s="497" customFormat="1" ht="15" customHeight="1">
      <c r="B41" s="549" t="s">
        <v>5</v>
      </c>
      <c r="C41" s="546"/>
      <c r="D41" s="547"/>
      <c r="E41" s="547"/>
      <c r="F41" s="547"/>
      <c r="G41" s="549"/>
      <c r="H41" s="226"/>
      <c r="I41" s="494"/>
      <c r="J41" s="494"/>
      <c r="K41" s="416"/>
      <c r="L41" s="416"/>
      <c r="M41" s="416"/>
      <c r="N41" s="416"/>
      <c r="O41" s="498"/>
      <c r="P41" s="498"/>
      <c r="Q41" s="498"/>
      <c r="R41" s="498"/>
      <c r="S41" s="498"/>
    </row>
    <row r="42" spans="1:19" s="497" customFormat="1" ht="15" customHeight="1">
      <c r="B42" s="493"/>
      <c r="C42" s="467"/>
      <c r="D42" s="494"/>
      <c r="E42" s="494"/>
      <c r="F42" s="494"/>
      <c r="G42" s="494"/>
      <c r="H42" s="494"/>
      <c r="I42" s="494"/>
      <c r="J42" s="494"/>
      <c r="K42" s="416"/>
      <c r="L42" s="416"/>
      <c r="M42" s="416"/>
      <c r="N42" s="416"/>
      <c r="O42" s="498"/>
      <c r="P42" s="498"/>
      <c r="Q42" s="498"/>
      <c r="R42" s="498"/>
      <c r="S42" s="498"/>
    </row>
    <row r="43" spans="1:19" s="241" customFormat="1">
      <c r="A43" s="411"/>
      <c r="B43" s="412" t="s">
        <v>125</v>
      </c>
      <c r="C43" s="408"/>
      <c r="D43" s="394"/>
      <c r="E43" s="394"/>
      <c r="F43" s="410"/>
      <c r="G43" s="410"/>
      <c r="H43" s="410"/>
      <c r="I43" s="410"/>
      <c r="J43" s="410"/>
      <c r="K43" s="410"/>
      <c r="L43" s="410"/>
      <c r="M43" s="410"/>
      <c r="N43" s="410"/>
      <c r="O43" s="409"/>
      <c r="P43" s="409"/>
      <c r="Q43" s="409"/>
      <c r="R43" s="409"/>
      <c r="S43" s="409"/>
    </row>
    <row r="44" spans="1:19" ht="15.75" thickBot="1"/>
    <row r="45" spans="1:19" ht="15.75" thickBot="1">
      <c r="B45" s="1107" t="s">
        <v>36</v>
      </c>
      <c r="C45" s="1108"/>
      <c r="D45" s="1108"/>
      <c r="E45" s="1108"/>
      <c r="F45" s="1108"/>
      <c r="G45" s="1345" t="s">
        <v>37</v>
      </c>
      <c r="H45" s="1345"/>
      <c r="I45" s="1345"/>
      <c r="J45" s="1345"/>
      <c r="K45" s="1345"/>
      <c r="L45" s="1346"/>
      <c r="M45" s="409"/>
      <c r="N45" s="409"/>
    </row>
    <row r="46" spans="1:19" ht="12.75" customHeight="1">
      <c r="B46" s="1347"/>
      <c r="C46" s="1348"/>
      <c r="D46" s="1348"/>
      <c r="E46" s="1348"/>
      <c r="F46" s="1348"/>
      <c r="G46" s="1349"/>
      <c r="H46" s="1349"/>
      <c r="I46" s="1349"/>
      <c r="J46" s="1349"/>
      <c r="K46" s="1349"/>
      <c r="L46" s="1350"/>
      <c r="M46" s="409"/>
      <c r="N46" s="409"/>
    </row>
    <row r="47" spans="1:19" ht="12.75" customHeight="1">
      <c r="B47" s="1351"/>
      <c r="C47" s="1352"/>
      <c r="D47" s="1352"/>
      <c r="E47" s="1352"/>
      <c r="F47" s="1352"/>
      <c r="G47" s="1308"/>
      <c r="H47" s="1308"/>
      <c r="I47" s="1308"/>
      <c r="J47" s="1308"/>
      <c r="K47" s="1308"/>
      <c r="L47" s="1309"/>
      <c r="M47" s="409"/>
      <c r="N47" s="409"/>
    </row>
    <row r="48" spans="1:19" ht="12.75" customHeight="1">
      <c r="B48" s="1351"/>
      <c r="C48" s="1352"/>
      <c r="D48" s="1352"/>
      <c r="E48" s="1352"/>
      <c r="F48" s="1352"/>
      <c r="G48" s="1308"/>
      <c r="H48" s="1308"/>
      <c r="I48" s="1308"/>
      <c r="J48" s="1308"/>
      <c r="K48" s="1308"/>
      <c r="L48" s="1309"/>
      <c r="M48" s="409"/>
      <c r="N48" s="409"/>
    </row>
    <row r="49" spans="2:14" ht="12.75" customHeight="1">
      <c r="B49" s="1351"/>
      <c r="C49" s="1352"/>
      <c r="D49" s="1352"/>
      <c r="E49" s="1352"/>
      <c r="F49" s="1352"/>
      <c r="G49" s="1308"/>
      <c r="H49" s="1308"/>
      <c r="I49" s="1308"/>
      <c r="J49" s="1308"/>
      <c r="K49" s="1308"/>
      <c r="L49" s="1309"/>
      <c r="M49" s="409"/>
      <c r="N49" s="409"/>
    </row>
    <row r="50" spans="2:14" ht="12.75" customHeight="1">
      <c r="B50" s="1351"/>
      <c r="C50" s="1352"/>
      <c r="D50" s="1352"/>
      <c r="E50" s="1352"/>
      <c r="F50" s="1352"/>
      <c r="G50" s="1308"/>
      <c r="H50" s="1308"/>
      <c r="I50" s="1308"/>
      <c r="J50" s="1308"/>
      <c r="K50" s="1308"/>
      <c r="L50" s="1309"/>
      <c r="M50" s="409"/>
      <c r="N50" s="409"/>
    </row>
    <row r="51" spans="2:14" ht="12.75" customHeight="1">
      <c r="B51" s="1351"/>
      <c r="C51" s="1352"/>
      <c r="D51" s="1352"/>
      <c r="E51" s="1352"/>
      <c r="F51" s="1352"/>
      <c r="G51" s="1308"/>
      <c r="H51" s="1308"/>
      <c r="I51" s="1308"/>
      <c r="J51" s="1308"/>
      <c r="K51" s="1308"/>
      <c r="L51" s="1309"/>
      <c r="M51" s="409"/>
      <c r="N51" s="409"/>
    </row>
    <row r="52" spans="2:14" ht="12.75" customHeight="1">
      <c r="B52" s="1008"/>
      <c r="C52" s="1073"/>
      <c r="D52" s="1073"/>
      <c r="E52" s="1073"/>
      <c r="F52" s="1073"/>
      <c r="G52" s="1308"/>
      <c r="H52" s="1308"/>
      <c r="I52" s="1308"/>
      <c r="J52" s="1308"/>
      <c r="K52" s="1308"/>
      <c r="L52" s="1309"/>
      <c r="M52" s="409"/>
      <c r="N52" s="409"/>
    </row>
    <row r="53" spans="2:14" ht="12.75" customHeight="1">
      <c r="B53" s="1008"/>
      <c r="C53" s="1073"/>
      <c r="D53" s="1073"/>
      <c r="E53" s="1073"/>
      <c r="F53" s="1073"/>
      <c r="G53" s="1308"/>
      <c r="H53" s="1308"/>
      <c r="I53" s="1308"/>
      <c r="J53" s="1308"/>
      <c r="K53" s="1308"/>
      <c r="L53" s="1309"/>
      <c r="M53" s="409"/>
      <c r="N53" s="409"/>
    </row>
    <row r="54" spans="2:14" ht="12.75" customHeight="1">
      <c r="B54" s="1008"/>
      <c r="C54" s="1073"/>
      <c r="D54" s="1073"/>
      <c r="E54" s="1073"/>
      <c r="F54" s="1073"/>
      <c r="G54" s="1308"/>
      <c r="H54" s="1308"/>
      <c r="I54" s="1308"/>
      <c r="J54" s="1308"/>
      <c r="K54" s="1308"/>
      <c r="L54" s="1309"/>
      <c r="M54" s="409"/>
      <c r="N54" s="409"/>
    </row>
    <row r="55" spans="2:14" ht="12.75" customHeight="1">
      <c r="B55" s="1008"/>
      <c r="C55" s="1073"/>
      <c r="D55" s="1073"/>
      <c r="E55" s="1073"/>
      <c r="F55" s="1073"/>
      <c r="G55" s="1308"/>
      <c r="H55" s="1308"/>
      <c r="I55" s="1308"/>
      <c r="J55" s="1308"/>
      <c r="K55" s="1308"/>
      <c r="L55" s="1309"/>
      <c r="M55" s="409"/>
      <c r="N55" s="409"/>
    </row>
    <row r="56" spans="2:14" ht="12.75" customHeight="1">
      <c r="B56" s="1008"/>
      <c r="C56" s="1073"/>
      <c r="D56" s="1073"/>
      <c r="E56" s="1073"/>
      <c r="F56" s="1073"/>
      <c r="G56" s="1308"/>
      <c r="H56" s="1308"/>
      <c r="I56" s="1308"/>
      <c r="J56" s="1308"/>
      <c r="K56" s="1308"/>
      <c r="L56" s="1309"/>
      <c r="M56" s="409"/>
      <c r="N56" s="409"/>
    </row>
    <row r="57" spans="2:14" ht="12.75" customHeight="1">
      <c r="B57" s="1008"/>
      <c r="C57" s="1073"/>
      <c r="D57" s="1073"/>
      <c r="E57" s="1073"/>
      <c r="F57" s="1073"/>
      <c r="G57" s="1308"/>
      <c r="H57" s="1308"/>
      <c r="I57" s="1308"/>
      <c r="J57" s="1308"/>
      <c r="K57" s="1308"/>
      <c r="L57" s="1309"/>
      <c r="M57" s="409"/>
      <c r="N57" s="409"/>
    </row>
    <row r="58" spans="2:14" ht="12.75" customHeight="1">
      <c r="B58" s="1008"/>
      <c r="C58" s="1073"/>
      <c r="D58" s="1073"/>
      <c r="E58" s="1073"/>
      <c r="F58" s="1073"/>
      <c r="G58" s="1308"/>
      <c r="H58" s="1308"/>
      <c r="I58" s="1308"/>
      <c r="J58" s="1308"/>
      <c r="K58" s="1308"/>
      <c r="L58" s="1309"/>
      <c r="M58" s="409"/>
      <c r="N58" s="409"/>
    </row>
    <row r="59" spans="2:14" ht="12.75" customHeight="1">
      <c r="B59" s="1008"/>
      <c r="C59" s="1073"/>
      <c r="D59" s="1073"/>
      <c r="E59" s="1073"/>
      <c r="F59" s="1073"/>
      <c r="G59" s="1308"/>
      <c r="H59" s="1308"/>
      <c r="I59" s="1308"/>
      <c r="J59" s="1308"/>
      <c r="K59" s="1308"/>
      <c r="L59" s="1309"/>
      <c r="M59" s="409"/>
      <c r="N59" s="409"/>
    </row>
    <row r="60" spans="2:14" ht="12.75" customHeight="1" thickBot="1">
      <c r="B60" s="1091"/>
      <c r="C60" s="1074"/>
      <c r="D60" s="1074"/>
      <c r="E60" s="1074"/>
      <c r="F60" s="1074"/>
      <c r="G60" s="1355"/>
      <c r="H60" s="1355"/>
      <c r="I60" s="1355"/>
      <c r="J60" s="1355"/>
      <c r="K60" s="1355"/>
      <c r="L60" s="1356"/>
      <c r="M60" s="409"/>
      <c r="N60" s="409"/>
    </row>
    <row r="61" spans="2:14" ht="12.75" customHeight="1" thickBot="1">
      <c r="B61" s="338"/>
      <c r="C61" s="338"/>
      <c r="D61" s="338"/>
      <c r="E61" s="320"/>
      <c r="F61" s="413"/>
      <c r="G61" s="409"/>
      <c r="H61" s="409"/>
      <c r="I61" s="409"/>
      <c r="J61" s="409"/>
      <c r="K61" s="409"/>
      <c r="L61" s="409"/>
      <c r="M61" s="409"/>
      <c r="N61" s="409"/>
    </row>
    <row r="62" spans="2:14" ht="15.75" thickBot="1">
      <c r="B62" s="1363" t="s">
        <v>578</v>
      </c>
      <c r="C62" s="1364"/>
      <c r="D62" s="1364"/>
      <c r="E62" s="1364"/>
      <c r="F62" s="1365"/>
      <c r="G62" s="1366" t="s">
        <v>37</v>
      </c>
      <c r="H62" s="1367"/>
      <c r="I62" s="1367"/>
      <c r="J62" s="1367"/>
      <c r="K62" s="1367"/>
      <c r="L62" s="1368"/>
      <c r="M62" s="1357" t="s">
        <v>157</v>
      </c>
      <c r="N62" s="1358"/>
    </row>
    <row r="63" spans="2:14" ht="12.75" customHeight="1">
      <c r="B63" s="1359"/>
      <c r="C63" s="1094"/>
      <c r="D63" s="1094"/>
      <c r="E63" s="1094"/>
      <c r="F63" s="1094"/>
      <c r="G63" s="1360"/>
      <c r="H63" s="1360"/>
      <c r="I63" s="1360"/>
      <c r="J63" s="1360"/>
      <c r="K63" s="1360"/>
      <c r="L63" s="1360"/>
      <c r="M63" s="1361"/>
      <c r="N63" s="1362"/>
    </row>
    <row r="64" spans="2:14" ht="12.75" customHeight="1">
      <c r="B64" s="1008"/>
      <c r="C64" s="1073"/>
      <c r="D64" s="1073"/>
      <c r="E64" s="1073"/>
      <c r="F64" s="1073"/>
      <c r="G64" s="1308"/>
      <c r="H64" s="1308"/>
      <c r="I64" s="1308"/>
      <c r="J64" s="1308"/>
      <c r="K64" s="1308"/>
      <c r="L64" s="1308"/>
      <c r="M64" s="1353"/>
      <c r="N64" s="1354"/>
    </row>
    <row r="65" spans="2:14" ht="12.75" customHeight="1">
      <c r="B65" s="1008"/>
      <c r="C65" s="1073"/>
      <c r="D65" s="1073"/>
      <c r="E65" s="1073"/>
      <c r="F65" s="1073"/>
      <c r="G65" s="1308"/>
      <c r="H65" s="1308"/>
      <c r="I65" s="1308"/>
      <c r="J65" s="1308"/>
      <c r="K65" s="1308"/>
      <c r="L65" s="1308"/>
      <c r="M65" s="1353"/>
      <c r="N65" s="1354"/>
    </row>
    <row r="66" spans="2:14" ht="12.75" customHeight="1">
      <c r="B66" s="1008"/>
      <c r="C66" s="1073"/>
      <c r="D66" s="1073"/>
      <c r="E66" s="1073"/>
      <c r="F66" s="1073"/>
      <c r="G66" s="1308"/>
      <c r="H66" s="1308"/>
      <c r="I66" s="1308"/>
      <c r="J66" s="1308"/>
      <c r="K66" s="1308"/>
      <c r="L66" s="1308"/>
      <c r="M66" s="1353"/>
      <c r="N66" s="1354"/>
    </row>
    <row r="67" spans="2:14" ht="12.75" customHeight="1">
      <c r="B67" s="1008"/>
      <c r="C67" s="1073"/>
      <c r="D67" s="1073"/>
      <c r="E67" s="1073"/>
      <c r="F67" s="1073"/>
      <c r="G67" s="1308"/>
      <c r="H67" s="1308"/>
      <c r="I67" s="1308"/>
      <c r="J67" s="1308"/>
      <c r="K67" s="1308"/>
      <c r="L67" s="1308"/>
      <c r="M67" s="1353"/>
      <c r="N67" s="1354"/>
    </row>
    <row r="68" spans="2:14" ht="12.75" customHeight="1">
      <c r="B68" s="1008"/>
      <c r="C68" s="1073"/>
      <c r="D68" s="1073"/>
      <c r="E68" s="1073"/>
      <c r="F68" s="1073"/>
      <c r="G68" s="1308"/>
      <c r="H68" s="1308"/>
      <c r="I68" s="1308"/>
      <c r="J68" s="1308"/>
      <c r="K68" s="1308"/>
      <c r="L68" s="1308"/>
      <c r="M68" s="1353"/>
      <c r="N68" s="1354"/>
    </row>
    <row r="69" spans="2:14" ht="12.75" customHeight="1">
      <c r="B69" s="1008"/>
      <c r="C69" s="1073"/>
      <c r="D69" s="1073"/>
      <c r="E69" s="1073"/>
      <c r="F69" s="1073"/>
      <c r="G69" s="1308"/>
      <c r="H69" s="1308"/>
      <c r="I69" s="1308"/>
      <c r="J69" s="1308"/>
      <c r="K69" s="1308"/>
      <c r="L69" s="1308"/>
      <c r="M69" s="1353"/>
      <c r="N69" s="1354"/>
    </row>
    <row r="70" spans="2:14" ht="12.75" customHeight="1">
      <c r="B70" s="1008"/>
      <c r="C70" s="1073"/>
      <c r="D70" s="1073"/>
      <c r="E70" s="1073"/>
      <c r="F70" s="1073"/>
      <c r="G70" s="1308"/>
      <c r="H70" s="1308"/>
      <c r="I70" s="1308"/>
      <c r="J70" s="1308"/>
      <c r="K70" s="1308"/>
      <c r="L70" s="1308"/>
      <c r="M70" s="1353"/>
      <c r="N70" s="1354"/>
    </row>
    <row r="71" spans="2:14" ht="12.75" customHeight="1">
      <c r="B71" s="1008"/>
      <c r="C71" s="1073"/>
      <c r="D71" s="1073"/>
      <c r="E71" s="1073"/>
      <c r="F71" s="1073"/>
      <c r="G71" s="1308"/>
      <c r="H71" s="1308"/>
      <c r="I71" s="1308"/>
      <c r="J71" s="1308"/>
      <c r="K71" s="1308"/>
      <c r="L71" s="1308"/>
      <c r="M71" s="1353"/>
      <c r="N71" s="1354"/>
    </row>
    <row r="72" spans="2:14" ht="12.75" customHeight="1">
      <c r="B72" s="1008"/>
      <c r="C72" s="1073"/>
      <c r="D72" s="1073"/>
      <c r="E72" s="1073"/>
      <c r="F72" s="1073"/>
      <c r="G72" s="1308"/>
      <c r="H72" s="1308"/>
      <c r="I72" s="1308"/>
      <c r="J72" s="1308"/>
      <c r="K72" s="1308"/>
      <c r="L72" s="1308"/>
      <c r="M72" s="1353"/>
      <c r="N72" s="1354"/>
    </row>
    <row r="73" spans="2:14" ht="12.75" customHeight="1">
      <c r="B73" s="1008"/>
      <c r="C73" s="1073"/>
      <c r="D73" s="1073"/>
      <c r="E73" s="1073"/>
      <c r="F73" s="1073"/>
      <c r="G73" s="1308"/>
      <c r="H73" s="1308"/>
      <c r="I73" s="1308"/>
      <c r="J73" s="1308"/>
      <c r="K73" s="1308"/>
      <c r="L73" s="1308"/>
      <c r="M73" s="1353"/>
      <c r="N73" s="1354"/>
    </row>
    <row r="74" spans="2:14" ht="12.75" customHeight="1">
      <c r="B74" s="1008"/>
      <c r="C74" s="1073"/>
      <c r="D74" s="1073"/>
      <c r="E74" s="1073"/>
      <c r="F74" s="1073"/>
      <c r="G74" s="1308"/>
      <c r="H74" s="1308"/>
      <c r="I74" s="1308"/>
      <c r="J74" s="1308"/>
      <c r="K74" s="1308"/>
      <c r="L74" s="1308"/>
      <c r="M74" s="1353"/>
      <c r="N74" s="1354"/>
    </row>
    <row r="75" spans="2:14" ht="12.75" customHeight="1">
      <c r="B75" s="1008"/>
      <c r="C75" s="1073"/>
      <c r="D75" s="1073"/>
      <c r="E75" s="1073"/>
      <c r="F75" s="1073"/>
      <c r="G75" s="1308"/>
      <c r="H75" s="1308"/>
      <c r="I75" s="1308"/>
      <c r="J75" s="1308"/>
      <c r="K75" s="1308"/>
      <c r="L75" s="1308"/>
      <c r="M75" s="1353"/>
      <c r="N75" s="1354"/>
    </row>
    <row r="76" spans="2:14" ht="12.75" customHeight="1">
      <c r="B76" s="1008"/>
      <c r="C76" s="1073"/>
      <c r="D76" s="1073"/>
      <c r="E76" s="1073"/>
      <c r="F76" s="1073"/>
      <c r="G76" s="1308"/>
      <c r="H76" s="1308"/>
      <c r="I76" s="1308"/>
      <c r="J76" s="1308"/>
      <c r="K76" s="1308"/>
      <c r="L76" s="1308"/>
      <c r="M76" s="1353"/>
      <c r="N76" s="1354"/>
    </row>
    <row r="77" spans="2:14" ht="12.75" customHeight="1" thickBot="1">
      <c r="B77" s="1091"/>
      <c r="C77" s="1074"/>
      <c r="D77" s="1074"/>
      <c r="E77" s="1074"/>
      <c r="F77" s="1074"/>
      <c r="G77" s="1355"/>
      <c r="H77" s="1355"/>
      <c r="I77" s="1355"/>
      <c r="J77" s="1355"/>
      <c r="K77" s="1355"/>
      <c r="L77" s="1355"/>
      <c r="M77" s="1369"/>
      <c r="N77" s="1370"/>
    </row>
    <row r="78" spans="2:14" ht="12.75" customHeight="1">
      <c r="B78" s="408"/>
      <c r="C78" s="408"/>
      <c r="D78" s="241"/>
      <c r="E78" s="241"/>
      <c r="F78" s="409"/>
      <c r="G78" s="409"/>
      <c r="H78" s="409"/>
      <c r="I78" s="409"/>
      <c r="J78" s="409"/>
      <c r="K78" s="409"/>
      <c r="L78" s="409"/>
      <c r="M78" s="409"/>
      <c r="N78" s="409"/>
    </row>
    <row r="79" spans="2:14" ht="12.75" customHeight="1">
      <c r="B79" s="241" t="s">
        <v>130</v>
      </c>
      <c r="C79" s="241"/>
      <c r="D79" s="241"/>
      <c r="E79" s="241"/>
      <c r="F79" s="409"/>
      <c r="G79" s="409"/>
      <c r="H79" s="409"/>
      <c r="I79" s="409"/>
      <c r="J79" s="409"/>
      <c r="K79" s="409"/>
      <c r="L79" s="409"/>
      <c r="M79" s="409"/>
      <c r="N79" s="409"/>
    </row>
    <row r="80" spans="2:14" ht="12.75" customHeight="1" thickBot="1">
      <c r="B80" s="241"/>
      <c r="C80" s="241"/>
      <c r="D80" s="241"/>
      <c r="E80" s="241"/>
      <c r="F80" s="409"/>
      <c r="G80" s="409"/>
      <c r="H80" s="409"/>
      <c r="I80" s="409"/>
      <c r="J80" s="409"/>
      <c r="K80" s="409"/>
      <c r="L80" s="409"/>
      <c r="M80" s="409"/>
      <c r="N80" s="409"/>
    </row>
    <row r="81" spans="1:19" ht="200.1" customHeight="1" thickBot="1">
      <c r="B81" s="1371"/>
      <c r="C81" s="1372"/>
      <c r="D81" s="1372"/>
      <c r="E81" s="1372"/>
      <c r="F81" s="1372"/>
      <c r="G81" s="1372"/>
      <c r="H81" s="1372"/>
      <c r="I81" s="1372"/>
      <c r="J81" s="1372"/>
      <c r="K81" s="1372"/>
      <c r="L81" s="1373"/>
      <c r="M81" s="409"/>
      <c r="N81" s="409"/>
    </row>
    <row r="82" spans="1:19" ht="12.75" customHeight="1">
      <c r="B82" s="261"/>
      <c r="C82" s="329"/>
      <c r="D82" s="329"/>
      <c r="F82" s="414"/>
      <c r="G82" s="391"/>
      <c r="H82" s="414"/>
    </row>
    <row r="83" spans="1:19" s="415" customFormat="1" ht="12.75" customHeight="1">
      <c r="A83" s="408"/>
      <c r="B83" s="412"/>
      <c r="C83" s="408"/>
      <c r="D83" s="241"/>
      <c r="F83" s="416"/>
      <c r="G83" s="416"/>
      <c r="H83" s="416"/>
      <c r="I83" s="416"/>
      <c r="J83" s="416"/>
      <c r="K83" s="416"/>
      <c r="L83" s="416"/>
      <c r="M83" s="416"/>
    </row>
    <row r="84" spans="1:19" s="415" customFormat="1" ht="12.75" customHeight="1">
      <c r="A84" s="408"/>
      <c r="B84" s="412" t="s">
        <v>13</v>
      </c>
      <c r="C84" s="408"/>
      <c r="D84" s="241"/>
      <c r="F84" s="414"/>
      <c r="G84" s="416"/>
      <c r="H84" s="416"/>
      <c r="I84" s="416"/>
      <c r="J84" s="416"/>
      <c r="K84" s="416"/>
      <c r="L84" s="416"/>
      <c r="M84" s="416"/>
      <c r="N84" s="416"/>
      <c r="O84" s="416"/>
      <c r="P84" s="416"/>
      <c r="Q84" s="416"/>
      <c r="R84" s="416"/>
      <c r="S84" s="416"/>
    </row>
    <row r="85" spans="1:19" s="415" customFormat="1" ht="12.75" customHeight="1">
      <c r="A85" s="408"/>
      <c r="B85" s="412"/>
      <c r="C85" s="408"/>
      <c r="D85" s="241"/>
      <c r="F85" s="414"/>
      <c r="G85" s="416"/>
      <c r="H85" s="416"/>
      <c r="I85" s="416"/>
      <c r="J85" s="416"/>
      <c r="K85" s="416"/>
      <c r="L85" s="416"/>
      <c r="M85" s="416"/>
      <c r="N85" s="416"/>
      <c r="O85" s="416"/>
      <c r="P85" s="416"/>
      <c r="Q85" s="416"/>
      <c r="R85" s="416"/>
      <c r="S85" s="416"/>
    </row>
    <row r="86" spans="1:19" s="415" customFormat="1" ht="70.5" customHeight="1">
      <c r="A86" s="408"/>
      <c r="B86" s="1247" t="s">
        <v>888</v>
      </c>
      <c r="C86" s="1247"/>
      <c r="D86" s="1247"/>
      <c r="E86" s="1247"/>
      <c r="F86" s="1247"/>
      <c r="G86" s="1247"/>
      <c r="H86" s="1247"/>
      <c r="I86" s="1247"/>
      <c r="J86" s="1247"/>
      <c r="K86" s="1247"/>
      <c r="L86" s="1247"/>
      <c r="M86" s="1247"/>
      <c r="N86" s="1247"/>
      <c r="O86" s="1247"/>
      <c r="P86" s="416"/>
      <c r="Q86" s="416"/>
      <c r="R86" s="416"/>
      <c r="S86" s="416"/>
    </row>
    <row r="87" spans="1:19" s="415" customFormat="1" ht="12.75" customHeight="1" thickBot="1">
      <c r="A87" s="394"/>
      <c r="B87" s="412"/>
      <c r="C87" s="408"/>
      <c r="D87" s="241"/>
      <c r="F87" s="373"/>
      <c r="G87" s="416"/>
      <c r="H87" s="416"/>
      <c r="I87" s="416"/>
      <c r="J87" s="416"/>
      <c r="K87" s="416"/>
      <c r="L87" s="416"/>
      <c r="M87" s="416"/>
      <c r="N87" s="416"/>
      <c r="O87" s="416"/>
      <c r="P87" s="416"/>
      <c r="Q87" s="416"/>
      <c r="R87" s="416"/>
      <c r="S87" s="416"/>
    </row>
    <row r="88" spans="1:19" s="306" customFormat="1" ht="21.75" customHeight="1" thickBot="1">
      <c r="A88" s="388"/>
      <c r="B88" s="1413" t="s">
        <v>209</v>
      </c>
      <c r="C88" s="1414"/>
      <c r="D88" s="1414"/>
      <c r="E88" s="1414"/>
      <c r="F88" s="1415"/>
      <c r="G88" s="1416"/>
      <c r="H88" s="1417"/>
      <c r="I88" s="1417"/>
      <c r="J88" s="1417"/>
      <c r="K88" s="1417"/>
      <c r="L88" s="1418"/>
      <c r="M88" s="371"/>
      <c r="N88" s="371"/>
      <c r="O88" s="371"/>
      <c r="P88" s="371"/>
      <c r="Q88" s="371"/>
      <c r="R88" s="371"/>
      <c r="S88" s="371"/>
    </row>
    <row r="89" spans="1:19" s="415" customFormat="1" ht="12.75" customHeight="1">
      <c r="A89" s="394"/>
      <c r="B89" s="412"/>
      <c r="C89" s="408"/>
      <c r="D89" s="241"/>
      <c r="F89" s="373"/>
      <c r="G89" s="416"/>
      <c r="H89" s="416"/>
      <c r="I89" s="416"/>
      <c r="J89" s="416"/>
      <c r="K89" s="416"/>
      <c r="L89" s="416"/>
      <c r="M89" s="416"/>
      <c r="N89" s="416"/>
      <c r="O89" s="416"/>
      <c r="P89" s="416"/>
      <c r="Q89" s="416"/>
      <c r="R89" s="416"/>
      <c r="S89" s="416"/>
    </row>
    <row r="90" spans="1:19" s="415" customFormat="1" ht="12.75" customHeight="1">
      <c r="A90" s="394"/>
      <c r="B90" s="412" t="s">
        <v>145</v>
      </c>
      <c r="C90" s="408"/>
      <c r="D90" s="241"/>
      <c r="F90" s="414"/>
      <c r="G90" s="416"/>
      <c r="H90" s="416"/>
      <c r="I90" s="416"/>
      <c r="J90" s="416"/>
      <c r="K90" s="416"/>
      <c r="L90" s="416"/>
      <c r="M90" s="416"/>
      <c r="N90" s="416"/>
      <c r="O90" s="416"/>
      <c r="P90" s="416"/>
      <c r="Q90" s="416"/>
      <c r="R90" s="416"/>
      <c r="S90" s="416"/>
    </row>
    <row r="91" spans="1:19" s="415" customFormat="1" ht="12.75" customHeight="1" thickBot="1">
      <c r="A91" s="394"/>
      <c r="B91" s="412"/>
      <c r="C91" s="408"/>
      <c r="D91" s="241"/>
      <c r="F91" s="414"/>
      <c r="G91" s="416"/>
      <c r="H91" s="416"/>
      <c r="I91" s="416"/>
      <c r="J91" s="416"/>
      <c r="K91" s="416"/>
      <c r="L91" s="416"/>
      <c r="M91" s="416"/>
      <c r="N91" s="416"/>
      <c r="O91" s="416"/>
      <c r="P91" s="416"/>
      <c r="Q91" s="416"/>
      <c r="R91" s="416"/>
      <c r="S91" s="416"/>
    </row>
    <row r="92" spans="1:19" s="415" customFormat="1" ht="41.25" customHeight="1" thickBot="1">
      <c r="A92" s="394"/>
      <c r="B92" s="280"/>
      <c r="C92" s="280"/>
      <c r="D92" s="280"/>
      <c r="E92" s="280"/>
      <c r="F92" s="1228" t="s">
        <v>126</v>
      </c>
      <c r="G92" s="1229"/>
      <c r="H92" s="1230" t="s">
        <v>618</v>
      </c>
      <c r="I92" s="1230"/>
      <c r="J92" s="1232" t="s">
        <v>127</v>
      </c>
      <c r="K92" s="1233"/>
      <c r="L92" s="663"/>
      <c r="M92" s="663"/>
      <c r="N92" s="416"/>
    </row>
    <row r="93" spans="1:19" s="415" customFormat="1" ht="32.25" customHeight="1" thickBot="1">
      <c r="A93" s="394"/>
      <c r="B93" s="875" t="s">
        <v>15</v>
      </c>
      <c r="C93" s="879" t="s">
        <v>128</v>
      </c>
      <c r="D93" s="398" t="s">
        <v>38</v>
      </c>
      <c r="E93" s="305" t="s">
        <v>571</v>
      </c>
      <c r="F93" s="400" t="s">
        <v>669</v>
      </c>
      <c r="G93" s="401" t="s">
        <v>314</v>
      </c>
      <c r="H93" s="401" t="s">
        <v>669</v>
      </c>
      <c r="I93" s="401" t="s">
        <v>314</v>
      </c>
      <c r="J93" s="401" t="s">
        <v>669</v>
      </c>
      <c r="K93" s="402" t="s">
        <v>314</v>
      </c>
      <c r="L93" s="212" t="s">
        <v>976</v>
      </c>
      <c r="M93" s="212" t="s">
        <v>984</v>
      </c>
      <c r="N93" s="666" t="s">
        <v>975</v>
      </c>
      <c r="O93" s="667" t="s">
        <v>985</v>
      </c>
    </row>
    <row r="94" spans="1:19" s="415" customFormat="1" ht="12.75" customHeight="1">
      <c r="A94" s="394"/>
      <c r="B94" s="1101" t="str">
        <f>'Scheme Definitions'!B121</f>
        <v/>
      </c>
      <c r="C94" s="918"/>
      <c r="D94" s="199"/>
      <c r="E94" s="149"/>
      <c r="F94" s="405"/>
      <c r="G94" s="194"/>
      <c r="H94" s="313"/>
      <c r="I94" s="313"/>
      <c r="J94" s="313" t="s">
        <v>34</v>
      </c>
      <c r="K94" s="314"/>
      <c r="L94" s="664"/>
      <c r="M94" s="310"/>
      <c r="N94" s="1310"/>
      <c r="O94" s="1313"/>
    </row>
    <row r="95" spans="1:19" s="415" customFormat="1" ht="12.75" customHeight="1">
      <c r="A95" s="394"/>
      <c r="B95" s="1102"/>
      <c r="C95" s="919"/>
      <c r="D95" s="185"/>
      <c r="E95" s="399"/>
      <c r="F95" s="406"/>
      <c r="G95" s="193"/>
      <c r="H95" s="315"/>
      <c r="I95" s="315"/>
      <c r="J95" s="315" t="s">
        <v>34</v>
      </c>
      <c r="K95" s="316"/>
      <c r="L95" s="664"/>
      <c r="M95" s="310"/>
      <c r="N95" s="1311"/>
      <c r="O95" s="1314"/>
    </row>
    <row r="96" spans="1:19" s="415" customFormat="1" ht="12.75" customHeight="1">
      <c r="A96" s="394"/>
      <c r="B96" s="1102"/>
      <c r="C96" s="919"/>
      <c r="D96" s="185"/>
      <c r="E96" s="399"/>
      <c r="F96" s="406"/>
      <c r="G96" s="193"/>
      <c r="H96" s="315"/>
      <c r="I96" s="315"/>
      <c r="J96" s="315" t="s">
        <v>34</v>
      </c>
      <c r="K96" s="316"/>
      <c r="L96" s="664"/>
      <c r="M96" s="310"/>
      <c r="N96" s="1311"/>
      <c r="O96" s="1314"/>
    </row>
    <row r="97" spans="1:15" s="415" customFormat="1" ht="12.75" customHeight="1">
      <c r="A97" s="394"/>
      <c r="B97" s="1102"/>
      <c r="C97" s="919"/>
      <c r="D97" s="185"/>
      <c r="E97" s="399"/>
      <c r="F97" s="406"/>
      <c r="G97" s="193"/>
      <c r="H97" s="315"/>
      <c r="I97" s="315"/>
      <c r="J97" s="315" t="s">
        <v>34</v>
      </c>
      <c r="K97" s="316"/>
      <c r="L97" s="664"/>
      <c r="M97" s="310"/>
      <c r="N97" s="1311"/>
      <c r="O97" s="1314"/>
    </row>
    <row r="98" spans="1:15" s="415" customFormat="1" ht="12.75" customHeight="1">
      <c r="A98" s="394"/>
      <c r="B98" s="1102"/>
      <c r="C98" s="919"/>
      <c r="D98" s="185"/>
      <c r="E98" s="399"/>
      <c r="F98" s="406"/>
      <c r="G98" s="193"/>
      <c r="H98" s="315"/>
      <c r="I98" s="315"/>
      <c r="J98" s="315" t="s">
        <v>34</v>
      </c>
      <c r="K98" s="316"/>
      <c r="L98" s="664"/>
      <c r="M98" s="310"/>
      <c r="N98" s="1311"/>
      <c r="O98" s="1314"/>
    </row>
    <row r="99" spans="1:15" s="415" customFormat="1" ht="12.75" customHeight="1">
      <c r="A99" s="394"/>
      <c r="B99" s="1102"/>
      <c r="C99" s="919"/>
      <c r="D99" s="186"/>
      <c r="E99" s="147"/>
      <c r="F99" s="406"/>
      <c r="G99" s="193"/>
      <c r="H99" s="315"/>
      <c r="I99" s="315"/>
      <c r="J99" s="315" t="s">
        <v>34</v>
      </c>
      <c r="K99" s="316"/>
      <c r="L99" s="664"/>
      <c r="M99" s="310"/>
      <c r="N99" s="1311"/>
      <c r="O99" s="1314"/>
    </row>
    <row r="100" spans="1:15" s="415" customFormat="1" ht="12.75" customHeight="1">
      <c r="A100" s="394"/>
      <c r="B100" s="1102"/>
      <c r="C100" s="919"/>
      <c r="D100" s="186"/>
      <c r="E100" s="147"/>
      <c r="F100" s="406"/>
      <c r="G100" s="193"/>
      <c r="H100" s="315"/>
      <c r="I100" s="315"/>
      <c r="J100" s="315" t="s">
        <v>34</v>
      </c>
      <c r="K100" s="316"/>
      <c r="L100" s="664"/>
      <c r="M100" s="310"/>
      <c r="N100" s="1311"/>
      <c r="O100" s="1314"/>
    </row>
    <row r="101" spans="1:15" s="415" customFormat="1" ht="12.75" customHeight="1">
      <c r="A101" s="394"/>
      <c r="B101" s="1102"/>
      <c r="C101" s="919"/>
      <c r="D101" s="186"/>
      <c r="E101" s="147"/>
      <c r="F101" s="406"/>
      <c r="G101" s="193"/>
      <c r="H101" s="315"/>
      <c r="I101" s="315"/>
      <c r="J101" s="315" t="s">
        <v>34</v>
      </c>
      <c r="K101" s="316"/>
      <c r="L101" s="664"/>
      <c r="M101" s="310"/>
      <c r="N101" s="1311"/>
      <c r="O101" s="1314"/>
    </row>
    <row r="102" spans="1:15" s="415" customFormat="1" ht="12.75" customHeight="1">
      <c r="A102" s="394"/>
      <c r="B102" s="1102"/>
      <c r="C102" s="919"/>
      <c r="D102" s="186"/>
      <c r="E102" s="147"/>
      <c r="F102" s="406"/>
      <c r="G102" s="193"/>
      <c r="H102" s="315"/>
      <c r="I102" s="315"/>
      <c r="J102" s="315" t="s">
        <v>34</v>
      </c>
      <c r="K102" s="316"/>
      <c r="L102" s="664"/>
      <c r="M102" s="310"/>
      <c r="N102" s="1311"/>
      <c r="O102" s="1314"/>
    </row>
    <row r="103" spans="1:15" s="415" customFormat="1" ht="12.75" customHeight="1">
      <c r="A103" s="394"/>
      <c r="B103" s="1102"/>
      <c r="C103" s="919"/>
      <c r="D103" s="186"/>
      <c r="E103" s="147"/>
      <c r="F103" s="406"/>
      <c r="G103" s="193"/>
      <c r="H103" s="315"/>
      <c r="I103" s="315"/>
      <c r="J103" s="315" t="s">
        <v>34</v>
      </c>
      <c r="K103" s="316"/>
      <c r="L103" s="664"/>
      <c r="M103" s="310"/>
      <c r="N103" s="1311"/>
      <c r="O103" s="1314"/>
    </row>
    <row r="104" spans="1:15" s="415" customFormat="1" ht="12.75" customHeight="1">
      <c r="A104" s="394"/>
      <c r="B104" s="1102"/>
      <c r="C104" s="919"/>
      <c r="D104" s="186"/>
      <c r="E104" s="147"/>
      <c r="F104" s="406"/>
      <c r="G104" s="193"/>
      <c r="H104" s="315"/>
      <c r="I104" s="315"/>
      <c r="J104" s="315" t="s">
        <v>34</v>
      </c>
      <c r="K104" s="316"/>
      <c r="L104" s="664"/>
      <c r="M104" s="310"/>
      <c r="N104" s="1311"/>
      <c r="O104" s="1314"/>
    </row>
    <row r="105" spans="1:15" s="415" customFormat="1" ht="12.75" customHeight="1">
      <c r="A105" s="394"/>
      <c r="B105" s="1102"/>
      <c r="C105" s="919"/>
      <c r="D105" s="186"/>
      <c r="E105" s="147"/>
      <c r="F105" s="406"/>
      <c r="G105" s="193"/>
      <c r="H105" s="315"/>
      <c r="I105" s="315"/>
      <c r="J105" s="315" t="s">
        <v>34</v>
      </c>
      <c r="K105" s="316"/>
      <c r="L105" s="664"/>
      <c r="M105" s="310"/>
      <c r="N105" s="1311"/>
      <c r="O105" s="1314"/>
    </row>
    <row r="106" spans="1:15" s="415" customFormat="1" ht="12.75" customHeight="1">
      <c r="A106" s="394"/>
      <c r="B106" s="1102"/>
      <c r="C106" s="919"/>
      <c r="D106" s="186"/>
      <c r="E106" s="147"/>
      <c r="F106" s="406"/>
      <c r="G106" s="193"/>
      <c r="H106" s="315"/>
      <c r="I106" s="315"/>
      <c r="J106" s="315" t="s">
        <v>34</v>
      </c>
      <c r="K106" s="316"/>
      <c r="L106" s="664"/>
      <c r="M106" s="310"/>
      <c r="N106" s="1311"/>
      <c r="O106" s="1314"/>
    </row>
    <row r="107" spans="1:15" s="415" customFormat="1" ht="12.75" customHeight="1">
      <c r="A107" s="394"/>
      <c r="B107" s="1102"/>
      <c r="C107" s="919"/>
      <c r="D107" s="186"/>
      <c r="E107" s="147"/>
      <c r="F107" s="406"/>
      <c r="G107" s="193"/>
      <c r="H107" s="315"/>
      <c r="I107" s="315"/>
      <c r="J107" s="315" t="s">
        <v>34</v>
      </c>
      <c r="K107" s="316"/>
      <c r="L107" s="664"/>
      <c r="M107" s="310"/>
      <c r="N107" s="1311"/>
      <c r="O107" s="1314"/>
    </row>
    <row r="108" spans="1:15" s="415" customFormat="1" ht="12.75" customHeight="1">
      <c r="A108" s="394"/>
      <c r="B108" s="1102"/>
      <c r="C108" s="919"/>
      <c r="D108" s="186"/>
      <c r="E108" s="147"/>
      <c r="F108" s="406"/>
      <c r="G108" s="193"/>
      <c r="H108" s="315"/>
      <c r="I108" s="315"/>
      <c r="J108" s="315" t="s">
        <v>34</v>
      </c>
      <c r="K108" s="316"/>
      <c r="L108" s="664"/>
      <c r="M108" s="310"/>
      <c r="N108" s="1311"/>
      <c r="O108" s="1314"/>
    </row>
    <row r="109" spans="1:15" s="415" customFormat="1" ht="12.75" customHeight="1">
      <c r="A109" s="394"/>
      <c r="B109" s="1102"/>
      <c r="C109" s="919"/>
      <c r="D109" s="186"/>
      <c r="E109" s="147"/>
      <c r="F109" s="406"/>
      <c r="G109" s="193"/>
      <c r="H109" s="315"/>
      <c r="I109" s="315"/>
      <c r="J109" s="315" t="s">
        <v>34</v>
      </c>
      <c r="K109" s="316"/>
      <c r="L109" s="664"/>
      <c r="M109" s="310"/>
      <c r="N109" s="1311"/>
      <c r="O109" s="1314"/>
    </row>
    <row r="110" spans="1:15" s="415" customFormat="1" ht="12.75" customHeight="1">
      <c r="A110" s="394"/>
      <c r="B110" s="1102"/>
      <c r="C110" s="919"/>
      <c r="D110" s="186"/>
      <c r="E110" s="147"/>
      <c r="F110" s="406"/>
      <c r="G110" s="193"/>
      <c r="H110" s="315"/>
      <c r="I110" s="315"/>
      <c r="J110" s="315" t="s">
        <v>34</v>
      </c>
      <c r="K110" s="316"/>
      <c r="L110" s="664"/>
      <c r="M110" s="310"/>
      <c r="N110" s="1311"/>
      <c r="O110" s="1314"/>
    </row>
    <row r="111" spans="1:15" s="415" customFormat="1" ht="12.75" customHeight="1">
      <c r="A111" s="394"/>
      <c r="B111" s="1102"/>
      <c r="C111" s="919"/>
      <c r="D111" s="186"/>
      <c r="E111" s="147"/>
      <c r="F111" s="406"/>
      <c r="G111" s="193"/>
      <c r="H111" s="315"/>
      <c r="I111" s="315"/>
      <c r="J111" s="315" t="s">
        <v>34</v>
      </c>
      <c r="K111" s="316"/>
      <c r="L111" s="664"/>
      <c r="M111" s="310"/>
      <c r="N111" s="1311"/>
      <c r="O111" s="1314"/>
    </row>
    <row r="112" spans="1:15" s="415" customFormat="1" ht="12.75" customHeight="1">
      <c r="A112" s="394"/>
      <c r="B112" s="1102"/>
      <c r="C112" s="919"/>
      <c r="D112" s="186"/>
      <c r="E112" s="147"/>
      <c r="F112" s="406"/>
      <c r="G112" s="193"/>
      <c r="H112" s="315"/>
      <c r="I112" s="315"/>
      <c r="J112" s="315" t="s">
        <v>34</v>
      </c>
      <c r="K112" s="316"/>
      <c r="L112" s="664"/>
      <c r="M112" s="310"/>
      <c r="N112" s="1311"/>
      <c r="O112" s="1314"/>
    </row>
    <row r="113" spans="1:19" s="415" customFormat="1" ht="12.75" customHeight="1" thickBot="1">
      <c r="A113" s="394"/>
      <c r="B113" s="1103"/>
      <c r="C113" s="926"/>
      <c r="D113" s="189"/>
      <c r="E113" s="201"/>
      <c r="F113" s="407"/>
      <c r="G113" s="195"/>
      <c r="H113" s="311"/>
      <c r="I113" s="311"/>
      <c r="J113" s="311" t="s">
        <v>34</v>
      </c>
      <c r="K113" s="312"/>
      <c r="L113" s="665"/>
      <c r="M113" s="310"/>
      <c r="N113" s="1312"/>
      <c r="O113" s="1315"/>
    </row>
    <row r="114" spans="1:19" s="415" customFormat="1" ht="12.75" customHeight="1" thickBot="1">
      <c r="A114" s="394"/>
      <c r="B114" s="190"/>
      <c r="C114" s="190"/>
      <c r="D114" s="190"/>
      <c r="E114" s="190"/>
      <c r="F114" s="192"/>
      <c r="G114" s="192"/>
      <c r="H114" s="192"/>
      <c r="I114" s="403"/>
      <c r="J114" s="404"/>
      <c r="K114" s="138"/>
      <c r="L114" s="138"/>
      <c r="M114" s="261"/>
      <c r="N114" s="261"/>
      <c r="O114" s="261"/>
      <c r="P114" s="261"/>
      <c r="Q114" s="261"/>
      <c r="R114" s="261"/>
      <c r="S114" s="416"/>
    </row>
    <row r="115" spans="1:19" s="415" customFormat="1" ht="12.75" customHeight="1" thickBot="1">
      <c r="A115" s="394"/>
      <c r="B115" s="910"/>
      <c r="C115" s="910"/>
      <c r="D115" s="910"/>
      <c r="E115" s="910"/>
      <c r="F115" s="1228" t="s">
        <v>126</v>
      </c>
      <c r="G115" s="1229"/>
      <c r="H115" s="1230" t="s">
        <v>618</v>
      </c>
      <c r="I115" s="1230"/>
      <c r="J115" s="1232" t="s">
        <v>127</v>
      </c>
      <c r="K115" s="1233"/>
      <c r="L115" s="663"/>
      <c r="M115" s="663"/>
      <c r="N115" s="416"/>
      <c r="P115" s="261"/>
      <c r="Q115" s="261"/>
      <c r="R115" s="261"/>
      <c r="S115" s="416"/>
    </row>
    <row r="116" spans="1:19" s="415" customFormat="1" ht="12.75" customHeight="1" thickBot="1">
      <c r="A116" s="394"/>
      <c r="B116" s="909" t="s">
        <v>15</v>
      </c>
      <c r="C116" s="879" t="s">
        <v>128</v>
      </c>
      <c r="D116" s="398" t="s">
        <v>38</v>
      </c>
      <c r="E116" s="674" t="s">
        <v>571</v>
      </c>
      <c r="F116" s="400" t="s">
        <v>669</v>
      </c>
      <c r="G116" s="401" t="s">
        <v>314</v>
      </c>
      <c r="H116" s="401" t="s">
        <v>669</v>
      </c>
      <c r="I116" s="401" t="s">
        <v>314</v>
      </c>
      <c r="J116" s="401" t="s">
        <v>669</v>
      </c>
      <c r="K116" s="402" t="s">
        <v>314</v>
      </c>
      <c r="L116" s="212" t="s">
        <v>976</v>
      </c>
      <c r="M116" s="212" t="s">
        <v>984</v>
      </c>
      <c r="N116" s="666" t="s">
        <v>975</v>
      </c>
      <c r="O116" s="667" t="s">
        <v>985</v>
      </c>
      <c r="P116" s="261"/>
      <c r="Q116" s="261"/>
      <c r="R116" s="261"/>
      <c r="S116" s="416"/>
    </row>
    <row r="117" spans="1:19" s="415" customFormat="1" ht="12.75" customHeight="1">
      <c r="A117" s="394"/>
      <c r="B117" s="1101"/>
      <c r="C117" s="918"/>
      <c r="D117" s="199"/>
      <c r="E117" s="149"/>
      <c r="F117" s="405"/>
      <c r="G117" s="194"/>
      <c r="H117" s="313"/>
      <c r="I117" s="313"/>
      <c r="J117" s="313" t="s">
        <v>34</v>
      </c>
      <c r="K117" s="314"/>
      <c r="L117" s="664"/>
      <c r="M117" s="310"/>
      <c r="N117" s="1310"/>
      <c r="O117" s="1313"/>
      <c r="P117" s="261"/>
      <c r="Q117" s="261"/>
      <c r="R117" s="261"/>
      <c r="S117" s="416"/>
    </row>
    <row r="118" spans="1:19" s="415" customFormat="1" ht="12.75" customHeight="1">
      <c r="A118" s="394"/>
      <c r="B118" s="1102"/>
      <c r="C118" s="919"/>
      <c r="D118" s="185"/>
      <c r="E118" s="399"/>
      <c r="F118" s="406"/>
      <c r="G118" s="193"/>
      <c r="H118" s="315"/>
      <c r="I118" s="315"/>
      <c r="J118" s="315" t="s">
        <v>34</v>
      </c>
      <c r="K118" s="316"/>
      <c r="L118" s="664"/>
      <c r="M118" s="310"/>
      <c r="N118" s="1311"/>
      <c r="O118" s="1314"/>
      <c r="P118" s="261"/>
      <c r="Q118" s="261"/>
      <c r="R118" s="261"/>
      <c r="S118" s="416"/>
    </row>
    <row r="119" spans="1:19" s="415" customFormat="1" ht="12.75" customHeight="1">
      <c r="A119" s="394"/>
      <c r="B119" s="1102"/>
      <c r="C119" s="919"/>
      <c r="D119" s="185"/>
      <c r="E119" s="399"/>
      <c r="F119" s="406"/>
      <c r="G119" s="193"/>
      <c r="H119" s="315"/>
      <c r="I119" s="315"/>
      <c r="J119" s="315" t="s">
        <v>34</v>
      </c>
      <c r="K119" s="316"/>
      <c r="L119" s="664"/>
      <c r="M119" s="310"/>
      <c r="N119" s="1311"/>
      <c r="O119" s="1314"/>
      <c r="P119" s="261"/>
      <c r="Q119" s="261"/>
      <c r="R119" s="261"/>
      <c r="S119" s="416"/>
    </row>
    <row r="120" spans="1:19" s="415" customFormat="1" ht="12.75" customHeight="1">
      <c r="A120" s="394"/>
      <c r="B120" s="1102"/>
      <c r="C120" s="919"/>
      <c r="D120" s="185"/>
      <c r="E120" s="399"/>
      <c r="F120" s="406"/>
      <c r="G120" s="193"/>
      <c r="H120" s="315"/>
      <c r="I120" s="315"/>
      <c r="J120" s="315" t="s">
        <v>34</v>
      </c>
      <c r="K120" s="316"/>
      <c r="L120" s="664"/>
      <c r="M120" s="310"/>
      <c r="N120" s="1311"/>
      <c r="O120" s="1314"/>
      <c r="P120" s="261"/>
      <c r="Q120" s="261"/>
      <c r="R120" s="261"/>
      <c r="S120" s="416"/>
    </row>
    <row r="121" spans="1:19" s="415" customFormat="1" ht="12.75" customHeight="1">
      <c r="A121" s="394"/>
      <c r="B121" s="1102"/>
      <c r="C121" s="919"/>
      <c r="D121" s="185"/>
      <c r="E121" s="399"/>
      <c r="F121" s="406"/>
      <c r="G121" s="193"/>
      <c r="H121" s="315"/>
      <c r="I121" s="315"/>
      <c r="J121" s="315" t="s">
        <v>34</v>
      </c>
      <c r="K121" s="316"/>
      <c r="L121" s="664"/>
      <c r="M121" s="310"/>
      <c r="N121" s="1311"/>
      <c r="O121" s="1314"/>
      <c r="P121" s="261"/>
      <c r="Q121" s="261"/>
      <c r="R121" s="261"/>
      <c r="S121" s="416"/>
    </row>
    <row r="122" spans="1:19" s="415" customFormat="1" ht="12.75" customHeight="1">
      <c r="A122" s="394"/>
      <c r="B122" s="1102"/>
      <c r="C122" s="919"/>
      <c r="D122" s="186"/>
      <c r="E122" s="147"/>
      <c r="F122" s="406"/>
      <c r="G122" s="193"/>
      <c r="H122" s="315"/>
      <c r="I122" s="315"/>
      <c r="J122" s="315" t="s">
        <v>34</v>
      </c>
      <c r="K122" s="316"/>
      <c r="L122" s="664"/>
      <c r="M122" s="310"/>
      <c r="N122" s="1311"/>
      <c r="O122" s="1314"/>
      <c r="P122" s="261"/>
      <c r="Q122" s="261"/>
      <c r="R122" s="261"/>
      <c r="S122" s="416"/>
    </row>
    <row r="123" spans="1:19" s="415" customFormat="1" ht="12.75" customHeight="1">
      <c r="A123" s="394"/>
      <c r="B123" s="1102"/>
      <c r="C123" s="919"/>
      <c r="D123" s="186"/>
      <c r="E123" s="147"/>
      <c r="F123" s="406"/>
      <c r="G123" s="193"/>
      <c r="H123" s="315"/>
      <c r="I123" s="315"/>
      <c r="J123" s="315" t="s">
        <v>34</v>
      </c>
      <c r="K123" s="316"/>
      <c r="L123" s="664"/>
      <c r="M123" s="310"/>
      <c r="N123" s="1311"/>
      <c r="O123" s="1314"/>
      <c r="P123" s="261"/>
      <c r="Q123" s="261"/>
      <c r="R123" s="261"/>
      <c r="S123" s="416"/>
    </row>
    <row r="124" spans="1:19" s="415" customFormat="1" ht="12.75" customHeight="1">
      <c r="A124" s="394"/>
      <c r="B124" s="1102"/>
      <c r="C124" s="919"/>
      <c r="D124" s="186"/>
      <c r="E124" s="147"/>
      <c r="F124" s="406"/>
      <c r="G124" s="193"/>
      <c r="H124" s="315"/>
      <c r="I124" s="315"/>
      <c r="J124" s="315" t="s">
        <v>34</v>
      </c>
      <c r="K124" s="316"/>
      <c r="L124" s="664"/>
      <c r="M124" s="310"/>
      <c r="N124" s="1311"/>
      <c r="O124" s="1314"/>
      <c r="P124" s="261"/>
      <c r="Q124" s="261"/>
      <c r="R124" s="261"/>
      <c r="S124" s="416"/>
    </row>
    <row r="125" spans="1:19" s="415" customFormat="1" ht="12.75" customHeight="1">
      <c r="A125" s="394"/>
      <c r="B125" s="1102"/>
      <c r="C125" s="919"/>
      <c r="D125" s="186"/>
      <c r="E125" s="147"/>
      <c r="F125" s="406"/>
      <c r="G125" s="193"/>
      <c r="H125" s="315"/>
      <c r="I125" s="315"/>
      <c r="J125" s="315" t="s">
        <v>34</v>
      </c>
      <c r="K125" s="316"/>
      <c r="L125" s="664"/>
      <c r="M125" s="310"/>
      <c r="N125" s="1311"/>
      <c r="O125" s="1314"/>
      <c r="P125" s="261"/>
      <c r="Q125" s="261"/>
      <c r="R125" s="261"/>
      <c r="S125" s="416"/>
    </row>
    <row r="126" spans="1:19" s="415" customFormat="1" ht="12.75" customHeight="1">
      <c r="A126" s="394"/>
      <c r="B126" s="1102"/>
      <c r="C126" s="919"/>
      <c r="D126" s="186"/>
      <c r="E126" s="147"/>
      <c r="F126" s="406"/>
      <c r="G126" s="193"/>
      <c r="H126" s="315"/>
      <c r="I126" s="315"/>
      <c r="J126" s="315" t="s">
        <v>34</v>
      </c>
      <c r="K126" s="316"/>
      <c r="L126" s="664"/>
      <c r="M126" s="310"/>
      <c r="N126" s="1311"/>
      <c r="O126" s="1314"/>
      <c r="P126" s="261"/>
      <c r="Q126" s="261"/>
      <c r="R126" s="261"/>
      <c r="S126" s="416"/>
    </row>
    <row r="127" spans="1:19" s="415" customFormat="1" ht="12.75" customHeight="1">
      <c r="A127" s="394"/>
      <c r="B127" s="1102"/>
      <c r="C127" s="919"/>
      <c r="D127" s="186"/>
      <c r="E127" s="147"/>
      <c r="F127" s="406"/>
      <c r="G127" s="193"/>
      <c r="H127" s="315"/>
      <c r="I127" s="315"/>
      <c r="J127" s="315" t="s">
        <v>34</v>
      </c>
      <c r="K127" s="316"/>
      <c r="L127" s="664"/>
      <c r="M127" s="310"/>
      <c r="N127" s="1311"/>
      <c r="O127" s="1314"/>
      <c r="P127" s="261"/>
      <c r="Q127" s="261"/>
      <c r="R127" s="261"/>
      <c r="S127" s="416"/>
    </row>
    <row r="128" spans="1:19" s="415" customFormat="1" ht="12.75" customHeight="1">
      <c r="A128" s="394"/>
      <c r="B128" s="1102"/>
      <c r="C128" s="919"/>
      <c r="D128" s="186"/>
      <c r="E128" s="147"/>
      <c r="F128" s="406"/>
      <c r="G128" s="193"/>
      <c r="H128" s="315"/>
      <c r="I128" s="315"/>
      <c r="J128" s="315" t="s">
        <v>34</v>
      </c>
      <c r="K128" s="316"/>
      <c r="L128" s="664"/>
      <c r="M128" s="310"/>
      <c r="N128" s="1311"/>
      <c r="O128" s="1314"/>
      <c r="P128" s="261"/>
      <c r="Q128" s="261"/>
      <c r="R128" s="261"/>
      <c r="S128" s="416"/>
    </row>
    <row r="129" spans="1:19" s="415" customFormat="1" ht="12.75" customHeight="1">
      <c r="A129" s="394"/>
      <c r="B129" s="1102"/>
      <c r="C129" s="919"/>
      <c r="D129" s="186"/>
      <c r="E129" s="147"/>
      <c r="F129" s="406"/>
      <c r="G129" s="193"/>
      <c r="H129" s="315"/>
      <c r="I129" s="315"/>
      <c r="J129" s="315" t="s">
        <v>34</v>
      </c>
      <c r="K129" s="316"/>
      <c r="L129" s="664"/>
      <c r="M129" s="310"/>
      <c r="N129" s="1311"/>
      <c r="O129" s="1314"/>
      <c r="P129" s="261"/>
      <c r="Q129" s="261"/>
      <c r="R129" s="261"/>
      <c r="S129" s="416"/>
    </row>
    <row r="130" spans="1:19" s="415" customFormat="1" ht="12.75" customHeight="1">
      <c r="A130" s="394"/>
      <c r="B130" s="1102"/>
      <c r="C130" s="919"/>
      <c r="D130" s="186"/>
      <c r="E130" s="147"/>
      <c r="F130" s="406"/>
      <c r="G130" s="193"/>
      <c r="H130" s="315"/>
      <c r="I130" s="315"/>
      <c r="J130" s="315" t="s">
        <v>34</v>
      </c>
      <c r="K130" s="316"/>
      <c r="L130" s="664"/>
      <c r="M130" s="310"/>
      <c r="N130" s="1311"/>
      <c r="O130" s="1314"/>
      <c r="P130" s="261"/>
      <c r="Q130" s="261"/>
      <c r="R130" s="261"/>
      <c r="S130" s="416"/>
    </row>
    <row r="131" spans="1:19" s="415" customFormat="1" ht="12.75" customHeight="1">
      <c r="A131" s="394"/>
      <c r="B131" s="1102"/>
      <c r="C131" s="919"/>
      <c r="D131" s="186"/>
      <c r="E131" s="147"/>
      <c r="F131" s="406"/>
      <c r="G131" s="193"/>
      <c r="H131" s="315"/>
      <c r="I131" s="315"/>
      <c r="J131" s="315" t="s">
        <v>34</v>
      </c>
      <c r="K131" s="316"/>
      <c r="L131" s="664"/>
      <c r="M131" s="310"/>
      <c r="N131" s="1311"/>
      <c r="O131" s="1314"/>
      <c r="P131" s="261"/>
      <c r="Q131" s="261"/>
      <c r="R131" s="261"/>
      <c r="S131" s="416"/>
    </row>
    <row r="132" spans="1:19" s="415" customFormat="1" ht="12.75" customHeight="1">
      <c r="A132" s="394"/>
      <c r="B132" s="1102"/>
      <c r="C132" s="919"/>
      <c r="D132" s="186"/>
      <c r="E132" s="147"/>
      <c r="F132" s="406"/>
      <c r="G132" s="193"/>
      <c r="H132" s="315"/>
      <c r="I132" s="315"/>
      <c r="J132" s="315" t="s">
        <v>34</v>
      </c>
      <c r="K132" s="316"/>
      <c r="L132" s="664"/>
      <c r="M132" s="310"/>
      <c r="N132" s="1311"/>
      <c r="O132" s="1314"/>
      <c r="P132" s="261"/>
      <c r="Q132" s="261"/>
      <c r="R132" s="261"/>
      <c r="S132" s="416"/>
    </row>
    <row r="133" spans="1:19" s="415" customFormat="1" ht="12.75" customHeight="1">
      <c r="A133" s="394"/>
      <c r="B133" s="1102"/>
      <c r="C133" s="919"/>
      <c r="D133" s="186"/>
      <c r="E133" s="147"/>
      <c r="F133" s="406"/>
      <c r="G133" s="193"/>
      <c r="H133" s="315"/>
      <c r="I133" s="315"/>
      <c r="J133" s="315" t="s">
        <v>34</v>
      </c>
      <c r="K133" s="316"/>
      <c r="L133" s="664"/>
      <c r="M133" s="310"/>
      <c r="N133" s="1311"/>
      <c r="O133" s="1314"/>
      <c r="P133" s="261"/>
      <c r="Q133" s="261"/>
      <c r="R133" s="261"/>
      <c r="S133" s="416"/>
    </row>
    <row r="134" spans="1:19" s="415" customFormat="1" ht="12.75" customHeight="1">
      <c r="A134" s="394"/>
      <c r="B134" s="1102"/>
      <c r="C134" s="919"/>
      <c r="D134" s="186"/>
      <c r="E134" s="147"/>
      <c r="F134" s="406"/>
      <c r="G134" s="193"/>
      <c r="H134" s="315"/>
      <c r="I134" s="315"/>
      <c r="J134" s="315" t="s">
        <v>34</v>
      </c>
      <c r="K134" s="316"/>
      <c r="L134" s="664"/>
      <c r="M134" s="310"/>
      <c r="N134" s="1311"/>
      <c r="O134" s="1314"/>
      <c r="P134" s="261"/>
      <c r="Q134" s="261"/>
      <c r="R134" s="261"/>
      <c r="S134" s="416"/>
    </row>
    <row r="135" spans="1:19" s="415" customFormat="1" ht="12.75" customHeight="1">
      <c r="A135" s="394"/>
      <c r="B135" s="1102"/>
      <c r="C135" s="919"/>
      <c r="D135" s="186"/>
      <c r="E135" s="147"/>
      <c r="F135" s="406"/>
      <c r="G135" s="193"/>
      <c r="H135" s="315"/>
      <c r="I135" s="315"/>
      <c r="J135" s="315" t="s">
        <v>34</v>
      </c>
      <c r="K135" s="316"/>
      <c r="L135" s="664"/>
      <c r="M135" s="310"/>
      <c r="N135" s="1311"/>
      <c r="O135" s="1314"/>
      <c r="P135" s="261"/>
      <c r="Q135" s="261"/>
      <c r="R135" s="261"/>
      <c r="S135" s="416"/>
    </row>
    <row r="136" spans="1:19" s="415" customFormat="1" ht="12.75" customHeight="1" thickBot="1">
      <c r="A136" s="394"/>
      <c r="B136" s="1103"/>
      <c r="C136" s="926"/>
      <c r="D136" s="189"/>
      <c r="E136" s="201"/>
      <c r="F136" s="407"/>
      <c r="G136" s="195"/>
      <c r="H136" s="311"/>
      <c r="I136" s="311"/>
      <c r="J136" s="311" t="s">
        <v>34</v>
      </c>
      <c r="K136" s="312"/>
      <c r="L136" s="665"/>
      <c r="M136" s="310"/>
      <c r="N136" s="1312"/>
      <c r="O136" s="1315"/>
      <c r="P136" s="261"/>
      <c r="Q136" s="261"/>
      <c r="R136" s="261"/>
      <c r="S136" s="416"/>
    </row>
    <row r="137" spans="1:19" s="415" customFormat="1" ht="12.75" customHeight="1" thickBot="1">
      <c r="A137" s="394"/>
      <c r="B137" s="872"/>
      <c r="C137" s="872"/>
      <c r="D137" s="872"/>
      <c r="E137" s="872"/>
      <c r="F137" s="886"/>
      <c r="G137" s="886"/>
      <c r="H137" s="886"/>
      <c r="I137" s="403"/>
      <c r="J137" s="404"/>
      <c r="K137" s="138"/>
      <c r="L137" s="138"/>
      <c r="M137" s="261"/>
      <c r="N137" s="261"/>
      <c r="O137" s="261"/>
      <c r="P137" s="261"/>
      <c r="Q137" s="261"/>
      <c r="R137" s="261"/>
      <c r="S137" s="416"/>
    </row>
    <row r="138" spans="1:19" s="415" customFormat="1" ht="12.75" customHeight="1" thickBot="1">
      <c r="A138" s="394"/>
      <c r="B138" s="910"/>
      <c r="C138" s="910"/>
      <c r="D138" s="910"/>
      <c r="E138" s="910"/>
      <c r="F138" s="1228" t="s">
        <v>126</v>
      </c>
      <c r="G138" s="1229"/>
      <c r="H138" s="1230" t="s">
        <v>618</v>
      </c>
      <c r="I138" s="1230"/>
      <c r="J138" s="1232" t="s">
        <v>127</v>
      </c>
      <c r="K138" s="1233"/>
      <c r="L138" s="663"/>
      <c r="M138" s="663"/>
      <c r="N138" s="416"/>
      <c r="P138" s="261"/>
      <c r="Q138" s="261"/>
      <c r="R138" s="261"/>
      <c r="S138" s="416"/>
    </row>
    <row r="139" spans="1:19" s="415" customFormat="1" ht="12.75" customHeight="1" thickBot="1">
      <c r="A139" s="394"/>
      <c r="B139" s="909" t="s">
        <v>15</v>
      </c>
      <c r="C139" s="879" t="s">
        <v>128</v>
      </c>
      <c r="D139" s="398" t="s">
        <v>38</v>
      </c>
      <c r="E139" s="674" t="s">
        <v>571</v>
      </c>
      <c r="F139" s="400" t="s">
        <v>669</v>
      </c>
      <c r="G139" s="401" t="s">
        <v>314</v>
      </c>
      <c r="H139" s="401" t="s">
        <v>669</v>
      </c>
      <c r="I139" s="401" t="s">
        <v>314</v>
      </c>
      <c r="J139" s="401" t="s">
        <v>669</v>
      </c>
      <c r="K139" s="402" t="s">
        <v>314</v>
      </c>
      <c r="L139" s="212" t="s">
        <v>976</v>
      </c>
      <c r="M139" s="212" t="s">
        <v>984</v>
      </c>
      <c r="N139" s="666" t="s">
        <v>975</v>
      </c>
      <c r="O139" s="667" t="s">
        <v>985</v>
      </c>
      <c r="P139" s="261"/>
      <c r="Q139" s="261"/>
      <c r="R139" s="261"/>
      <c r="S139" s="416"/>
    </row>
    <row r="140" spans="1:19" s="415" customFormat="1" ht="12.75" customHeight="1">
      <c r="A140" s="394"/>
      <c r="B140" s="1101"/>
      <c r="C140" s="918"/>
      <c r="D140" s="199"/>
      <c r="E140" s="149"/>
      <c r="F140" s="405"/>
      <c r="G140" s="194"/>
      <c r="H140" s="313"/>
      <c r="I140" s="313"/>
      <c r="J140" s="313" t="s">
        <v>34</v>
      </c>
      <c r="K140" s="314"/>
      <c r="L140" s="664"/>
      <c r="M140" s="310"/>
      <c r="N140" s="1310"/>
      <c r="O140" s="1313"/>
      <c r="P140" s="261"/>
      <c r="Q140" s="261"/>
      <c r="R140" s="261"/>
      <c r="S140" s="416"/>
    </row>
    <row r="141" spans="1:19" s="415" customFormat="1" ht="12.75" customHeight="1">
      <c r="A141" s="394"/>
      <c r="B141" s="1102"/>
      <c r="C141" s="919"/>
      <c r="D141" s="185"/>
      <c r="E141" s="399"/>
      <c r="F141" s="406"/>
      <c r="G141" s="193"/>
      <c r="H141" s="315"/>
      <c r="I141" s="315"/>
      <c r="J141" s="315" t="s">
        <v>34</v>
      </c>
      <c r="K141" s="316"/>
      <c r="L141" s="664"/>
      <c r="M141" s="310"/>
      <c r="N141" s="1311"/>
      <c r="O141" s="1314"/>
      <c r="P141" s="261"/>
      <c r="Q141" s="261"/>
      <c r="R141" s="261"/>
      <c r="S141" s="416"/>
    </row>
    <row r="142" spans="1:19" s="415" customFormat="1" ht="12.75" customHeight="1">
      <c r="A142" s="394"/>
      <c r="B142" s="1102"/>
      <c r="C142" s="919"/>
      <c r="D142" s="185"/>
      <c r="E142" s="399"/>
      <c r="F142" s="406"/>
      <c r="G142" s="193"/>
      <c r="H142" s="315"/>
      <c r="I142" s="315"/>
      <c r="J142" s="315" t="s">
        <v>34</v>
      </c>
      <c r="K142" s="316"/>
      <c r="L142" s="664"/>
      <c r="M142" s="310"/>
      <c r="N142" s="1311"/>
      <c r="O142" s="1314"/>
      <c r="P142" s="261"/>
      <c r="Q142" s="261"/>
      <c r="R142" s="261"/>
      <c r="S142" s="416"/>
    </row>
    <row r="143" spans="1:19" s="415" customFormat="1" ht="12.75" customHeight="1">
      <c r="A143" s="394"/>
      <c r="B143" s="1102"/>
      <c r="C143" s="919"/>
      <c r="D143" s="185"/>
      <c r="E143" s="399"/>
      <c r="F143" s="406"/>
      <c r="G143" s="193"/>
      <c r="H143" s="315"/>
      <c r="I143" s="315"/>
      <c r="J143" s="315" t="s">
        <v>34</v>
      </c>
      <c r="K143" s="316"/>
      <c r="L143" s="664"/>
      <c r="M143" s="310"/>
      <c r="N143" s="1311"/>
      <c r="O143" s="1314"/>
      <c r="P143" s="261"/>
      <c r="Q143" s="261"/>
      <c r="R143" s="261"/>
      <c r="S143" s="416"/>
    </row>
    <row r="144" spans="1:19" s="415" customFormat="1" ht="12.75" customHeight="1">
      <c r="A144" s="394"/>
      <c r="B144" s="1102"/>
      <c r="C144" s="919"/>
      <c r="D144" s="185"/>
      <c r="E144" s="399"/>
      <c r="F144" s="406"/>
      <c r="G144" s="193"/>
      <c r="H144" s="315"/>
      <c r="I144" s="315"/>
      <c r="J144" s="315" t="s">
        <v>34</v>
      </c>
      <c r="K144" s="316"/>
      <c r="L144" s="664"/>
      <c r="M144" s="310"/>
      <c r="N144" s="1311"/>
      <c r="O144" s="1314"/>
      <c r="P144" s="261"/>
      <c r="Q144" s="261"/>
      <c r="R144" s="261"/>
      <c r="S144" s="416"/>
    </row>
    <row r="145" spans="1:19" s="415" customFormat="1" ht="12.75" customHeight="1">
      <c r="A145" s="394"/>
      <c r="B145" s="1102"/>
      <c r="C145" s="919"/>
      <c r="D145" s="186"/>
      <c r="E145" s="147"/>
      <c r="F145" s="406"/>
      <c r="G145" s="193"/>
      <c r="H145" s="315"/>
      <c r="I145" s="315"/>
      <c r="J145" s="315" t="s">
        <v>34</v>
      </c>
      <c r="K145" s="316"/>
      <c r="L145" s="664"/>
      <c r="M145" s="310"/>
      <c r="N145" s="1311"/>
      <c r="O145" s="1314"/>
      <c r="P145" s="261"/>
      <c r="Q145" s="261"/>
      <c r="R145" s="261"/>
      <c r="S145" s="416"/>
    </row>
    <row r="146" spans="1:19" s="415" customFormat="1" ht="12.75" customHeight="1">
      <c r="A146" s="394"/>
      <c r="B146" s="1102"/>
      <c r="C146" s="919"/>
      <c r="D146" s="186"/>
      <c r="E146" s="147"/>
      <c r="F146" s="406"/>
      <c r="G146" s="193"/>
      <c r="H146" s="315"/>
      <c r="I146" s="315"/>
      <c r="J146" s="315" t="s">
        <v>34</v>
      </c>
      <c r="K146" s="316"/>
      <c r="L146" s="664"/>
      <c r="M146" s="310"/>
      <c r="N146" s="1311"/>
      <c r="O146" s="1314"/>
      <c r="P146" s="261"/>
      <c r="Q146" s="261"/>
      <c r="R146" s="261"/>
      <c r="S146" s="416"/>
    </row>
    <row r="147" spans="1:19" s="415" customFormat="1" ht="12.75" customHeight="1">
      <c r="A147" s="394"/>
      <c r="B147" s="1102"/>
      <c r="C147" s="919"/>
      <c r="D147" s="186"/>
      <c r="E147" s="147"/>
      <c r="F147" s="406"/>
      <c r="G147" s="193"/>
      <c r="H147" s="315"/>
      <c r="I147" s="315"/>
      <c r="J147" s="315" t="s">
        <v>34</v>
      </c>
      <c r="K147" s="316"/>
      <c r="L147" s="664"/>
      <c r="M147" s="310"/>
      <c r="N147" s="1311"/>
      <c r="O147" s="1314"/>
      <c r="P147" s="261"/>
      <c r="Q147" s="261"/>
      <c r="R147" s="261"/>
      <c r="S147" s="416"/>
    </row>
    <row r="148" spans="1:19" s="415" customFormat="1" ht="12.75" customHeight="1">
      <c r="A148" s="394"/>
      <c r="B148" s="1102"/>
      <c r="C148" s="919"/>
      <c r="D148" s="186"/>
      <c r="E148" s="147"/>
      <c r="F148" s="406"/>
      <c r="G148" s="193"/>
      <c r="H148" s="315"/>
      <c r="I148" s="315"/>
      <c r="J148" s="315" t="s">
        <v>34</v>
      </c>
      <c r="K148" s="316"/>
      <c r="L148" s="664"/>
      <c r="M148" s="310"/>
      <c r="N148" s="1311"/>
      <c r="O148" s="1314"/>
      <c r="P148" s="261"/>
      <c r="Q148" s="261"/>
      <c r="R148" s="261"/>
      <c r="S148" s="416"/>
    </row>
    <row r="149" spans="1:19" s="415" customFormat="1" ht="12.75" customHeight="1">
      <c r="A149" s="394"/>
      <c r="B149" s="1102"/>
      <c r="C149" s="919"/>
      <c r="D149" s="186"/>
      <c r="E149" s="147"/>
      <c r="F149" s="406"/>
      <c r="G149" s="193"/>
      <c r="H149" s="315"/>
      <c r="I149" s="315"/>
      <c r="J149" s="315" t="s">
        <v>34</v>
      </c>
      <c r="K149" s="316"/>
      <c r="L149" s="664"/>
      <c r="M149" s="310"/>
      <c r="N149" s="1311"/>
      <c r="O149" s="1314"/>
      <c r="P149" s="261"/>
      <c r="Q149" s="261"/>
      <c r="R149" s="261"/>
      <c r="S149" s="416"/>
    </row>
    <row r="150" spans="1:19" s="415" customFormat="1" ht="12.75" customHeight="1">
      <c r="A150" s="394"/>
      <c r="B150" s="1102"/>
      <c r="C150" s="919"/>
      <c r="D150" s="186"/>
      <c r="E150" s="147"/>
      <c r="F150" s="406"/>
      <c r="G150" s="193"/>
      <c r="H150" s="315"/>
      <c r="I150" s="315"/>
      <c r="J150" s="315" t="s">
        <v>34</v>
      </c>
      <c r="K150" s="316"/>
      <c r="L150" s="664"/>
      <c r="M150" s="310"/>
      <c r="N150" s="1311"/>
      <c r="O150" s="1314"/>
      <c r="P150" s="261"/>
      <c r="Q150" s="261"/>
      <c r="R150" s="261"/>
      <c r="S150" s="416"/>
    </row>
    <row r="151" spans="1:19" s="415" customFormat="1" ht="12.75" customHeight="1">
      <c r="A151" s="394"/>
      <c r="B151" s="1102"/>
      <c r="C151" s="919"/>
      <c r="D151" s="186"/>
      <c r="E151" s="147"/>
      <c r="F151" s="406"/>
      <c r="G151" s="193"/>
      <c r="H151" s="315"/>
      <c r="I151" s="315"/>
      <c r="J151" s="315" t="s">
        <v>34</v>
      </c>
      <c r="K151" s="316"/>
      <c r="L151" s="664"/>
      <c r="M151" s="310"/>
      <c r="N151" s="1311"/>
      <c r="O151" s="1314"/>
      <c r="P151" s="261"/>
      <c r="Q151" s="261"/>
      <c r="R151" s="261"/>
      <c r="S151" s="416"/>
    </row>
    <row r="152" spans="1:19" s="415" customFormat="1" ht="12.75" customHeight="1">
      <c r="A152" s="394"/>
      <c r="B152" s="1102"/>
      <c r="C152" s="919"/>
      <c r="D152" s="186"/>
      <c r="E152" s="147"/>
      <c r="F152" s="406"/>
      <c r="G152" s="193"/>
      <c r="H152" s="315"/>
      <c r="I152" s="315"/>
      <c r="J152" s="315" t="s">
        <v>34</v>
      </c>
      <c r="K152" s="316"/>
      <c r="L152" s="664"/>
      <c r="M152" s="310"/>
      <c r="N152" s="1311"/>
      <c r="O152" s="1314"/>
      <c r="P152" s="261"/>
      <c r="Q152" s="261"/>
      <c r="R152" s="261"/>
      <c r="S152" s="416"/>
    </row>
    <row r="153" spans="1:19" s="415" customFormat="1" ht="12.75" customHeight="1">
      <c r="A153" s="394"/>
      <c r="B153" s="1102"/>
      <c r="C153" s="919"/>
      <c r="D153" s="186"/>
      <c r="E153" s="147"/>
      <c r="F153" s="406"/>
      <c r="G153" s="193"/>
      <c r="H153" s="315"/>
      <c r="I153" s="315"/>
      <c r="J153" s="315" t="s">
        <v>34</v>
      </c>
      <c r="K153" s="316"/>
      <c r="L153" s="664"/>
      <c r="M153" s="310"/>
      <c r="N153" s="1311"/>
      <c r="O153" s="1314"/>
      <c r="P153" s="261"/>
      <c r="Q153" s="261"/>
      <c r="R153" s="261"/>
      <c r="S153" s="416"/>
    </row>
    <row r="154" spans="1:19" s="415" customFormat="1" ht="12.75" customHeight="1">
      <c r="A154" s="394"/>
      <c r="B154" s="1102"/>
      <c r="C154" s="919"/>
      <c r="D154" s="186"/>
      <c r="E154" s="147"/>
      <c r="F154" s="406"/>
      <c r="G154" s="193"/>
      <c r="H154" s="315"/>
      <c r="I154" s="315"/>
      <c r="J154" s="315" t="s">
        <v>34</v>
      </c>
      <c r="K154" s="316"/>
      <c r="L154" s="664"/>
      <c r="M154" s="310"/>
      <c r="N154" s="1311"/>
      <c r="O154" s="1314"/>
      <c r="P154" s="261"/>
      <c r="Q154" s="261"/>
      <c r="R154" s="261"/>
      <c r="S154" s="416"/>
    </row>
    <row r="155" spans="1:19" s="415" customFormat="1" ht="12.75" customHeight="1">
      <c r="A155" s="394"/>
      <c r="B155" s="1102"/>
      <c r="C155" s="919"/>
      <c r="D155" s="186"/>
      <c r="E155" s="147"/>
      <c r="F155" s="406"/>
      <c r="G155" s="193"/>
      <c r="H155" s="315"/>
      <c r="I155" s="315"/>
      <c r="J155" s="315" t="s">
        <v>34</v>
      </c>
      <c r="K155" s="316"/>
      <c r="L155" s="664"/>
      <c r="M155" s="310"/>
      <c r="N155" s="1311"/>
      <c r="O155" s="1314"/>
      <c r="P155" s="261"/>
      <c r="Q155" s="261"/>
      <c r="R155" s="261"/>
      <c r="S155" s="416"/>
    </row>
    <row r="156" spans="1:19" s="415" customFormat="1" ht="12.75" customHeight="1">
      <c r="A156" s="394"/>
      <c r="B156" s="1102"/>
      <c r="C156" s="919"/>
      <c r="D156" s="186"/>
      <c r="E156" s="147"/>
      <c r="F156" s="406"/>
      <c r="G156" s="193"/>
      <c r="H156" s="315"/>
      <c r="I156" s="315"/>
      <c r="J156" s="315" t="s">
        <v>34</v>
      </c>
      <c r="K156" s="316"/>
      <c r="L156" s="664"/>
      <c r="M156" s="310"/>
      <c r="N156" s="1311"/>
      <c r="O156" s="1314"/>
      <c r="P156" s="261"/>
      <c r="Q156" s="261"/>
      <c r="R156" s="261"/>
      <c r="S156" s="416"/>
    </row>
    <row r="157" spans="1:19" s="415" customFormat="1" ht="12.75" customHeight="1">
      <c r="A157" s="394"/>
      <c r="B157" s="1102"/>
      <c r="C157" s="919"/>
      <c r="D157" s="186"/>
      <c r="E157" s="147"/>
      <c r="F157" s="406"/>
      <c r="G157" s="193"/>
      <c r="H157" s="315"/>
      <c r="I157" s="315"/>
      <c r="J157" s="315" t="s">
        <v>34</v>
      </c>
      <c r="K157" s="316"/>
      <c r="L157" s="664"/>
      <c r="M157" s="310"/>
      <c r="N157" s="1311"/>
      <c r="O157" s="1314"/>
      <c r="P157" s="261"/>
      <c r="Q157" s="261"/>
      <c r="R157" s="261"/>
      <c r="S157" s="416"/>
    </row>
    <row r="158" spans="1:19" s="415" customFormat="1" ht="12.75" customHeight="1">
      <c r="A158" s="394"/>
      <c r="B158" s="1102"/>
      <c r="C158" s="919"/>
      <c r="D158" s="186"/>
      <c r="E158" s="147"/>
      <c r="F158" s="406"/>
      <c r="G158" s="193"/>
      <c r="H158" s="315"/>
      <c r="I158" s="315"/>
      <c r="J158" s="315" t="s">
        <v>34</v>
      </c>
      <c r="K158" s="316"/>
      <c r="L158" s="664"/>
      <c r="M158" s="310"/>
      <c r="N158" s="1311"/>
      <c r="O158" s="1314"/>
      <c r="P158" s="261"/>
      <c r="Q158" s="261"/>
      <c r="R158" s="261"/>
      <c r="S158" s="416"/>
    </row>
    <row r="159" spans="1:19" s="415" customFormat="1" ht="12.75" customHeight="1" thickBot="1">
      <c r="A159" s="394"/>
      <c r="B159" s="1103"/>
      <c r="C159" s="926"/>
      <c r="D159" s="189"/>
      <c r="E159" s="201"/>
      <c r="F159" s="407"/>
      <c r="G159" s="195"/>
      <c r="H159" s="311"/>
      <c r="I159" s="311"/>
      <c r="J159" s="311" t="s">
        <v>34</v>
      </c>
      <c r="K159" s="312"/>
      <c r="L159" s="665"/>
      <c r="M159" s="310"/>
      <c r="N159" s="1312"/>
      <c r="O159" s="1315"/>
      <c r="P159" s="261"/>
      <c r="Q159" s="261"/>
      <c r="R159" s="261"/>
      <c r="S159" s="416"/>
    </row>
    <row r="160" spans="1:19" s="415" customFormat="1" ht="12.75" customHeight="1" thickBot="1">
      <c r="A160" s="394"/>
      <c r="B160" s="872"/>
      <c r="C160" s="872"/>
      <c r="D160" s="872"/>
      <c r="E160" s="872"/>
      <c r="F160" s="886"/>
      <c r="G160" s="886"/>
      <c r="H160" s="886"/>
      <c r="I160" s="403"/>
      <c r="J160" s="404"/>
      <c r="K160" s="138"/>
      <c r="L160" s="138"/>
      <c r="M160" s="261"/>
      <c r="N160" s="261"/>
      <c r="O160" s="261"/>
      <c r="P160" s="261"/>
      <c r="Q160" s="261"/>
      <c r="R160" s="261"/>
      <c r="S160" s="416"/>
    </row>
    <row r="161" spans="1:19" s="415" customFormat="1" ht="12.75" customHeight="1" thickBot="1">
      <c r="A161" s="394"/>
      <c r="B161" s="910"/>
      <c r="C161" s="910"/>
      <c r="D161" s="910"/>
      <c r="E161" s="910"/>
      <c r="F161" s="1228" t="s">
        <v>126</v>
      </c>
      <c r="G161" s="1229"/>
      <c r="H161" s="1230" t="s">
        <v>618</v>
      </c>
      <c r="I161" s="1230"/>
      <c r="J161" s="1232" t="s">
        <v>127</v>
      </c>
      <c r="K161" s="1233"/>
      <c r="L161" s="663"/>
      <c r="M161" s="663"/>
      <c r="N161" s="416"/>
      <c r="P161" s="261"/>
      <c r="Q161" s="261"/>
      <c r="R161" s="261"/>
      <c r="S161" s="416"/>
    </row>
    <row r="162" spans="1:19" s="415" customFormat="1" ht="12.75" customHeight="1" thickBot="1">
      <c r="A162" s="394"/>
      <c r="B162" s="909" t="s">
        <v>15</v>
      </c>
      <c r="C162" s="879" t="s">
        <v>128</v>
      </c>
      <c r="D162" s="398" t="s">
        <v>38</v>
      </c>
      <c r="E162" s="674" t="s">
        <v>571</v>
      </c>
      <c r="F162" s="400" t="s">
        <v>669</v>
      </c>
      <c r="G162" s="401" t="s">
        <v>314</v>
      </c>
      <c r="H162" s="401" t="s">
        <v>669</v>
      </c>
      <c r="I162" s="401" t="s">
        <v>314</v>
      </c>
      <c r="J162" s="401" t="s">
        <v>669</v>
      </c>
      <c r="K162" s="402" t="s">
        <v>314</v>
      </c>
      <c r="L162" s="212" t="s">
        <v>976</v>
      </c>
      <c r="M162" s="212" t="s">
        <v>984</v>
      </c>
      <c r="N162" s="666" t="s">
        <v>975</v>
      </c>
      <c r="O162" s="667" t="s">
        <v>985</v>
      </c>
      <c r="P162" s="261"/>
      <c r="Q162" s="261"/>
      <c r="R162" s="261"/>
      <c r="S162" s="416"/>
    </row>
    <row r="163" spans="1:19" s="415" customFormat="1" ht="12.75" customHeight="1">
      <c r="A163" s="394"/>
      <c r="B163" s="1101"/>
      <c r="C163" s="918"/>
      <c r="D163" s="199"/>
      <c r="E163" s="149"/>
      <c r="F163" s="405"/>
      <c r="G163" s="194"/>
      <c r="H163" s="313"/>
      <c r="I163" s="313"/>
      <c r="J163" s="313" t="s">
        <v>34</v>
      </c>
      <c r="K163" s="314"/>
      <c r="L163" s="664"/>
      <c r="M163" s="310"/>
      <c r="N163" s="1310"/>
      <c r="O163" s="1313"/>
      <c r="P163" s="261"/>
      <c r="Q163" s="261"/>
      <c r="R163" s="261"/>
      <c r="S163" s="416"/>
    </row>
    <row r="164" spans="1:19" s="415" customFormat="1" ht="12.75" customHeight="1">
      <c r="A164" s="394"/>
      <c r="B164" s="1102"/>
      <c r="C164" s="919"/>
      <c r="D164" s="185"/>
      <c r="E164" s="399"/>
      <c r="F164" s="406"/>
      <c r="G164" s="193"/>
      <c r="H164" s="315"/>
      <c r="I164" s="315"/>
      <c r="J164" s="315" t="s">
        <v>34</v>
      </c>
      <c r="K164" s="316"/>
      <c r="L164" s="664"/>
      <c r="M164" s="310"/>
      <c r="N164" s="1311"/>
      <c r="O164" s="1314"/>
      <c r="P164" s="261"/>
      <c r="Q164" s="261"/>
      <c r="R164" s="261"/>
      <c r="S164" s="416"/>
    </row>
    <row r="165" spans="1:19" s="415" customFormat="1" ht="12.75" customHeight="1">
      <c r="A165" s="394"/>
      <c r="B165" s="1102"/>
      <c r="C165" s="919"/>
      <c r="D165" s="185"/>
      <c r="E165" s="399"/>
      <c r="F165" s="406"/>
      <c r="G165" s="193"/>
      <c r="H165" s="315"/>
      <c r="I165" s="315"/>
      <c r="J165" s="315" t="s">
        <v>34</v>
      </c>
      <c r="K165" s="316"/>
      <c r="L165" s="664"/>
      <c r="M165" s="310"/>
      <c r="N165" s="1311"/>
      <c r="O165" s="1314"/>
      <c r="P165" s="261"/>
      <c r="Q165" s="261"/>
      <c r="R165" s="261"/>
      <c r="S165" s="416"/>
    </row>
    <row r="166" spans="1:19" s="415" customFormat="1" ht="12.75" customHeight="1">
      <c r="A166" s="394"/>
      <c r="B166" s="1102"/>
      <c r="C166" s="919"/>
      <c r="D166" s="185"/>
      <c r="E166" s="399"/>
      <c r="F166" s="406"/>
      <c r="G166" s="193"/>
      <c r="H166" s="315"/>
      <c r="I166" s="315"/>
      <c r="J166" s="315" t="s">
        <v>34</v>
      </c>
      <c r="K166" s="316"/>
      <c r="L166" s="664"/>
      <c r="M166" s="310"/>
      <c r="N166" s="1311"/>
      <c r="O166" s="1314"/>
      <c r="P166" s="261"/>
      <c r="Q166" s="261"/>
      <c r="R166" s="261"/>
      <c r="S166" s="416"/>
    </row>
    <row r="167" spans="1:19" s="415" customFormat="1" ht="12.75" customHeight="1">
      <c r="A167" s="394"/>
      <c r="B167" s="1102"/>
      <c r="C167" s="919"/>
      <c r="D167" s="185"/>
      <c r="E167" s="399"/>
      <c r="F167" s="406"/>
      <c r="G167" s="193"/>
      <c r="H167" s="315"/>
      <c r="I167" s="315"/>
      <c r="J167" s="315" t="s">
        <v>34</v>
      </c>
      <c r="K167" s="316"/>
      <c r="L167" s="664"/>
      <c r="M167" s="310"/>
      <c r="N167" s="1311"/>
      <c r="O167" s="1314"/>
      <c r="P167" s="261"/>
      <c r="Q167" s="261"/>
      <c r="R167" s="261"/>
      <c r="S167" s="416"/>
    </row>
    <row r="168" spans="1:19" s="415" customFormat="1" ht="12.75" customHeight="1">
      <c r="A168" s="394"/>
      <c r="B168" s="1102"/>
      <c r="C168" s="919"/>
      <c r="D168" s="186"/>
      <c r="E168" s="147"/>
      <c r="F168" s="406"/>
      <c r="G168" s="193"/>
      <c r="H168" s="315"/>
      <c r="I168" s="315"/>
      <c r="J168" s="315" t="s">
        <v>34</v>
      </c>
      <c r="K168" s="316"/>
      <c r="L168" s="664"/>
      <c r="M168" s="310"/>
      <c r="N168" s="1311"/>
      <c r="O168" s="1314"/>
      <c r="P168" s="261"/>
      <c r="Q168" s="261"/>
      <c r="R168" s="261"/>
      <c r="S168" s="416"/>
    </row>
    <row r="169" spans="1:19" s="415" customFormat="1" ht="12.75" customHeight="1">
      <c r="A169" s="394"/>
      <c r="B169" s="1102"/>
      <c r="C169" s="919"/>
      <c r="D169" s="186"/>
      <c r="E169" s="147"/>
      <c r="F169" s="406"/>
      <c r="G169" s="193"/>
      <c r="H169" s="315"/>
      <c r="I169" s="315"/>
      <c r="J169" s="315" t="s">
        <v>34</v>
      </c>
      <c r="K169" s="316"/>
      <c r="L169" s="664"/>
      <c r="M169" s="310"/>
      <c r="N169" s="1311"/>
      <c r="O169" s="1314"/>
      <c r="P169" s="261"/>
      <c r="Q169" s="261"/>
      <c r="R169" s="261"/>
      <c r="S169" s="416"/>
    </row>
    <row r="170" spans="1:19" s="415" customFormat="1" ht="12.75" customHeight="1">
      <c r="A170" s="394"/>
      <c r="B170" s="1102"/>
      <c r="C170" s="919"/>
      <c r="D170" s="186"/>
      <c r="E170" s="147"/>
      <c r="F170" s="406"/>
      <c r="G170" s="193"/>
      <c r="H170" s="315"/>
      <c r="I170" s="315"/>
      <c r="J170" s="315" t="s">
        <v>34</v>
      </c>
      <c r="K170" s="316"/>
      <c r="L170" s="664"/>
      <c r="M170" s="310"/>
      <c r="N170" s="1311"/>
      <c r="O170" s="1314"/>
      <c r="P170" s="261"/>
      <c r="Q170" s="261"/>
      <c r="R170" s="261"/>
      <c r="S170" s="416"/>
    </row>
    <row r="171" spans="1:19" s="415" customFormat="1" ht="12.75" customHeight="1">
      <c r="A171" s="394"/>
      <c r="B171" s="1102"/>
      <c r="C171" s="919"/>
      <c r="D171" s="186"/>
      <c r="E171" s="147"/>
      <c r="F171" s="406"/>
      <c r="G171" s="193"/>
      <c r="H171" s="315"/>
      <c r="I171" s="315"/>
      <c r="J171" s="315" t="s">
        <v>34</v>
      </c>
      <c r="K171" s="316"/>
      <c r="L171" s="664"/>
      <c r="M171" s="310"/>
      <c r="N171" s="1311"/>
      <c r="O171" s="1314"/>
      <c r="P171" s="261"/>
      <c r="Q171" s="261"/>
      <c r="R171" s="261"/>
      <c r="S171" s="416"/>
    </row>
    <row r="172" spans="1:19" s="415" customFormat="1" ht="12.75" customHeight="1">
      <c r="A172" s="394"/>
      <c r="B172" s="1102"/>
      <c r="C172" s="919"/>
      <c r="D172" s="186"/>
      <c r="E172" s="147"/>
      <c r="F172" s="406"/>
      <c r="G172" s="193"/>
      <c r="H172" s="315"/>
      <c r="I172" s="315"/>
      <c r="J172" s="315" t="s">
        <v>34</v>
      </c>
      <c r="K172" s="316"/>
      <c r="L172" s="664"/>
      <c r="M172" s="310"/>
      <c r="N172" s="1311"/>
      <c r="O172" s="1314"/>
      <c r="P172" s="261"/>
      <c r="Q172" s="261"/>
      <c r="R172" s="261"/>
      <c r="S172" s="416"/>
    </row>
    <row r="173" spans="1:19" s="415" customFormat="1" ht="12.75" customHeight="1">
      <c r="A173" s="394"/>
      <c r="B173" s="1102"/>
      <c r="C173" s="919"/>
      <c r="D173" s="186"/>
      <c r="E173" s="147"/>
      <c r="F173" s="406"/>
      <c r="G173" s="193"/>
      <c r="H173" s="315"/>
      <c r="I173" s="315"/>
      <c r="J173" s="315" t="s">
        <v>34</v>
      </c>
      <c r="K173" s="316"/>
      <c r="L173" s="664"/>
      <c r="M173" s="310"/>
      <c r="N173" s="1311"/>
      <c r="O173" s="1314"/>
      <c r="P173" s="261"/>
      <c r="Q173" s="261"/>
      <c r="R173" s="261"/>
      <c r="S173" s="416"/>
    </row>
    <row r="174" spans="1:19" s="415" customFormat="1" ht="12.75" customHeight="1">
      <c r="A174" s="394"/>
      <c r="B174" s="1102"/>
      <c r="C174" s="919"/>
      <c r="D174" s="186"/>
      <c r="E174" s="147"/>
      <c r="F174" s="406"/>
      <c r="G174" s="193"/>
      <c r="H174" s="315"/>
      <c r="I174" s="315"/>
      <c r="J174" s="315" t="s">
        <v>34</v>
      </c>
      <c r="K174" s="316"/>
      <c r="L174" s="664"/>
      <c r="M174" s="310"/>
      <c r="N174" s="1311"/>
      <c r="O174" s="1314"/>
      <c r="P174" s="261"/>
      <c r="Q174" s="261"/>
      <c r="R174" s="261"/>
      <c r="S174" s="416"/>
    </row>
    <row r="175" spans="1:19" s="415" customFormat="1" ht="12.75" customHeight="1">
      <c r="A175" s="394"/>
      <c r="B175" s="1102"/>
      <c r="C175" s="919"/>
      <c r="D175" s="186"/>
      <c r="E175" s="147"/>
      <c r="F175" s="406"/>
      <c r="G175" s="193"/>
      <c r="H175" s="315"/>
      <c r="I175" s="315"/>
      <c r="J175" s="315" t="s">
        <v>34</v>
      </c>
      <c r="K175" s="316"/>
      <c r="L175" s="664"/>
      <c r="M175" s="310"/>
      <c r="N175" s="1311"/>
      <c r="O175" s="1314"/>
      <c r="P175" s="261"/>
      <c r="Q175" s="261"/>
      <c r="R175" s="261"/>
      <c r="S175" s="416"/>
    </row>
    <row r="176" spans="1:19" s="415" customFormat="1" ht="12.75" customHeight="1">
      <c r="A176" s="394"/>
      <c r="B176" s="1102"/>
      <c r="C176" s="919"/>
      <c r="D176" s="186"/>
      <c r="E176" s="147"/>
      <c r="F176" s="406"/>
      <c r="G176" s="193"/>
      <c r="H176" s="315"/>
      <c r="I176" s="315"/>
      <c r="J176" s="315" t="s">
        <v>34</v>
      </c>
      <c r="K176" s="316"/>
      <c r="L176" s="664"/>
      <c r="M176" s="310"/>
      <c r="N176" s="1311"/>
      <c r="O176" s="1314"/>
      <c r="P176" s="261"/>
      <c r="Q176" s="261"/>
      <c r="R176" s="261"/>
      <c r="S176" s="416"/>
    </row>
    <row r="177" spans="1:19" s="415" customFormat="1" ht="12.75" customHeight="1">
      <c r="A177" s="394"/>
      <c r="B177" s="1102"/>
      <c r="C177" s="919"/>
      <c r="D177" s="186"/>
      <c r="E177" s="147"/>
      <c r="F177" s="406"/>
      <c r="G177" s="193"/>
      <c r="H177" s="315"/>
      <c r="I177" s="315"/>
      <c r="J177" s="315" t="s">
        <v>34</v>
      </c>
      <c r="K177" s="316"/>
      <c r="L177" s="664"/>
      <c r="M177" s="310"/>
      <c r="N177" s="1311"/>
      <c r="O177" s="1314"/>
      <c r="P177" s="261"/>
      <c r="Q177" s="261"/>
      <c r="R177" s="261"/>
      <c r="S177" s="416"/>
    </row>
    <row r="178" spans="1:19" s="415" customFormat="1" ht="12.75" customHeight="1">
      <c r="A178" s="394"/>
      <c r="B178" s="1102"/>
      <c r="C178" s="919"/>
      <c r="D178" s="186"/>
      <c r="E178" s="147"/>
      <c r="F178" s="406"/>
      <c r="G178" s="193"/>
      <c r="H178" s="315"/>
      <c r="I178" s="315"/>
      <c r="J178" s="315" t="s">
        <v>34</v>
      </c>
      <c r="K178" s="316"/>
      <c r="L178" s="664"/>
      <c r="M178" s="310"/>
      <c r="N178" s="1311"/>
      <c r="O178" s="1314"/>
      <c r="P178" s="261"/>
      <c r="Q178" s="261"/>
      <c r="R178" s="261"/>
      <c r="S178" s="416"/>
    </row>
    <row r="179" spans="1:19" s="415" customFormat="1" ht="12.75" customHeight="1">
      <c r="A179" s="394"/>
      <c r="B179" s="1102"/>
      <c r="C179" s="919"/>
      <c r="D179" s="186"/>
      <c r="E179" s="147"/>
      <c r="F179" s="406"/>
      <c r="G179" s="193"/>
      <c r="H179" s="315"/>
      <c r="I179" s="315"/>
      <c r="J179" s="315" t="s">
        <v>34</v>
      </c>
      <c r="K179" s="316"/>
      <c r="L179" s="664"/>
      <c r="M179" s="310"/>
      <c r="N179" s="1311"/>
      <c r="O179" s="1314"/>
      <c r="P179" s="261"/>
      <c r="Q179" s="261"/>
      <c r="R179" s="261"/>
      <c r="S179" s="416"/>
    </row>
    <row r="180" spans="1:19" s="415" customFormat="1" ht="12.75" customHeight="1">
      <c r="A180" s="394"/>
      <c r="B180" s="1102"/>
      <c r="C180" s="919"/>
      <c r="D180" s="186"/>
      <c r="E180" s="147"/>
      <c r="F180" s="406"/>
      <c r="G180" s="193"/>
      <c r="H180" s="315"/>
      <c r="I180" s="315"/>
      <c r="J180" s="315" t="s">
        <v>34</v>
      </c>
      <c r="K180" s="316"/>
      <c r="L180" s="664"/>
      <c r="M180" s="310"/>
      <c r="N180" s="1311"/>
      <c r="O180" s="1314"/>
      <c r="P180" s="261"/>
      <c r="Q180" s="261"/>
      <c r="R180" s="261"/>
      <c r="S180" s="416"/>
    </row>
    <row r="181" spans="1:19" s="415" customFormat="1" ht="12.75" customHeight="1">
      <c r="A181" s="394"/>
      <c r="B181" s="1102"/>
      <c r="C181" s="919"/>
      <c r="D181" s="186"/>
      <c r="E181" s="147"/>
      <c r="F181" s="406"/>
      <c r="G181" s="193"/>
      <c r="H181" s="315"/>
      <c r="I181" s="315"/>
      <c r="J181" s="315" t="s">
        <v>34</v>
      </c>
      <c r="K181" s="316"/>
      <c r="L181" s="664"/>
      <c r="M181" s="310"/>
      <c r="N181" s="1311"/>
      <c r="O181" s="1314"/>
      <c r="P181" s="261"/>
      <c r="Q181" s="261"/>
      <c r="R181" s="261"/>
      <c r="S181" s="416"/>
    </row>
    <row r="182" spans="1:19" s="415" customFormat="1" ht="12.75" customHeight="1" thickBot="1">
      <c r="A182" s="394"/>
      <c r="B182" s="1103"/>
      <c r="C182" s="926"/>
      <c r="D182" s="189"/>
      <c r="E182" s="201"/>
      <c r="F182" s="407"/>
      <c r="G182" s="195"/>
      <c r="H182" s="311"/>
      <c r="I182" s="311"/>
      <c r="J182" s="311" t="s">
        <v>34</v>
      </c>
      <c r="K182" s="312"/>
      <c r="L182" s="665"/>
      <c r="M182" s="310"/>
      <c r="N182" s="1312"/>
      <c r="O182" s="1315"/>
      <c r="P182" s="261"/>
      <c r="Q182" s="261"/>
      <c r="R182" s="261"/>
      <c r="S182" s="416"/>
    </row>
    <row r="183" spans="1:19" s="415" customFormat="1" ht="12.75" customHeight="1" thickBot="1">
      <c r="A183" s="394"/>
      <c r="B183" s="872"/>
      <c r="C183" s="872"/>
      <c r="D183" s="872"/>
      <c r="E183" s="872"/>
      <c r="F183" s="886"/>
      <c r="G183" s="886"/>
      <c r="H183" s="886"/>
      <c r="I183" s="403"/>
      <c r="J183" s="404"/>
      <c r="K183" s="138"/>
      <c r="L183" s="138"/>
      <c r="M183" s="261"/>
      <c r="N183" s="261"/>
      <c r="O183" s="261"/>
      <c r="P183" s="261"/>
      <c r="Q183" s="261"/>
      <c r="R183" s="261"/>
      <c r="S183" s="416"/>
    </row>
    <row r="184" spans="1:19" s="415" customFormat="1" ht="12.75" customHeight="1" thickBot="1">
      <c r="A184" s="394"/>
      <c r="B184" s="910"/>
      <c r="C184" s="910"/>
      <c r="D184" s="910"/>
      <c r="E184" s="910"/>
      <c r="F184" s="1228" t="s">
        <v>126</v>
      </c>
      <c r="G184" s="1229"/>
      <c r="H184" s="1230" t="s">
        <v>618</v>
      </c>
      <c r="I184" s="1230"/>
      <c r="J184" s="1232" t="s">
        <v>127</v>
      </c>
      <c r="K184" s="1233"/>
      <c r="L184" s="663"/>
      <c r="M184" s="663"/>
      <c r="N184" s="416"/>
      <c r="P184" s="261"/>
      <c r="Q184" s="261"/>
      <c r="R184" s="261"/>
      <c r="S184" s="416"/>
    </row>
    <row r="185" spans="1:19" s="415" customFormat="1" ht="12.75" customHeight="1" thickBot="1">
      <c r="A185" s="394"/>
      <c r="B185" s="909" t="s">
        <v>15</v>
      </c>
      <c r="C185" s="879" t="s">
        <v>128</v>
      </c>
      <c r="D185" s="398" t="s">
        <v>38</v>
      </c>
      <c r="E185" s="674" t="s">
        <v>571</v>
      </c>
      <c r="F185" s="400" t="s">
        <v>669</v>
      </c>
      <c r="G185" s="401" t="s">
        <v>314</v>
      </c>
      <c r="H185" s="401" t="s">
        <v>669</v>
      </c>
      <c r="I185" s="401" t="s">
        <v>314</v>
      </c>
      <c r="J185" s="401" t="s">
        <v>669</v>
      </c>
      <c r="K185" s="402" t="s">
        <v>314</v>
      </c>
      <c r="L185" s="212" t="s">
        <v>976</v>
      </c>
      <c r="M185" s="212" t="s">
        <v>984</v>
      </c>
      <c r="N185" s="666" t="s">
        <v>975</v>
      </c>
      <c r="O185" s="667" t="s">
        <v>985</v>
      </c>
      <c r="P185" s="261"/>
      <c r="Q185" s="261"/>
      <c r="R185" s="261"/>
      <c r="S185" s="416"/>
    </row>
    <row r="186" spans="1:19" s="415" customFormat="1" ht="12.75" customHeight="1">
      <c r="A186" s="394"/>
      <c r="B186" s="1101"/>
      <c r="C186" s="918"/>
      <c r="D186" s="199"/>
      <c r="E186" s="149"/>
      <c r="F186" s="405"/>
      <c r="G186" s="194"/>
      <c r="H186" s="313"/>
      <c r="I186" s="313"/>
      <c r="J186" s="313" t="s">
        <v>34</v>
      </c>
      <c r="K186" s="314"/>
      <c r="L186" s="664"/>
      <c r="M186" s="310"/>
      <c r="N186" s="1310"/>
      <c r="O186" s="1313"/>
      <c r="P186" s="261"/>
      <c r="Q186" s="261"/>
      <c r="R186" s="261"/>
      <c r="S186" s="416"/>
    </row>
    <row r="187" spans="1:19" s="415" customFormat="1" ht="12.75" customHeight="1">
      <c r="A187" s="394"/>
      <c r="B187" s="1102"/>
      <c r="C187" s="919"/>
      <c r="D187" s="185"/>
      <c r="E187" s="399"/>
      <c r="F187" s="406"/>
      <c r="G187" s="193"/>
      <c r="H187" s="315"/>
      <c r="I187" s="315"/>
      <c r="J187" s="315" t="s">
        <v>34</v>
      </c>
      <c r="K187" s="316"/>
      <c r="L187" s="664"/>
      <c r="M187" s="310"/>
      <c r="N187" s="1311"/>
      <c r="O187" s="1314"/>
      <c r="P187" s="261"/>
      <c r="Q187" s="261"/>
      <c r="R187" s="261"/>
      <c r="S187" s="416"/>
    </row>
    <row r="188" spans="1:19" s="415" customFormat="1" ht="12.75" customHeight="1">
      <c r="A188" s="394"/>
      <c r="B188" s="1102"/>
      <c r="C188" s="919"/>
      <c r="D188" s="185"/>
      <c r="E188" s="399"/>
      <c r="F188" s="406"/>
      <c r="G188" s="193"/>
      <c r="H188" s="315"/>
      <c r="I188" s="315"/>
      <c r="J188" s="315" t="s">
        <v>34</v>
      </c>
      <c r="K188" s="316"/>
      <c r="L188" s="664"/>
      <c r="M188" s="310"/>
      <c r="N188" s="1311"/>
      <c r="O188" s="1314"/>
      <c r="P188" s="261"/>
      <c r="Q188" s="261"/>
      <c r="R188" s="261"/>
      <c r="S188" s="416"/>
    </row>
    <row r="189" spans="1:19" s="415" customFormat="1" ht="12.75" customHeight="1">
      <c r="A189" s="394"/>
      <c r="B189" s="1102"/>
      <c r="C189" s="919"/>
      <c r="D189" s="185"/>
      <c r="E189" s="399"/>
      <c r="F189" s="406"/>
      <c r="G189" s="193"/>
      <c r="H189" s="315"/>
      <c r="I189" s="315"/>
      <c r="J189" s="315" t="s">
        <v>34</v>
      </c>
      <c r="K189" s="316"/>
      <c r="L189" s="664"/>
      <c r="M189" s="310"/>
      <c r="N189" s="1311"/>
      <c r="O189" s="1314"/>
      <c r="P189" s="261"/>
      <c r="Q189" s="261"/>
      <c r="R189" s="261"/>
      <c r="S189" s="416"/>
    </row>
    <row r="190" spans="1:19" s="415" customFormat="1" ht="12.75" customHeight="1">
      <c r="A190" s="394"/>
      <c r="B190" s="1102"/>
      <c r="C190" s="919"/>
      <c r="D190" s="185"/>
      <c r="E190" s="399"/>
      <c r="F190" s="406"/>
      <c r="G190" s="193"/>
      <c r="H190" s="315"/>
      <c r="I190" s="315"/>
      <c r="J190" s="315" t="s">
        <v>34</v>
      </c>
      <c r="K190" s="316"/>
      <c r="L190" s="664"/>
      <c r="M190" s="310"/>
      <c r="N190" s="1311"/>
      <c r="O190" s="1314"/>
      <c r="P190" s="261"/>
      <c r="Q190" s="261"/>
      <c r="R190" s="261"/>
      <c r="S190" s="416"/>
    </row>
    <row r="191" spans="1:19" s="415" customFormat="1" ht="12.75" customHeight="1">
      <c r="A191" s="394"/>
      <c r="B191" s="1102"/>
      <c r="C191" s="919"/>
      <c r="D191" s="186"/>
      <c r="E191" s="147"/>
      <c r="F191" s="406"/>
      <c r="G191" s="193"/>
      <c r="H191" s="315"/>
      <c r="I191" s="315"/>
      <c r="J191" s="315" t="s">
        <v>34</v>
      </c>
      <c r="K191" s="316"/>
      <c r="L191" s="664"/>
      <c r="M191" s="310"/>
      <c r="N191" s="1311"/>
      <c r="O191" s="1314"/>
      <c r="P191" s="261"/>
      <c r="Q191" s="261"/>
      <c r="R191" s="261"/>
      <c r="S191" s="416"/>
    </row>
    <row r="192" spans="1:19" s="415" customFormat="1" ht="12.75" customHeight="1">
      <c r="A192" s="394"/>
      <c r="B192" s="1102"/>
      <c r="C192" s="919"/>
      <c r="D192" s="186"/>
      <c r="E192" s="147"/>
      <c r="F192" s="406"/>
      <c r="G192" s="193"/>
      <c r="H192" s="315"/>
      <c r="I192" s="315"/>
      <c r="J192" s="315" t="s">
        <v>34</v>
      </c>
      <c r="K192" s="316"/>
      <c r="L192" s="664"/>
      <c r="M192" s="310"/>
      <c r="N192" s="1311"/>
      <c r="O192" s="1314"/>
      <c r="P192" s="261"/>
      <c r="Q192" s="261"/>
      <c r="R192" s="261"/>
      <c r="S192" s="416"/>
    </row>
    <row r="193" spans="1:19" s="415" customFormat="1" ht="12.75" customHeight="1">
      <c r="A193" s="394"/>
      <c r="B193" s="1102"/>
      <c r="C193" s="919"/>
      <c r="D193" s="186"/>
      <c r="E193" s="147"/>
      <c r="F193" s="406"/>
      <c r="G193" s="193"/>
      <c r="H193" s="315"/>
      <c r="I193" s="315"/>
      <c r="J193" s="315" t="s">
        <v>34</v>
      </c>
      <c r="K193" s="316"/>
      <c r="L193" s="664"/>
      <c r="M193" s="310"/>
      <c r="N193" s="1311"/>
      <c r="O193" s="1314"/>
      <c r="P193" s="261"/>
      <c r="Q193" s="261"/>
      <c r="R193" s="261"/>
      <c r="S193" s="416"/>
    </row>
    <row r="194" spans="1:19" s="415" customFormat="1" ht="12.75" customHeight="1">
      <c r="A194" s="394"/>
      <c r="B194" s="1102"/>
      <c r="C194" s="919"/>
      <c r="D194" s="186"/>
      <c r="E194" s="147"/>
      <c r="F194" s="406"/>
      <c r="G194" s="193"/>
      <c r="H194" s="315"/>
      <c r="I194" s="315"/>
      <c r="J194" s="315" t="s">
        <v>34</v>
      </c>
      <c r="K194" s="316"/>
      <c r="L194" s="664"/>
      <c r="M194" s="310"/>
      <c r="N194" s="1311"/>
      <c r="O194" s="1314"/>
      <c r="P194" s="261"/>
      <c r="Q194" s="261"/>
      <c r="R194" s="261"/>
      <c r="S194" s="416"/>
    </row>
    <row r="195" spans="1:19" s="415" customFormat="1" ht="12.75" customHeight="1">
      <c r="A195" s="394"/>
      <c r="B195" s="1102"/>
      <c r="C195" s="919"/>
      <c r="D195" s="186"/>
      <c r="E195" s="147"/>
      <c r="F195" s="406"/>
      <c r="G195" s="193"/>
      <c r="H195" s="315"/>
      <c r="I195" s="315"/>
      <c r="J195" s="315" t="s">
        <v>34</v>
      </c>
      <c r="K195" s="316"/>
      <c r="L195" s="664"/>
      <c r="M195" s="310"/>
      <c r="N195" s="1311"/>
      <c r="O195" s="1314"/>
      <c r="P195" s="261"/>
      <c r="Q195" s="261"/>
      <c r="R195" s="261"/>
      <c r="S195" s="416"/>
    </row>
    <row r="196" spans="1:19" s="415" customFormat="1" ht="12.75" customHeight="1">
      <c r="A196" s="394"/>
      <c r="B196" s="1102"/>
      <c r="C196" s="919"/>
      <c r="D196" s="186"/>
      <c r="E196" s="147"/>
      <c r="F196" s="406"/>
      <c r="G196" s="193"/>
      <c r="H196" s="315"/>
      <c r="I196" s="315"/>
      <c r="J196" s="315" t="s">
        <v>34</v>
      </c>
      <c r="K196" s="316"/>
      <c r="L196" s="664"/>
      <c r="M196" s="310"/>
      <c r="N196" s="1311"/>
      <c r="O196" s="1314"/>
      <c r="P196" s="261"/>
      <c r="Q196" s="261"/>
      <c r="R196" s="261"/>
      <c r="S196" s="416"/>
    </row>
    <row r="197" spans="1:19" s="415" customFormat="1" ht="12.75" customHeight="1">
      <c r="A197" s="394"/>
      <c r="B197" s="1102"/>
      <c r="C197" s="919"/>
      <c r="D197" s="186"/>
      <c r="E197" s="147"/>
      <c r="F197" s="406"/>
      <c r="G197" s="193"/>
      <c r="H197" s="315"/>
      <c r="I197" s="315"/>
      <c r="J197" s="315" t="s">
        <v>34</v>
      </c>
      <c r="K197" s="316"/>
      <c r="L197" s="664"/>
      <c r="M197" s="310"/>
      <c r="N197" s="1311"/>
      <c r="O197" s="1314"/>
      <c r="P197" s="261"/>
      <c r="Q197" s="261"/>
      <c r="R197" s="261"/>
      <c r="S197" s="416"/>
    </row>
    <row r="198" spans="1:19" s="415" customFormat="1" ht="12.75" customHeight="1">
      <c r="A198" s="394"/>
      <c r="B198" s="1102"/>
      <c r="C198" s="919"/>
      <c r="D198" s="186"/>
      <c r="E198" s="147"/>
      <c r="F198" s="406"/>
      <c r="G198" s="193"/>
      <c r="H198" s="315"/>
      <c r="I198" s="315"/>
      <c r="J198" s="315" t="s">
        <v>34</v>
      </c>
      <c r="K198" s="316"/>
      <c r="L198" s="664"/>
      <c r="M198" s="310"/>
      <c r="N198" s="1311"/>
      <c r="O198" s="1314"/>
      <c r="P198" s="261"/>
      <c r="Q198" s="261"/>
      <c r="R198" s="261"/>
      <c r="S198" s="416"/>
    </row>
    <row r="199" spans="1:19" s="415" customFormat="1" ht="12.75" customHeight="1">
      <c r="A199" s="394"/>
      <c r="B199" s="1102"/>
      <c r="C199" s="919"/>
      <c r="D199" s="186"/>
      <c r="E199" s="147"/>
      <c r="F199" s="406"/>
      <c r="G199" s="193"/>
      <c r="H199" s="315"/>
      <c r="I199" s="315"/>
      <c r="J199" s="315" t="s">
        <v>34</v>
      </c>
      <c r="K199" s="316"/>
      <c r="L199" s="664"/>
      <c r="M199" s="310"/>
      <c r="N199" s="1311"/>
      <c r="O199" s="1314"/>
      <c r="P199" s="261"/>
      <c r="Q199" s="261"/>
      <c r="R199" s="261"/>
      <c r="S199" s="416"/>
    </row>
    <row r="200" spans="1:19" s="415" customFormat="1" ht="12.75" customHeight="1">
      <c r="A200" s="394"/>
      <c r="B200" s="1102"/>
      <c r="C200" s="919"/>
      <c r="D200" s="186"/>
      <c r="E200" s="147"/>
      <c r="F200" s="406"/>
      <c r="G200" s="193"/>
      <c r="H200" s="315"/>
      <c r="I200" s="315"/>
      <c r="J200" s="315" t="s">
        <v>34</v>
      </c>
      <c r="K200" s="316"/>
      <c r="L200" s="664"/>
      <c r="M200" s="310"/>
      <c r="N200" s="1311"/>
      <c r="O200" s="1314"/>
      <c r="P200" s="261"/>
      <c r="Q200" s="261"/>
      <c r="R200" s="261"/>
      <c r="S200" s="416"/>
    </row>
    <row r="201" spans="1:19" s="415" customFormat="1" ht="12.75" customHeight="1">
      <c r="A201" s="394"/>
      <c r="B201" s="1102"/>
      <c r="C201" s="919"/>
      <c r="D201" s="186"/>
      <c r="E201" s="147"/>
      <c r="F201" s="406"/>
      <c r="G201" s="193"/>
      <c r="H201" s="315"/>
      <c r="I201" s="315"/>
      <c r="J201" s="315" t="s">
        <v>34</v>
      </c>
      <c r="K201" s="316"/>
      <c r="L201" s="664"/>
      <c r="M201" s="310"/>
      <c r="N201" s="1311"/>
      <c r="O201" s="1314"/>
      <c r="P201" s="261"/>
      <c r="Q201" s="261"/>
      <c r="R201" s="261"/>
      <c r="S201" s="416"/>
    </row>
    <row r="202" spans="1:19" s="415" customFormat="1" ht="12.75" customHeight="1">
      <c r="A202" s="394"/>
      <c r="B202" s="1102"/>
      <c r="C202" s="919"/>
      <c r="D202" s="186"/>
      <c r="E202" s="147"/>
      <c r="F202" s="406"/>
      <c r="G202" s="193"/>
      <c r="H202" s="315"/>
      <c r="I202" s="315"/>
      <c r="J202" s="315" t="s">
        <v>34</v>
      </c>
      <c r="K202" s="316"/>
      <c r="L202" s="664"/>
      <c r="M202" s="310"/>
      <c r="N202" s="1311"/>
      <c r="O202" s="1314"/>
      <c r="P202" s="261"/>
      <c r="Q202" s="261"/>
      <c r="R202" s="261"/>
      <c r="S202" s="416"/>
    </row>
    <row r="203" spans="1:19" s="415" customFormat="1" ht="12.75" customHeight="1">
      <c r="A203" s="394"/>
      <c r="B203" s="1102"/>
      <c r="C203" s="919"/>
      <c r="D203" s="186"/>
      <c r="E203" s="147"/>
      <c r="F203" s="406"/>
      <c r="G203" s="193"/>
      <c r="H203" s="315"/>
      <c r="I203" s="315"/>
      <c r="J203" s="315" t="s">
        <v>34</v>
      </c>
      <c r="K203" s="316"/>
      <c r="L203" s="664"/>
      <c r="M203" s="310"/>
      <c r="N203" s="1311"/>
      <c r="O203" s="1314"/>
      <c r="P203" s="261"/>
      <c r="Q203" s="261"/>
      <c r="R203" s="261"/>
      <c r="S203" s="416"/>
    </row>
    <row r="204" spans="1:19" s="415" customFormat="1" ht="12.75" customHeight="1">
      <c r="A204" s="394"/>
      <c r="B204" s="1102"/>
      <c r="C204" s="919"/>
      <c r="D204" s="186"/>
      <c r="E204" s="147"/>
      <c r="F204" s="406"/>
      <c r="G204" s="193"/>
      <c r="H204" s="315"/>
      <c r="I204" s="315"/>
      <c r="J204" s="315" t="s">
        <v>34</v>
      </c>
      <c r="K204" s="316"/>
      <c r="L204" s="664"/>
      <c r="M204" s="310"/>
      <c r="N204" s="1311"/>
      <c r="O204" s="1314"/>
      <c r="P204" s="261"/>
      <c r="Q204" s="261"/>
      <c r="R204" s="261"/>
      <c r="S204" s="416"/>
    </row>
    <row r="205" spans="1:19" s="415" customFormat="1" ht="12.75" customHeight="1" thickBot="1">
      <c r="A205" s="394"/>
      <c r="B205" s="1103"/>
      <c r="C205" s="926"/>
      <c r="D205" s="189"/>
      <c r="E205" s="201"/>
      <c r="F205" s="407"/>
      <c r="G205" s="195"/>
      <c r="H205" s="311"/>
      <c r="I205" s="311"/>
      <c r="J205" s="311" t="s">
        <v>34</v>
      </c>
      <c r="K205" s="312"/>
      <c r="L205" s="665"/>
      <c r="M205" s="310"/>
      <c r="N205" s="1312"/>
      <c r="O205" s="1315"/>
      <c r="P205" s="261"/>
      <c r="Q205" s="261"/>
      <c r="R205" s="261"/>
      <c r="S205" s="416"/>
    </row>
    <row r="206" spans="1:19" s="415" customFormat="1" ht="12.75" customHeight="1" thickBot="1">
      <c r="A206" s="394"/>
      <c r="B206" s="872"/>
      <c r="C206" s="872"/>
      <c r="D206" s="872"/>
      <c r="E206" s="872"/>
      <c r="F206" s="886"/>
      <c r="G206" s="886"/>
      <c r="H206" s="886"/>
      <c r="I206" s="403"/>
      <c r="J206" s="404"/>
      <c r="K206" s="138"/>
      <c r="L206" s="138"/>
      <c r="M206" s="261"/>
      <c r="N206" s="261"/>
      <c r="O206" s="261"/>
      <c r="P206" s="261"/>
      <c r="Q206" s="261"/>
      <c r="R206" s="261"/>
      <c r="S206" s="416"/>
    </row>
    <row r="207" spans="1:19" s="415" customFormat="1" ht="12.75" customHeight="1" thickBot="1">
      <c r="A207" s="394"/>
      <c r="B207" s="910"/>
      <c r="C207" s="910"/>
      <c r="D207" s="910"/>
      <c r="E207" s="910"/>
      <c r="F207" s="1228" t="s">
        <v>126</v>
      </c>
      <c r="G207" s="1229"/>
      <c r="H207" s="1230" t="s">
        <v>618</v>
      </c>
      <c r="I207" s="1230"/>
      <c r="J207" s="1232" t="s">
        <v>127</v>
      </c>
      <c r="K207" s="1233"/>
      <c r="L207" s="663"/>
      <c r="M207" s="663"/>
      <c r="N207" s="416"/>
      <c r="P207" s="261"/>
      <c r="Q207" s="261"/>
      <c r="R207" s="261"/>
      <c r="S207" s="416"/>
    </row>
    <row r="208" spans="1:19" s="415" customFormat="1" ht="12.75" customHeight="1" thickBot="1">
      <c r="A208" s="394"/>
      <c r="B208" s="909" t="s">
        <v>15</v>
      </c>
      <c r="C208" s="879" t="s">
        <v>128</v>
      </c>
      <c r="D208" s="398" t="s">
        <v>38</v>
      </c>
      <c r="E208" s="674" t="s">
        <v>571</v>
      </c>
      <c r="F208" s="400" t="s">
        <v>669</v>
      </c>
      <c r="G208" s="401" t="s">
        <v>314</v>
      </c>
      <c r="H208" s="401" t="s">
        <v>669</v>
      </c>
      <c r="I208" s="401" t="s">
        <v>314</v>
      </c>
      <c r="J208" s="401" t="s">
        <v>669</v>
      </c>
      <c r="K208" s="402" t="s">
        <v>314</v>
      </c>
      <c r="L208" s="212" t="s">
        <v>976</v>
      </c>
      <c r="M208" s="212" t="s">
        <v>984</v>
      </c>
      <c r="N208" s="666" t="s">
        <v>975</v>
      </c>
      <c r="O208" s="667" t="s">
        <v>985</v>
      </c>
      <c r="P208" s="261"/>
      <c r="Q208" s="261"/>
      <c r="R208" s="261"/>
      <c r="S208" s="416"/>
    </row>
    <row r="209" spans="1:19" s="415" customFormat="1" ht="12.75" customHeight="1">
      <c r="A209" s="394"/>
      <c r="B209" s="1101"/>
      <c r="C209" s="918"/>
      <c r="D209" s="199"/>
      <c r="E209" s="149"/>
      <c r="F209" s="405"/>
      <c r="G209" s="194"/>
      <c r="H209" s="313"/>
      <c r="I209" s="313"/>
      <c r="J209" s="313" t="s">
        <v>34</v>
      </c>
      <c r="K209" s="314"/>
      <c r="L209" s="664"/>
      <c r="M209" s="310"/>
      <c r="N209" s="1310"/>
      <c r="O209" s="1313"/>
      <c r="P209" s="261"/>
      <c r="Q209" s="261"/>
      <c r="R209" s="261"/>
      <c r="S209" s="416"/>
    </row>
    <row r="210" spans="1:19" s="415" customFormat="1" ht="12.75" customHeight="1">
      <c r="A210" s="394"/>
      <c r="B210" s="1102"/>
      <c r="C210" s="919"/>
      <c r="D210" s="185"/>
      <c r="E210" s="399"/>
      <c r="F210" s="406"/>
      <c r="G210" s="193"/>
      <c r="H210" s="315"/>
      <c r="I210" s="315"/>
      <c r="J210" s="315" t="s">
        <v>34</v>
      </c>
      <c r="K210" s="316"/>
      <c r="L210" s="664"/>
      <c r="M210" s="310"/>
      <c r="N210" s="1311"/>
      <c r="O210" s="1314"/>
      <c r="P210" s="261"/>
      <c r="Q210" s="261"/>
      <c r="R210" s="261"/>
      <c r="S210" s="416"/>
    </row>
    <row r="211" spans="1:19" s="415" customFormat="1" ht="12.75" customHeight="1">
      <c r="A211" s="394"/>
      <c r="B211" s="1102"/>
      <c r="C211" s="919"/>
      <c r="D211" s="185"/>
      <c r="E211" s="399"/>
      <c r="F211" s="406"/>
      <c r="G211" s="193"/>
      <c r="H211" s="315"/>
      <c r="I211" s="315"/>
      <c r="J211" s="315" t="s">
        <v>34</v>
      </c>
      <c r="K211" s="316"/>
      <c r="L211" s="664"/>
      <c r="M211" s="310"/>
      <c r="N211" s="1311"/>
      <c r="O211" s="1314"/>
      <c r="P211" s="261"/>
      <c r="Q211" s="261"/>
      <c r="R211" s="261"/>
      <c r="S211" s="416"/>
    </row>
    <row r="212" spans="1:19" s="415" customFormat="1" ht="12.75" customHeight="1">
      <c r="A212" s="394"/>
      <c r="B212" s="1102"/>
      <c r="C212" s="919"/>
      <c r="D212" s="185"/>
      <c r="E212" s="399"/>
      <c r="F212" s="406"/>
      <c r="G212" s="193"/>
      <c r="H212" s="315"/>
      <c r="I212" s="315"/>
      <c r="J212" s="315" t="s">
        <v>34</v>
      </c>
      <c r="K212" s="316"/>
      <c r="L212" s="664"/>
      <c r="M212" s="310"/>
      <c r="N212" s="1311"/>
      <c r="O212" s="1314"/>
      <c r="P212" s="261"/>
      <c r="Q212" s="261"/>
      <c r="R212" s="261"/>
      <c r="S212" s="416"/>
    </row>
    <row r="213" spans="1:19" s="415" customFormat="1" ht="12.75" customHeight="1">
      <c r="A213" s="394"/>
      <c r="B213" s="1102"/>
      <c r="C213" s="919"/>
      <c r="D213" s="185"/>
      <c r="E213" s="399"/>
      <c r="F213" s="406"/>
      <c r="G213" s="193"/>
      <c r="H213" s="315"/>
      <c r="I213" s="315"/>
      <c r="J213" s="315" t="s">
        <v>34</v>
      </c>
      <c r="K213" s="316"/>
      <c r="L213" s="664"/>
      <c r="M213" s="310"/>
      <c r="N213" s="1311"/>
      <c r="O213" s="1314"/>
      <c r="P213" s="261"/>
      <c r="Q213" s="261"/>
      <c r="R213" s="261"/>
      <c r="S213" s="416"/>
    </row>
    <row r="214" spans="1:19" s="415" customFormat="1" ht="12.75" customHeight="1">
      <c r="A214" s="394"/>
      <c r="B214" s="1102"/>
      <c r="C214" s="919"/>
      <c r="D214" s="186"/>
      <c r="E214" s="147"/>
      <c r="F214" s="406"/>
      <c r="G214" s="193"/>
      <c r="H214" s="315"/>
      <c r="I214" s="315"/>
      <c r="J214" s="315" t="s">
        <v>34</v>
      </c>
      <c r="K214" s="316"/>
      <c r="L214" s="664"/>
      <c r="M214" s="310"/>
      <c r="N214" s="1311"/>
      <c r="O214" s="1314"/>
      <c r="P214" s="261"/>
      <c r="Q214" s="261"/>
      <c r="R214" s="261"/>
      <c r="S214" s="416"/>
    </row>
    <row r="215" spans="1:19" s="415" customFormat="1" ht="12.75" customHeight="1">
      <c r="A215" s="394"/>
      <c r="B215" s="1102"/>
      <c r="C215" s="919"/>
      <c r="D215" s="186"/>
      <c r="E215" s="147"/>
      <c r="F215" s="406"/>
      <c r="G215" s="193"/>
      <c r="H215" s="315"/>
      <c r="I215" s="315"/>
      <c r="J215" s="315" t="s">
        <v>34</v>
      </c>
      <c r="K215" s="316"/>
      <c r="L215" s="664"/>
      <c r="M215" s="310"/>
      <c r="N215" s="1311"/>
      <c r="O215" s="1314"/>
      <c r="P215" s="261"/>
      <c r="Q215" s="261"/>
      <c r="R215" s="261"/>
      <c r="S215" s="416"/>
    </row>
    <row r="216" spans="1:19" s="415" customFormat="1" ht="12.75" customHeight="1">
      <c r="A216" s="394"/>
      <c r="B216" s="1102"/>
      <c r="C216" s="919"/>
      <c r="D216" s="186"/>
      <c r="E216" s="147"/>
      <c r="F216" s="406"/>
      <c r="G216" s="193"/>
      <c r="H216" s="315"/>
      <c r="I216" s="315"/>
      <c r="J216" s="315" t="s">
        <v>34</v>
      </c>
      <c r="K216" s="316"/>
      <c r="L216" s="664"/>
      <c r="M216" s="310"/>
      <c r="N216" s="1311"/>
      <c r="O216" s="1314"/>
      <c r="P216" s="261"/>
      <c r="Q216" s="261"/>
      <c r="R216" s="261"/>
      <c r="S216" s="416"/>
    </row>
    <row r="217" spans="1:19" s="415" customFormat="1" ht="12.75" customHeight="1">
      <c r="A217" s="394"/>
      <c r="B217" s="1102"/>
      <c r="C217" s="919"/>
      <c r="D217" s="186"/>
      <c r="E217" s="147"/>
      <c r="F217" s="406"/>
      <c r="G217" s="193"/>
      <c r="H217" s="315"/>
      <c r="I217" s="315"/>
      <c r="J217" s="315" t="s">
        <v>34</v>
      </c>
      <c r="K217" s="316"/>
      <c r="L217" s="664"/>
      <c r="M217" s="310"/>
      <c r="N217" s="1311"/>
      <c r="O217" s="1314"/>
      <c r="P217" s="261"/>
      <c r="Q217" s="261"/>
      <c r="R217" s="261"/>
      <c r="S217" s="416"/>
    </row>
    <row r="218" spans="1:19" s="415" customFormat="1" ht="12.75" customHeight="1">
      <c r="A218" s="394"/>
      <c r="B218" s="1102"/>
      <c r="C218" s="919"/>
      <c r="D218" s="186"/>
      <c r="E218" s="147"/>
      <c r="F218" s="406"/>
      <c r="G218" s="193"/>
      <c r="H218" s="315"/>
      <c r="I218" s="315"/>
      <c r="J218" s="315" t="s">
        <v>34</v>
      </c>
      <c r="K218" s="316"/>
      <c r="L218" s="664"/>
      <c r="M218" s="310"/>
      <c r="N218" s="1311"/>
      <c r="O218" s="1314"/>
      <c r="P218" s="261"/>
      <c r="Q218" s="261"/>
      <c r="R218" s="261"/>
      <c r="S218" s="416"/>
    </row>
    <row r="219" spans="1:19" s="415" customFormat="1" ht="12.75" customHeight="1">
      <c r="A219" s="394"/>
      <c r="B219" s="1102"/>
      <c r="C219" s="919"/>
      <c r="D219" s="186"/>
      <c r="E219" s="147"/>
      <c r="F219" s="406"/>
      <c r="G219" s="193"/>
      <c r="H219" s="315"/>
      <c r="I219" s="315"/>
      <c r="J219" s="315" t="s">
        <v>34</v>
      </c>
      <c r="K219" s="316"/>
      <c r="L219" s="664"/>
      <c r="M219" s="310"/>
      <c r="N219" s="1311"/>
      <c r="O219" s="1314"/>
      <c r="P219" s="261"/>
      <c r="Q219" s="261"/>
      <c r="R219" s="261"/>
      <c r="S219" s="416"/>
    </row>
    <row r="220" spans="1:19" s="415" customFormat="1" ht="12.75" customHeight="1">
      <c r="A220" s="394"/>
      <c r="B220" s="1102"/>
      <c r="C220" s="919"/>
      <c r="D220" s="186"/>
      <c r="E220" s="147"/>
      <c r="F220" s="406"/>
      <c r="G220" s="193"/>
      <c r="H220" s="315"/>
      <c r="I220" s="315"/>
      <c r="J220" s="315" t="s">
        <v>34</v>
      </c>
      <c r="K220" s="316"/>
      <c r="L220" s="664"/>
      <c r="M220" s="310"/>
      <c r="N220" s="1311"/>
      <c r="O220" s="1314"/>
      <c r="P220" s="261"/>
      <c r="Q220" s="261"/>
      <c r="R220" s="261"/>
      <c r="S220" s="416"/>
    </row>
    <row r="221" spans="1:19" s="415" customFormat="1" ht="12.75" customHeight="1">
      <c r="A221" s="394"/>
      <c r="B221" s="1102"/>
      <c r="C221" s="919"/>
      <c r="D221" s="186"/>
      <c r="E221" s="147"/>
      <c r="F221" s="406"/>
      <c r="G221" s="193"/>
      <c r="H221" s="315"/>
      <c r="I221" s="315"/>
      <c r="J221" s="315" t="s">
        <v>34</v>
      </c>
      <c r="K221" s="316"/>
      <c r="L221" s="664"/>
      <c r="M221" s="310"/>
      <c r="N221" s="1311"/>
      <c r="O221" s="1314"/>
      <c r="P221" s="261"/>
      <c r="Q221" s="261"/>
      <c r="R221" s="261"/>
      <c r="S221" s="416"/>
    </row>
    <row r="222" spans="1:19" s="415" customFormat="1" ht="12.75" customHeight="1">
      <c r="A222" s="394"/>
      <c r="B222" s="1102"/>
      <c r="C222" s="919"/>
      <c r="D222" s="186"/>
      <c r="E222" s="147"/>
      <c r="F222" s="406"/>
      <c r="G222" s="193"/>
      <c r="H222" s="315"/>
      <c r="I222" s="315"/>
      <c r="J222" s="315" t="s">
        <v>34</v>
      </c>
      <c r="K222" s="316"/>
      <c r="L222" s="664"/>
      <c r="M222" s="310"/>
      <c r="N222" s="1311"/>
      <c r="O222" s="1314"/>
      <c r="P222" s="261"/>
      <c r="Q222" s="261"/>
      <c r="R222" s="261"/>
      <c r="S222" s="416"/>
    </row>
    <row r="223" spans="1:19" s="415" customFormat="1" ht="12.75" customHeight="1">
      <c r="A223" s="394"/>
      <c r="B223" s="1102"/>
      <c r="C223" s="919"/>
      <c r="D223" s="186"/>
      <c r="E223" s="147"/>
      <c r="F223" s="406"/>
      <c r="G223" s="193"/>
      <c r="H223" s="315"/>
      <c r="I223" s="315"/>
      <c r="J223" s="315" t="s">
        <v>34</v>
      </c>
      <c r="K223" s="316"/>
      <c r="L223" s="664"/>
      <c r="M223" s="310"/>
      <c r="N223" s="1311"/>
      <c r="O223" s="1314"/>
      <c r="P223" s="261"/>
      <c r="Q223" s="261"/>
      <c r="R223" s="261"/>
      <c r="S223" s="416"/>
    </row>
    <row r="224" spans="1:19" s="415" customFormat="1" ht="12.75" customHeight="1">
      <c r="A224" s="394"/>
      <c r="B224" s="1102"/>
      <c r="C224" s="919"/>
      <c r="D224" s="186"/>
      <c r="E224" s="147"/>
      <c r="F224" s="406"/>
      <c r="G224" s="193"/>
      <c r="H224" s="315"/>
      <c r="I224" s="315"/>
      <c r="J224" s="315" t="s">
        <v>34</v>
      </c>
      <c r="K224" s="316"/>
      <c r="L224" s="664"/>
      <c r="M224" s="310"/>
      <c r="N224" s="1311"/>
      <c r="O224" s="1314"/>
      <c r="P224" s="261"/>
      <c r="Q224" s="261"/>
      <c r="R224" s="261"/>
      <c r="S224" s="416"/>
    </row>
    <row r="225" spans="1:19" s="415" customFormat="1" ht="12.75" customHeight="1">
      <c r="A225" s="394"/>
      <c r="B225" s="1102"/>
      <c r="C225" s="919"/>
      <c r="D225" s="186"/>
      <c r="E225" s="147"/>
      <c r="F225" s="406"/>
      <c r="G225" s="193"/>
      <c r="H225" s="315"/>
      <c r="I225" s="315"/>
      <c r="J225" s="315" t="s">
        <v>34</v>
      </c>
      <c r="K225" s="316"/>
      <c r="L225" s="664"/>
      <c r="M225" s="310"/>
      <c r="N225" s="1311"/>
      <c r="O225" s="1314"/>
      <c r="P225" s="261"/>
      <c r="Q225" s="261"/>
      <c r="R225" s="261"/>
      <c r="S225" s="416"/>
    </row>
    <row r="226" spans="1:19" s="415" customFormat="1" ht="12.75" customHeight="1">
      <c r="A226" s="394"/>
      <c r="B226" s="1102"/>
      <c r="C226" s="919"/>
      <c r="D226" s="186"/>
      <c r="E226" s="147"/>
      <c r="F226" s="406"/>
      <c r="G226" s="193"/>
      <c r="H226" s="315"/>
      <c r="I226" s="315"/>
      <c r="J226" s="315" t="s">
        <v>34</v>
      </c>
      <c r="K226" s="316"/>
      <c r="L226" s="664"/>
      <c r="M226" s="310"/>
      <c r="N226" s="1311"/>
      <c r="O226" s="1314"/>
      <c r="P226" s="261"/>
      <c r="Q226" s="261"/>
      <c r="R226" s="261"/>
      <c r="S226" s="416"/>
    </row>
    <row r="227" spans="1:19" s="415" customFormat="1" ht="12.75" customHeight="1">
      <c r="A227" s="394"/>
      <c r="B227" s="1102"/>
      <c r="C227" s="919"/>
      <c r="D227" s="186"/>
      <c r="E227" s="147"/>
      <c r="F227" s="406"/>
      <c r="G227" s="193"/>
      <c r="H227" s="315"/>
      <c r="I227" s="315"/>
      <c r="J227" s="315" t="s">
        <v>34</v>
      </c>
      <c r="K227" s="316"/>
      <c r="L227" s="664"/>
      <c r="M227" s="310"/>
      <c r="N227" s="1311"/>
      <c r="O227" s="1314"/>
      <c r="P227" s="261"/>
      <c r="Q227" s="261"/>
      <c r="R227" s="261"/>
      <c r="S227" s="416"/>
    </row>
    <row r="228" spans="1:19" s="415" customFormat="1" ht="12.75" customHeight="1" thickBot="1">
      <c r="A228" s="394"/>
      <c r="B228" s="1103"/>
      <c r="C228" s="926"/>
      <c r="D228" s="189"/>
      <c r="E228" s="201"/>
      <c r="F228" s="407"/>
      <c r="G228" s="195"/>
      <c r="H228" s="311"/>
      <c r="I228" s="311"/>
      <c r="J228" s="311" t="s">
        <v>34</v>
      </c>
      <c r="K228" s="312"/>
      <c r="L228" s="665"/>
      <c r="M228" s="310"/>
      <c r="N228" s="1312"/>
      <c r="O228" s="1315"/>
      <c r="P228" s="261"/>
      <c r="Q228" s="261"/>
      <c r="R228" s="261"/>
      <c r="S228" s="416"/>
    </row>
    <row r="229" spans="1:19" s="415" customFormat="1" ht="12.75" customHeight="1" thickBot="1">
      <c r="A229" s="394"/>
      <c r="B229" s="872"/>
      <c r="C229" s="872"/>
      <c r="D229" s="872"/>
      <c r="E229" s="872"/>
      <c r="F229" s="886"/>
      <c r="G229" s="886"/>
      <c r="H229" s="886"/>
      <c r="I229" s="403"/>
      <c r="J229" s="404"/>
      <c r="K229" s="138"/>
      <c r="L229" s="138"/>
      <c r="M229" s="261"/>
      <c r="N229" s="261"/>
      <c r="O229" s="261"/>
      <c r="P229" s="261"/>
      <c r="Q229" s="261"/>
      <c r="R229" s="261"/>
      <c r="S229" s="416"/>
    </row>
    <row r="230" spans="1:19" s="415" customFormat="1" ht="12.75" customHeight="1" thickBot="1">
      <c r="A230" s="394"/>
      <c r="B230" s="910"/>
      <c r="C230" s="910"/>
      <c r="D230" s="910"/>
      <c r="E230" s="910"/>
      <c r="F230" s="1228" t="s">
        <v>126</v>
      </c>
      <c r="G230" s="1229"/>
      <c r="H230" s="1230" t="s">
        <v>618</v>
      </c>
      <c r="I230" s="1230"/>
      <c r="J230" s="1232" t="s">
        <v>127</v>
      </c>
      <c r="K230" s="1233"/>
      <c r="L230" s="663"/>
      <c r="M230" s="663"/>
      <c r="N230" s="416"/>
      <c r="P230" s="261"/>
      <c r="Q230" s="261"/>
      <c r="R230" s="261"/>
      <c r="S230" s="416"/>
    </row>
    <row r="231" spans="1:19" s="415" customFormat="1" ht="12.75" customHeight="1" thickBot="1">
      <c r="A231" s="394"/>
      <c r="B231" s="909" t="s">
        <v>15</v>
      </c>
      <c r="C231" s="879" t="s">
        <v>128</v>
      </c>
      <c r="D231" s="398" t="s">
        <v>38</v>
      </c>
      <c r="E231" s="674" t="s">
        <v>571</v>
      </c>
      <c r="F231" s="400" t="s">
        <v>669</v>
      </c>
      <c r="G231" s="401" t="s">
        <v>314</v>
      </c>
      <c r="H231" s="401" t="s">
        <v>669</v>
      </c>
      <c r="I231" s="401" t="s">
        <v>314</v>
      </c>
      <c r="J231" s="401" t="s">
        <v>669</v>
      </c>
      <c r="K231" s="402" t="s">
        <v>314</v>
      </c>
      <c r="L231" s="212" t="s">
        <v>976</v>
      </c>
      <c r="M231" s="212" t="s">
        <v>984</v>
      </c>
      <c r="N231" s="666" t="s">
        <v>975</v>
      </c>
      <c r="O231" s="667" t="s">
        <v>985</v>
      </c>
      <c r="P231" s="261"/>
      <c r="Q231" s="261"/>
      <c r="R231" s="261"/>
      <c r="S231" s="416"/>
    </row>
    <row r="232" spans="1:19" s="415" customFormat="1" ht="12.75" customHeight="1">
      <c r="A232" s="394"/>
      <c r="B232" s="1101"/>
      <c r="C232" s="918"/>
      <c r="D232" s="199"/>
      <c r="E232" s="149"/>
      <c r="F232" s="405"/>
      <c r="G232" s="194"/>
      <c r="H232" s="313"/>
      <c r="I232" s="313"/>
      <c r="J232" s="313" t="s">
        <v>34</v>
      </c>
      <c r="K232" s="314"/>
      <c r="L232" s="664"/>
      <c r="M232" s="310"/>
      <c r="N232" s="1310"/>
      <c r="O232" s="1313"/>
      <c r="P232" s="261"/>
      <c r="Q232" s="261"/>
      <c r="R232" s="261"/>
      <c r="S232" s="416"/>
    </row>
    <row r="233" spans="1:19" s="415" customFormat="1" ht="12.75" customHeight="1">
      <c r="A233" s="394"/>
      <c r="B233" s="1102"/>
      <c r="C233" s="919"/>
      <c r="D233" s="185"/>
      <c r="E233" s="399"/>
      <c r="F233" s="406"/>
      <c r="G233" s="193"/>
      <c r="H233" s="315"/>
      <c r="I233" s="315"/>
      <c r="J233" s="315" t="s">
        <v>34</v>
      </c>
      <c r="K233" s="316"/>
      <c r="L233" s="664"/>
      <c r="M233" s="310"/>
      <c r="N233" s="1311"/>
      <c r="O233" s="1314"/>
      <c r="P233" s="261"/>
      <c r="Q233" s="261"/>
      <c r="R233" s="261"/>
      <c r="S233" s="416"/>
    </row>
    <row r="234" spans="1:19" s="415" customFormat="1" ht="12.75" customHeight="1">
      <c r="A234" s="394"/>
      <c r="B234" s="1102"/>
      <c r="C234" s="919"/>
      <c r="D234" s="185"/>
      <c r="E234" s="399"/>
      <c r="F234" s="406"/>
      <c r="G234" s="193"/>
      <c r="H234" s="315"/>
      <c r="I234" s="315"/>
      <c r="J234" s="315" t="s">
        <v>34</v>
      </c>
      <c r="K234" s="316"/>
      <c r="L234" s="664"/>
      <c r="M234" s="310"/>
      <c r="N234" s="1311"/>
      <c r="O234" s="1314"/>
      <c r="P234" s="261"/>
      <c r="Q234" s="261"/>
      <c r="R234" s="261"/>
      <c r="S234" s="416"/>
    </row>
    <row r="235" spans="1:19" s="415" customFormat="1" ht="12.75" customHeight="1">
      <c r="A235" s="394"/>
      <c r="B235" s="1102"/>
      <c r="C235" s="919"/>
      <c r="D235" s="185"/>
      <c r="E235" s="399"/>
      <c r="F235" s="406"/>
      <c r="G235" s="193"/>
      <c r="H235" s="315"/>
      <c r="I235" s="315"/>
      <c r="J235" s="315" t="s">
        <v>34</v>
      </c>
      <c r="K235" s="316"/>
      <c r="L235" s="664"/>
      <c r="M235" s="310"/>
      <c r="N235" s="1311"/>
      <c r="O235" s="1314"/>
      <c r="P235" s="261"/>
      <c r="Q235" s="261"/>
      <c r="R235" s="261"/>
      <c r="S235" s="416"/>
    </row>
    <row r="236" spans="1:19" s="415" customFormat="1" ht="12.75" customHeight="1">
      <c r="A236" s="394"/>
      <c r="B236" s="1102"/>
      <c r="C236" s="919"/>
      <c r="D236" s="185"/>
      <c r="E236" s="399"/>
      <c r="F236" s="406"/>
      <c r="G236" s="193"/>
      <c r="H236" s="315"/>
      <c r="I236" s="315"/>
      <c r="J236" s="315" t="s">
        <v>34</v>
      </c>
      <c r="K236" s="316"/>
      <c r="L236" s="664"/>
      <c r="M236" s="310"/>
      <c r="N236" s="1311"/>
      <c r="O236" s="1314"/>
      <c r="P236" s="261"/>
      <c r="Q236" s="261"/>
      <c r="R236" s="261"/>
      <c r="S236" s="416"/>
    </row>
    <row r="237" spans="1:19" s="415" customFormat="1" ht="12.75" customHeight="1">
      <c r="A237" s="394"/>
      <c r="B237" s="1102"/>
      <c r="C237" s="919"/>
      <c r="D237" s="186"/>
      <c r="E237" s="147"/>
      <c r="F237" s="406"/>
      <c r="G237" s="193"/>
      <c r="H237" s="315"/>
      <c r="I237" s="315"/>
      <c r="J237" s="315" t="s">
        <v>34</v>
      </c>
      <c r="K237" s="316"/>
      <c r="L237" s="664"/>
      <c r="M237" s="310"/>
      <c r="N237" s="1311"/>
      <c r="O237" s="1314"/>
      <c r="P237" s="261"/>
      <c r="Q237" s="261"/>
      <c r="R237" s="261"/>
      <c r="S237" s="416"/>
    </row>
    <row r="238" spans="1:19" s="415" customFormat="1" ht="12.75" customHeight="1">
      <c r="A238" s="394"/>
      <c r="B238" s="1102"/>
      <c r="C238" s="919"/>
      <c r="D238" s="186"/>
      <c r="E238" s="147"/>
      <c r="F238" s="406"/>
      <c r="G238" s="193"/>
      <c r="H238" s="315"/>
      <c r="I238" s="315"/>
      <c r="J238" s="315" t="s">
        <v>34</v>
      </c>
      <c r="K238" s="316"/>
      <c r="L238" s="664"/>
      <c r="M238" s="310"/>
      <c r="N238" s="1311"/>
      <c r="O238" s="1314"/>
      <c r="P238" s="261"/>
      <c r="Q238" s="261"/>
      <c r="R238" s="261"/>
      <c r="S238" s="416"/>
    </row>
    <row r="239" spans="1:19" s="415" customFormat="1" ht="12.75" customHeight="1">
      <c r="A239" s="394"/>
      <c r="B239" s="1102"/>
      <c r="C239" s="919"/>
      <c r="D239" s="186"/>
      <c r="E239" s="147"/>
      <c r="F239" s="406"/>
      <c r="G239" s="193"/>
      <c r="H239" s="315"/>
      <c r="I239" s="315"/>
      <c r="J239" s="315" t="s">
        <v>34</v>
      </c>
      <c r="K239" s="316"/>
      <c r="L239" s="664"/>
      <c r="M239" s="310"/>
      <c r="N239" s="1311"/>
      <c r="O239" s="1314"/>
      <c r="P239" s="261"/>
      <c r="Q239" s="261"/>
      <c r="R239" s="261"/>
      <c r="S239" s="416"/>
    </row>
    <row r="240" spans="1:19" s="415" customFormat="1" ht="12.75" customHeight="1">
      <c r="A240" s="394"/>
      <c r="B240" s="1102"/>
      <c r="C240" s="919"/>
      <c r="D240" s="186"/>
      <c r="E240" s="147"/>
      <c r="F240" s="406"/>
      <c r="G240" s="193"/>
      <c r="H240" s="315"/>
      <c r="I240" s="315"/>
      <c r="J240" s="315" t="s">
        <v>34</v>
      </c>
      <c r="K240" s="316"/>
      <c r="L240" s="664"/>
      <c r="M240" s="310"/>
      <c r="N240" s="1311"/>
      <c r="O240" s="1314"/>
      <c r="P240" s="261"/>
      <c r="Q240" s="261"/>
      <c r="R240" s="261"/>
      <c r="S240" s="416"/>
    </row>
    <row r="241" spans="1:19" s="415" customFormat="1" ht="12.75" customHeight="1">
      <c r="A241" s="394"/>
      <c r="B241" s="1102"/>
      <c r="C241" s="919"/>
      <c r="D241" s="186"/>
      <c r="E241" s="147"/>
      <c r="F241" s="406"/>
      <c r="G241" s="193"/>
      <c r="H241" s="315"/>
      <c r="I241" s="315"/>
      <c r="J241" s="315" t="s">
        <v>34</v>
      </c>
      <c r="K241" s="316"/>
      <c r="L241" s="664"/>
      <c r="M241" s="310"/>
      <c r="N241" s="1311"/>
      <c r="O241" s="1314"/>
      <c r="P241" s="261"/>
      <c r="Q241" s="261"/>
      <c r="R241" s="261"/>
      <c r="S241" s="416"/>
    </row>
    <row r="242" spans="1:19" s="415" customFormat="1" ht="12.75" customHeight="1">
      <c r="A242" s="394"/>
      <c r="B242" s="1102"/>
      <c r="C242" s="919"/>
      <c r="D242" s="186"/>
      <c r="E242" s="147"/>
      <c r="F242" s="406"/>
      <c r="G242" s="193"/>
      <c r="H242" s="315"/>
      <c r="I242" s="315"/>
      <c r="J242" s="315" t="s">
        <v>34</v>
      </c>
      <c r="K242" s="316"/>
      <c r="L242" s="664"/>
      <c r="M242" s="310"/>
      <c r="N242" s="1311"/>
      <c r="O242" s="1314"/>
      <c r="P242" s="261"/>
      <c r="Q242" s="261"/>
      <c r="R242" s="261"/>
      <c r="S242" s="416"/>
    </row>
    <row r="243" spans="1:19" s="415" customFormat="1" ht="12.75" customHeight="1">
      <c r="A243" s="394"/>
      <c r="B243" s="1102"/>
      <c r="C243" s="919"/>
      <c r="D243" s="186"/>
      <c r="E243" s="147"/>
      <c r="F243" s="406"/>
      <c r="G243" s="193"/>
      <c r="H243" s="315"/>
      <c r="I243" s="315"/>
      <c r="J243" s="315" t="s">
        <v>34</v>
      </c>
      <c r="K243" s="316"/>
      <c r="L243" s="664"/>
      <c r="M243" s="310"/>
      <c r="N243" s="1311"/>
      <c r="O243" s="1314"/>
      <c r="P243" s="261"/>
      <c r="Q243" s="261"/>
      <c r="R243" s="261"/>
      <c r="S243" s="416"/>
    </row>
    <row r="244" spans="1:19" s="415" customFormat="1" ht="12.75" customHeight="1">
      <c r="A244" s="394"/>
      <c r="B244" s="1102"/>
      <c r="C244" s="919"/>
      <c r="D244" s="186"/>
      <c r="E244" s="147"/>
      <c r="F244" s="406"/>
      <c r="G244" s="193"/>
      <c r="H244" s="315"/>
      <c r="I244" s="315"/>
      <c r="J244" s="315" t="s">
        <v>34</v>
      </c>
      <c r="K244" s="316"/>
      <c r="L244" s="664"/>
      <c r="M244" s="310"/>
      <c r="N244" s="1311"/>
      <c r="O244" s="1314"/>
      <c r="P244" s="261"/>
      <c r="Q244" s="261"/>
      <c r="R244" s="261"/>
      <c r="S244" s="416"/>
    </row>
    <row r="245" spans="1:19" s="415" customFormat="1" ht="12.75" customHeight="1">
      <c r="A245" s="394"/>
      <c r="B245" s="1102"/>
      <c r="C245" s="919"/>
      <c r="D245" s="186"/>
      <c r="E245" s="147"/>
      <c r="F245" s="406"/>
      <c r="G245" s="193"/>
      <c r="H245" s="315"/>
      <c r="I245" s="315"/>
      <c r="J245" s="315" t="s">
        <v>34</v>
      </c>
      <c r="K245" s="316"/>
      <c r="L245" s="664"/>
      <c r="M245" s="310"/>
      <c r="N245" s="1311"/>
      <c r="O245" s="1314"/>
      <c r="P245" s="261"/>
      <c r="Q245" s="261"/>
      <c r="R245" s="261"/>
      <c r="S245" s="416"/>
    </row>
    <row r="246" spans="1:19" s="415" customFormat="1" ht="12.75" customHeight="1">
      <c r="A246" s="394"/>
      <c r="B246" s="1102"/>
      <c r="C246" s="919"/>
      <c r="D246" s="186"/>
      <c r="E246" s="147"/>
      <c r="F246" s="406"/>
      <c r="G246" s="193"/>
      <c r="H246" s="315"/>
      <c r="I246" s="315"/>
      <c r="J246" s="315" t="s">
        <v>34</v>
      </c>
      <c r="K246" s="316"/>
      <c r="L246" s="664"/>
      <c r="M246" s="310"/>
      <c r="N246" s="1311"/>
      <c r="O246" s="1314"/>
      <c r="P246" s="261"/>
      <c r="Q246" s="261"/>
      <c r="R246" s="261"/>
      <c r="S246" s="416"/>
    </row>
    <row r="247" spans="1:19" s="415" customFormat="1" ht="12.75" customHeight="1">
      <c r="A247" s="394"/>
      <c r="B247" s="1102"/>
      <c r="C247" s="919"/>
      <c r="D247" s="186"/>
      <c r="E247" s="147"/>
      <c r="F247" s="406"/>
      <c r="G247" s="193"/>
      <c r="H247" s="315"/>
      <c r="I247" s="315"/>
      <c r="J247" s="315" t="s">
        <v>34</v>
      </c>
      <c r="K247" s="316"/>
      <c r="L247" s="664"/>
      <c r="M247" s="310"/>
      <c r="N247" s="1311"/>
      <c r="O247" s="1314"/>
      <c r="P247" s="261"/>
      <c r="Q247" s="261"/>
      <c r="R247" s="261"/>
      <c r="S247" s="416"/>
    </row>
    <row r="248" spans="1:19" s="415" customFormat="1" ht="12.75" customHeight="1">
      <c r="A248" s="394"/>
      <c r="B248" s="1102"/>
      <c r="C248" s="919"/>
      <c r="D248" s="186"/>
      <c r="E248" s="147"/>
      <c r="F248" s="406"/>
      <c r="G248" s="193"/>
      <c r="H248" s="315"/>
      <c r="I248" s="315"/>
      <c r="J248" s="315" t="s">
        <v>34</v>
      </c>
      <c r="K248" s="316"/>
      <c r="L248" s="664"/>
      <c r="M248" s="310"/>
      <c r="N248" s="1311"/>
      <c r="O248" s="1314"/>
      <c r="P248" s="261"/>
      <c r="Q248" s="261"/>
      <c r="R248" s="261"/>
      <c r="S248" s="416"/>
    </row>
    <row r="249" spans="1:19" s="415" customFormat="1" ht="12.75" customHeight="1">
      <c r="A249" s="394"/>
      <c r="B249" s="1102"/>
      <c r="C249" s="919"/>
      <c r="D249" s="186"/>
      <c r="E249" s="147"/>
      <c r="F249" s="406"/>
      <c r="G249" s="193"/>
      <c r="H249" s="315"/>
      <c r="I249" s="315"/>
      <c r="J249" s="315" t="s">
        <v>34</v>
      </c>
      <c r="K249" s="316"/>
      <c r="L249" s="664"/>
      <c r="M249" s="310"/>
      <c r="N249" s="1311"/>
      <c r="O249" s="1314"/>
      <c r="P249" s="261"/>
      <c r="Q249" s="261"/>
      <c r="R249" s="261"/>
      <c r="S249" s="416"/>
    </row>
    <row r="250" spans="1:19" s="415" customFormat="1" ht="12.75" customHeight="1">
      <c r="A250" s="394"/>
      <c r="B250" s="1102"/>
      <c r="C250" s="919"/>
      <c r="D250" s="186"/>
      <c r="E250" s="147"/>
      <c r="F250" s="406"/>
      <c r="G250" s="193"/>
      <c r="H250" s="315"/>
      <c r="I250" s="315"/>
      <c r="J250" s="315" t="s">
        <v>34</v>
      </c>
      <c r="K250" s="316"/>
      <c r="L250" s="664"/>
      <c r="M250" s="310"/>
      <c r="N250" s="1311"/>
      <c r="O250" s="1314"/>
      <c r="P250" s="261"/>
      <c r="Q250" s="261"/>
      <c r="R250" s="261"/>
      <c r="S250" s="416"/>
    </row>
    <row r="251" spans="1:19" s="415" customFormat="1" ht="12.75" customHeight="1" thickBot="1">
      <c r="A251" s="394"/>
      <c r="B251" s="1103"/>
      <c r="C251" s="926"/>
      <c r="D251" s="189"/>
      <c r="E251" s="201"/>
      <c r="F251" s="407"/>
      <c r="G251" s="195"/>
      <c r="H251" s="311"/>
      <c r="I251" s="311"/>
      <c r="J251" s="311" t="s">
        <v>34</v>
      </c>
      <c r="K251" s="312"/>
      <c r="L251" s="665"/>
      <c r="M251" s="310"/>
      <c r="N251" s="1312"/>
      <c r="O251" s="1315"/>
      <c r="P251" s="261"/>
      <c r="Q251" s="261"/>
      <c r="R251" s="261"/>
      <c r="S251" s="416"/>
    </row>
    <row r="252" spans="1:19" s="415" customFormat="1" ht="12.75" customHeight="1" thickBot="1">
      <c r="A252" s="394"/>
      <c r="B252" s="872"/>
      <c r="C252" s="872"/>
      <c r="D252" s="872"/>
      <c r="E252" s="872"/>
      <c r="F252" s="886"/>
      <c r="G252" s="886"/>
      <c r="H252" s="886"/>
      <c r="I252" s="403"/>
      <c r="J252" s="404"/>
      <c r="K252" s="138"/>
      <c r="L252" s="138"/>
      <c r="M252" s="261"/>
      <c r="N252" s="261"/>
      <c r="O252" s="261"/>
      <c r="P252" s="261"/>
      <c r="Q252" s="261"/>
      <c r="R252" s="261"/>
      <c r="S252" s="416"/>
    </row>
    <row r="253" spans="1:19" s="415" customFormat="1" ht="12.75" customHeight="1" thickBot="1">
      <c r="A253" s="394"/>
      <c r="B253" s="910"/>
      <c r="C253" s="910"/>
      <c r="D253" s="910"/>
      <c r="E253" s="910"/>
      <c r="F253" s="1228" t="s">
        <v>126</v>
      </c>
      <c r="G253" s="1229"/>
      <c r="H253" s="1230" t="s">
        <v>618</v>
      </c>
      <c r="I253" s="1230"/>
      <c r="J253" s="1232" t="s">
        <v>127</v>
      </c>
      <c r="K253" s="1233"/>
      <c r="L253" s="663"/>
      <c r="M253" s="663"/>
      <c r="N253" s="416"/>
      <c r="P253" s="261"/>
      <c r="Q253" s="261"/>
      <c r="R253" s="261"/>
      <c r="S253" s="416"/>
    </row>
    <row r="254" spans="1:19" s="415" customFormat="1" ht="12.75" customHeight="1" thickBot="1">
      <c r="A254" s="394"/>
      <c r="B254" s="909" t="s">
        <v>15</v>
      </c>
      <c r="C254" s="879" t="s">
        <v>128</v>
      </c>
      <c r="D254" s="398" t="s">
        <v>38</v>
      </c>
      <c r="E254" s="674" t="s">
        <v>571</v>
      </c>
      <c r="F254" s="400" t="s">
        <v>669</v>
      </c>
      <c r="G254" s="401" t="s">
        <v>314</v>
      </c>
      <c r="H254" s="401" t="s">
        <v>669</v>
      </c>
      <c r="I254" s="401" t="s">
        <v>314</v>
      </c>
      <c r="J254" s="401" t="s">
        <v>669</v>
      </c>
      <c r="K254" s="402" t="s">
        <v>314</v>
      </c>
      <c r="L254" s="212" t="s">
        <v>976</v>
      </c>
      <c r="M254" s="212" t="s">
        <v>984</v>
      </c>
      <c r="N254" s="666" t="s">
        <v>975</v>
      </c>
      <c r="O254" s="667" t="s">
        <v>985</v>
      </c>
      <c r="P254" s="261"/>
      <c r="Q254" s="261"/>
      <c r="R254" s="261"/>
      <c r="S254" s="416"/>
    </row>
    <row r="255" spans="1:19" s="415" customFormat="1" ht="12.75" customHeight="1">
      <c r="A255" s="394"/>
      <c r="B255" s="1101"/>
      <c r="C255" s="918"/>
      <c r="D255" s="199"/>
      <c r="E255" s="149"/>
      <c r="F255" s="405"/>
      <c r="G255" s="194"/>
      <c r="H255" s="313"/>
      <c r="I255" s="313"/>
      <c r="J255" s="313" t="s">
        <v>34</v>
      </c>
      <c r="K255" s="314"/>
      <c r="L255" s="664"/>
      <c r="M255" s="310"/>
      <c r="N255" s="1310"/>
      <c r="O255" s="1313"/>
      <c r="P255" s="261"/>
      <c r="Q255" s="261"/>
      <c r="R255" s="261"/>
      <c r="S255" s="416"/>
    </row>
    <row r="256" spans="1:19" s="415" customFormat="1" ht="12.75" customHeight="1">
      <c r="A256" s="394"/>
      <c r="B256" s="1102"/>
      <c r="C256" s="919"/>
      <c r="D256" s="185"/>
      <c r="E256" s="399"/>
      <c r="F256" s="406"/>
      <c r="G256" s="193"/>
      <c r="H256" s="315"/>
      <c r="I256" s="315"/>
      <c r="J256" s="315" t="s">
        <v>34</v>
      </c>
      <c r="K256" s="316"/>
      <c r="L256" s="664"/>
      <c r="M256" s="310"/>
      <c r="N256" s="1311"/>
      <c r="O256" s="1314"/>
      <c r="P256" s="261"/>
      <c r="Q256" s="261"/>
      <c r="R256" s="261"/>
      <c r="S256" s="416"/>
    </row>
    <row r="257" spans="1:19" s="415" customFormat="1" ht="12.75" customHeight="1">
      <c r="A257" s="394"/>
      <c r="B257" s="1102"/>
      <c r="C257" s="919"/>
      <c r="D257" s="185"/>
      <c r="E257" s="399"/>
      <c r="F257" s="406"/>
      <c r="G257" s="193"/>
      <c r="H257" s="315"/>
      <c r="I257" s="315"/>
      <c r="J257" s="315" t="s">
        <v>34</v>
      </c>
      <c r="K257" s="316"/>
      <c r="L257" s="664"/>
      <c r="M257" s="310"/>
      <c r="N257" s="1311"/>
      <c r="O257" s="1314"/>
      <c r="P257" s="261"/>
      <c r="Q257" s="261"/>
      <c r="R257" s="261"/>
      <c r="S257" s="416"/>
    </row>
    <row r="258" spans="1:19" s="415" customFormat="1" ht="12.75" customHeight="1">
      <c r="A258" s="394"/>
      <c r="B258" s="1102"/>
      <c r="C258" s="919"/>
      <c r="D258" s="185"/>
      <c r="E258" s="399"/>
      <c r="F258" s="406"/>
      <c r="G258" s="193"/>
      <c r="H258" s="315"/>
      <c r="I258" s="315"/>
      <c r="J258" s="315" t="s">
        <v>34</v>
      </c>
      <c r="K258" s="316"/>
      <c r="L258" s="664"/>
      <c r="M258" s="310"/>
      <c r="N258" s="1311"/>
      <c r="O258" s="1314"/>
      <c r="P258" s="261"/>
      <c r="Q258" s="261"/>
      <c r="R258" s="261"/>
      <c r="S258" s="416"/>
    </row>
    <row r="259" spans="1:19" s="415" customFormat="1" ht="12.75" customHeight="1">
      <c r="A259" s="394"/>
      <c r="B259" s="1102"/>
      <c r="C259" s="919"/>
      <c r="D259" s="185"/>
      <c r="E259" s="399"/>
      <c r="F259" s="406"/>
      <c r="G259" s="193"/>
      <c r="H259" s="315"/>
      <c r="I259" s="315"/>
      <c r="J259" s="315" t="s">
        <v>34</v>
      </c>
      <c r="K259" s="316"/>
      <c r="L259" s="664"/>
      <c r="M259" s="310"/>
      <c r="N259" s="1311"/>
      <c r="O259" s="1314"/>
      <c r="P259" s="261"/>
      <c r="Q259" s="261"/>
      <c r="R259" s="261"/>
      <c r="S259" s="416"/>
    </row>
    <row r="260" spans="1:19" s="415" customFormat="1" ht="12.75" customHeight="1">
      <c r="A260" s="394"/>
      <c r="B260" s="1102"/>
      <c r="C260" s="919"/>
      <c r="D260" s="186"/>
      <c r="E260" s="147"/>
      <c r="F260" s="406"/>
      <c r="G260" s="193"/>
      <c r="H260" s="315"/>
      <c r="I260" s="315"/>
      <c r="J260" s="315" t="s">
        <v>34</v>
      </c>
      <c r="K260" s="316"/>
      <c r="L260" s="664"/>
      <c r="M260" s="310"/>
      <c r="N260" s="1311"/>
      <c r="O260" s="1314"/>
      <c r="P260" s="261"/>
      <c r="Q260" s="261"/>
      <c r="R260" s="261"/>
      <c r="S260" s="416"/>
    </row>
    <row r="261" spans="1:19" s="415" customFormat="1" ht="12.75" customHeight="1">
      <c r="A261" s="394"/>
      <c r="B261" s="1102"/>
      <c r="C261" s="919"/>
      <c r="D261" s="186"/>
      <c r="E261" s="147"/>
      <c r="F261" s="406"/>
      <c r="G261" s="193"/>
      <c r="H261" s="315"/>
      <c r="I261" s="315"/>
      <c r="J261" s="315" t="s">
        <v>34</v>
      </c>
      <c r="K261" s="316"/>
      <c r="L261" s="664"/>
      <c r="M261" s="310"/>
      <c r="N261" s="1311"/>
      <c r="O261" s="1314"/>
      <c r="P261" s="261"/>
      <c r="Q261" s="261"/>
      <c r="R261" s="261"/>
      <c r="S261" s="416"/>
    </row>
    <row r="262" spans="1:19" s="415" customFormat="1" ht="12.75" customHeight="1">
      <c r="A262" s="394"/>
      <c r="B262" s="1102"/>
      <c r="C262" s="919"/>
      <c r="D262" s="186"/>
      <c r="E262" s="147"/>
      <c r="F262" s="406"/>
      <c r="G262" s="193"/>
      <c r="H262" s="315"/>
      <c r="I262" s="315"/>
      <c r="J262" s="315" t="s">
        <v>34</v>
      </c>
      <c r="K262" s="316"/>
      <c r="L262" s="664"/>
      <c r="M262" s="310"/>
      <c r="N262" s="1311"/>
      <c r="O262" s="1314"/>
      <c r="P262" s="261"/>
      <c r="Q262" s="261"/>
      <c r="R262" s="261"/>
      <c r="S262" s="416"/>
    </row>
    <row r="263" spans="1:19" s="415" customFormat="1" ht="12.75" customHeight="1">
      <c r="A263" s="394"/>
      <c r="B263" s="1102"/>
      <c r="C263" s="919"/>
      <c r="D263" s="186"/>
      <c r="E263" s="147"/>
      <c r="F263" s="406"/>
      <c r="G263" s="193"/>
      <c r="H263" s="315"/>
      <c r="I263" s="315"/>
      <c r="J263" s="315" t="s">
        <v>34</v>
      </c>
      <c r="K263" s="316"/>
      <c r="L263" s="664"/>
      <c r="M263" s="310"/>
      <c r="N263" s="1311"/>
      <c r="O263" s="1314"/>
      <c r="P263" s="261"/>
      <c r="Q263" s="261"/>
      <c r="R263" s="261"/>
      <c r="S263" s="416"/>
    </row>
    <row r="264" spans="1:19" s="415" customFormat="1" ht="12.75" customHeight="1">
      <c r="A264" s="394"/>
      <c r="B264" s="1102"/>
      <c r="C264" s="919"/>
      <c r="D264" s="186"/>
      <c r="E264" s="147"/>
      <c r="F264" s="406"/>
      <c r="G264" s="193"/>
      <c r="H264" s="315"/>
      <c r="I264" s="315"/>
      <c r="J264" s="315" t="s">
        <v>34</v>
      </c>
      <c r="K264" s="316"/>
      <c r="L264" s="664"/>
      <c r="M264" s="310"/>
      <c r="N264" s="1311"/>
      <c r="O264" s="1314"/>
      <c r="P264" s="261"/>
      <c r="Q264" s="261"/>
      <c r="R264" s="261"/>
      <c r="S264" s="416"/>
    </row>
    <row r="265" spans="1:19" s="415" customFormat="1" ht="12.75" customHeight="1">
      <c r="A265" s="394"/>
      <c r="B265" s="1102"/>
      <c r="C265" s="919"/>
      <c r="D265" s="186"/>
      <c r="E265" s="147"/>
      <c r="F265" s="406"/>
      <c r="G265" s="193"/>
      <c r="H265" s="315"/>
      <c r="I265" s="315"/>
      <c r="J265" s="315" t="s">
        <v>34</v>
      </c>
      <c r="K265" s="316"/>
      <c r="L265" s="664"/>
      <c r="M265" s="310"/>
      <c r="N265" s="1311"/>
      <c r="O265" s="1314"/>
      <c r="P265" s="261"/>
      <c r="Q265" s="261"/>
      <c r="R265" s="261"/>
      <c r="S265" s="416"/>
    </row>
    <row r="266" spans="1:19" s="415" customFormat="1" ht="12.75" customHeight="1">
      <c r="A266" s="394"/>
      <c r="B266" s="1102"/>
      <c r="C266" s="919"/>
      <c r="D266" s="186"/>
      <c r="E266" s="147"/>
      <c r="F266" s="406"/>
      <c r="G266" s="193"/>
      <c r="H266" s="315"/>
      <c r="I266" s="315"/>
      <c r="J266" s="315" t="s">
        <v>34</v>
      </c>
      <c r="K266" s="316"/>
      <c r="L266" s="664"/>
      <c r="M266" s="310"/>
      <c r="N266" s="1311"/>
      <c r="O266" s="1314"/>
      <c r="P266" s="261"/>
      <c r="Q266" s="261"/>
      <c r="R266" s="261"/>
      <c r="S266" s="416"/>
    </row>
    <row r="267" spans="1:19" s="415" customFormat="1" ht="12.75" customHeight="1">
      <c r="A267" s="394"/>
      <c r="B267" s="1102"/>
      <c r="C267" s="919"/>
      <c r="D267" s="186"/>
      <c r="E267" s="147"/>
      <c r="F267" s="406"/>
      <c r="G267" s="193"/>
      <c r="H267" s="315"/>
      <c r="I267" s="315"/>
      <c r="J267" s="315" t="s">
        <v>34</v>
      </c>
      <c r="K267" s="316"/>
      <c r="L267" s="664"/>
      <c r="M267" s="310"/>
      <c r="N267" s="1311"/>
      <c r="O267" s="1314"/>
      <c r="P267" s="261"/>
      <c r="Q267" s="261"/>
      <c r="R267" s="261"/>
      <c r="S267" s="416"/>
    </row>
    <row r="268" spans="1:19" s="415" customFormat="1" ht="12.75" customHeight="1">
      <c r="A268" s="394"/>
      <c r="B268" s="1102"/>
      <c r="C268" s="919"/>
      <c r="D268" s="186"/>
      <c r="E268" s="147"/>
      <c r="F268" s="406"/>
      <c r="G268" s="193"/>
      <c r="H268" s="315"/>
      <c r="I268" s="315"/>
      <c r="J268" s="315" t="s">
        <v>34</v>
      </c>
      <c r="K268" s="316"/>
      <c r="L268" s="664"/>
      <c r="M268" s="310"/>
      <c r="N268" s="1311"/>
      <c r="O268" s="1314"/>
      <c r="P268" s="261"/>
      <c r="Q268" s="261"/>
      <c r="R268" s="261"/>
      <c r="S268" s="416"/>
    </row>
    <row r="269" spans="1:19" s="415" customFormat="1" ht="12.75" customHeight="1">
      <c r="A269" s="394"/>
      <c r="B269" s="1102"/>
      <c r="C269" s="919"/>
      <c r="D269" s="186"/>
      <c r="E269" s="147"/>
      <c r="F269" s="406"/>
      <c r="G269" s="193"/>
      <c r="H269" s="315"/>
      <c r="I269" s="315"/>
      <c r="J269" s="315" t="s">
        <v>34</v>
      </c>
      <c r="K269" s="316"/>
      <c r="L269" s="664"/>
      <c r="M269" s="310"/>
      <c r="N269" s="1311"/>
      <c r="O269" s="1314"/>
      <c r="P269" s="261"/>
      <c r="Q269" s="261"/>
      <c r="R269" s="261"/>
      <c r="S269" s="416"/>
    </row>
    <row r="270" spans="1:19" s="415" customFormat="1" ht="12.75" customHeight="1">
      <c r="A270" s="394"/>
      <c r="B270" s="1102"/>
      <c r="C270" s="919"/>
      <c r="D270" s="186"/>
      <c r="E270" s="147"/>
      <c r="F270" s="406"/>
      <c r="G270" s="193"/>
      <c r="H270" s="315"/>
      <c r="I270" s="315"/>
      <c r="J270" s="315" t="s">
        <v>34</v>
      </c>
      <c r="K270" s="316"/>
      <c r="L270" s="664"/>
      <c r="M270" s="310"/>
      <c r="N270" s="1311"/>
      <c r="O270" s="1314"/>
      <c r="P270" s="261"/>
      <c r="Q270" s="261"/>
      <c r="R270" s="261"/>
      <c r="S270" s="416"/>
    </row>
    <row r="271" spans="1:19" s="415" customFormat="1" ht="12.75" customHeight="1">
      <c r="A271" s="394"/>
      <c r="B271" s="1102"/>
      <c r="C271" s="919"/>
      <c r="D271" s="186"/>
      <c r="E271" s="147"/>
      <c r="F271" s="406"/>
      <c r="G271" s="193"/>
      <c r="H271" s="315"/>
      <c r="I271" s="315"/>
      <c r="J271" s="315" t="s">
        <v>34</v>
      </c>
      <c r="K271" s="316"/>
      <c r="L271" s="664"/>
      <c r="M271" s="310"/>
      <c r="N271" s="1311"/>
      <c r="O271" s="1314"/>
      <c r="P271" s="261"/>
      <c r="Q271" s="261"/>
      <c r="R271" s="261"/>
      <c r="S271" s="416"/>
    </row>
    <row r="272" spans="1:19" s="415" customFormat="1" ht="12.75" customHeight="1">
      <c r="A272" s="394"/>
      <c r="B272" s="1102"/>
      <c r="C272" s="919"/>
      <c r="D272" s="186"/>
      <c r="E272" s="147"/>
      <c r="F272" s="406"/>
      <c r="G272" s="193"/>
      <c r="H272" s="315"/>
      <c r="I272" s="315"/>
      <c r="J272" s="315" t="s">
        <v>34</v>
      </c>
      <c r="K272" s="316"/>
      <c r="L272" s="664"/>
      <c r="M272" s="310"/>
      <c r="N272" s="1311"/>
      <c r="O272" s="1314"/>
      <c r="P272" s="261"/>
      <c r="Q272" s="261"/>
      <c r="R272" s="261"/>
      <c r="S272" s="416"/>
    </row>
    <row r="273" spans="1:19" s="415" customFormat="1" ht="12.75" customHeight="1">
      <c r="A273" s="394"/>
      <c r="B273" s="1102"/>
      <c r="C273" s="919"/>
      <c r="D273" s="186"/>
      <c r="E273" s="147"/>
      <c r="F273" s="406"/>
      <c r="G273" s="193"/>
      <c r="H273" s="315"/>
      <c r="I273" s="315"/>
      <c r="J273" s="315" t="s">
        <v>34</v>
      </c>
      <c r="K273" s="316"/>
      <c r="L273" s="664"/>
      <c r="M273" s="310"/>
      <c r="N273" s="1311"/>
      <c r="O273" s="1314"/>
      <c r="P273" s="261"/>
      <c r="Q273" s="261"/>
      <c r="R273" s="261"/>
      <c r="S273" s="416"/>
    </row>
    <row r="274" spans="1:19" s="415" customFormat="1" ht="12.75" customHeight="1" thickBot="1">
      <c r="A274" s="394"/>
      <c r="B274" s="1103"/>
      <c r="C274" s="926"/>
      <c r="D274" s="189"/>
      <c r="E274" s="201"/>
      <c r="F274" s="407"/>
      <c r="G274" s="195"/>
      <c r="H274" s="311"/>
      <c r="I274" s="311"/>
      <c r="J274" s="311" t="s">
        <v>34</v>
      </c>
      <c r="K274" s="312"/>
      <c r="L274" s="665"/>
      <c r="M274" s="310"/>
      <c r="N274" s="1312"/>
      <c r="O274" s="1315"/>
      <c r="P274" s="261"/>
      <c r="Q274" s="261"/>
      <c r="R274" s="261"/>
      <c r="S274" s="416"/>
    </row>
    <row r="275" spans="1:19" s="415" customFormat="1" ht="12.75" customHeight="1" thickBot="1">
      <c r="A275" s="394"/>
      <c r="B275" s="872"/>
      <c r="C275" s="872"/>
      <c r="D275" s="872"/>
      <c r="E275" s="872"/>
      <c r="F275" s="886"/>
      <c r="G275" s="886"/>
      <c r="H275" s="886"/>
      <c r="I275" s="403"/>
      <c r="J275" s="404"/>
      <c r="K275" s="138"/>
      <c r="L275" s="138"/>
      <c r="M275" s="261"/>
      <c r="N275" s="261"/>
      <c r="O275" s="261"/>
      <c r="P275" s="261"/>
      <c r="Q275" s="261"/>
      <c r="R275" s="261"/>
      <c r="S275" s="416"/>
    </row>
    <row r="276" spans="1:19" s="415" customFormat="1" ht="12.75" customHeight="1" thickBot="1">
      <c r="A276" s="394"/>
      <c r="B276" s="910"/>
      <c r="C276" s="910"/>
      <c r="D276" s="910"/>
      <c r="E276" s="910"/>
      <c r="F276" s="1228" t="s">
        <v>126</v>
      </c>
      <c r="G276" s="1229"/>
      <c r="H276" s="1230" t="s">
        <v>618</v>
      </c>
      <c r="I276" s="1230"/>
      <c r="J276" s="1232" t="s">
        <v>127</v>
      </c>
      <c r="K276" s="1233"/>
      <c r="L276" s="663"/>
      <c r="M276" s="663"/>
      <c r="N276" s="416"/>
      <c r="P276" s="261"/>
      <c r="Q276" s="261"/>
      <c r="R276" s="261"/>
      <c r="S276" s="416"/>
    </row>
    <row r="277" spans="1:19" s="415" customFormat="1" ht="12.75" customHeight="1" thickBot="1">
      <c r="A277" s="394"/>
      <c r="B277" s="909" t="s">
        <v>15</v>
      </c>
      <c r="C277" s="879" t="s">
        <v>128</v>
      </c>
      <c r="D277" s="398" t="s">
        <v>38</v>
      </c>
      <c r="E277" s="674" t="s">
        <v>571</v>
      </c>
      <c r="F277" s="400" t="s">
        <v>669</v>
      </c>
      <c r="G277" s="401" t="s">
        <v>314</v>
      </c>
      <c r="H277" s="401" t="s">
        <v>669</v>
      </c>
      <c r="I277" s="401" t="s">
        <v>314</v>
      </c>
      <c r="J277" s="401" t="s">
        <v>669</v>
      </c>
      <c r="K277" s="402" t="s">
        <v>314</v>
      </c>
      <c r="L277" s="212" t="s">
        <v>976</v>
      </c>
      <c r="M277" s="212" t="s">
        <v>984</v>
      </c>
      <c r="N277" s="666" t="s">
        <v>975</v>
      </c>
      <c r="O277" s="667" t="s">
        <v>985</v>
      </c>
      <c r="P277" s="261"/>
      <c r="Q277" s="261"/>
      <c r="R277" s="261"/>
      <c r="S277" s="416"/>
    </row>
    <row r="278" spans="1:19" s="415" customFormat="1" ht="12.75" customHeight="1">
      <c r="A278" s="394"/>
      <c r="B278" s="1101"/>
      <c r="C278" s="918"/>
      <c r="D278" s="199"/>
      <c r="E278" s="149"/>
      <c r="F278" s="405"/>
      <c r="G278" s="194"/>
      <c r="H278" s="313"/>
      <c r="I278" s="313"/>
      <c r="J278" s="313" t="s">
        <v>34</v>
      </c>
      <c r="K278" s="314"/>
      <c r="L278" s="664"/>
      <c r="M278" s="310"/>
      <c r="N278" s="1310"/>
      <c r="O278" s="1313"/>
      <c r="P278" s="261"/>
      <c r="Q278" s="261"/>
      <c r="R278" s="261"/>
      <c r="S278" s="416"/>
    </row>
    <row r="279" spans="1:19" s="415" customFormat="1" ht="12.75" customHeight="1">
      <c r="A279" s="394"/>
      <c r="B279" s="1102"/>
      <c r="C279" s="919"/>
      <c r="D279" s="185"/>
      <c r="E279" s="399"/>
      <c r="F279" s="406"/>
      <c r="G279" s="193"/>
      <c r="H279" s="315"/>
      <c r="I279" s="315"/>
      <c r="J279" s="315" t="s">
        <v>34</v>
      </c>
      <c r="K279" s="316"/>
      <c r="L279" s="664"/>
      <c r="M279" s="310"/>
      <c r="N279" s="1311"/>
      <c r="O279" s="1314"/>
      <c r="P279" s="261"/>
      <c r="Q279" s="261"/>
      <c r="R279" s="261"/>
      <c r="S279" s="416"/>
    </row>
    <row r="280" spans="1:19" s="415" customFormat="1" ht="12.75" customHeight="1">
      <c r="A280" s="394"/>
      <c r="B280" s="1102"/>
      <c r="C280" s="919"/>
      <c r="D280" s="185"/>
      <c r="E280" s="399"/>
      <c r="F280" s="406"/>
      <c r="G280" s="193"/>
      <c r="H280" s="315"/>
      <c r="I280" s="315"/>
      <c r="J280" s="315" t="s">
        <v>34</v>
      </c>
      <c r="K280" s="316"/>
      <c r="L280" s="664"/>
      <c r="M280" s="310"/>
      <c r="N280" s="1311"/>
      <c r="O280" s="1314"/>
      <c r="P280" s="261"/>
      <c r="Q280" s="261"/>
      <c r="R280" s="261"/>
      <c r="S280" s="416"/>
    </row>
    <row r="281" spans="1:19" s="415" customFormat="1" ht="12.75" customHeight="1">
      <c r="A281" s="394"/>
      <c r="B281" s="1102"/>
      <c r="C281" s="919"/>
      <c r="D281" s="185"/>
      <c r="E281" s="399"/>
      <c r="F281" s="406"/>
      <c r="G281" s="193"/>
      <c r="H281" s="315"/>
      <c r="I281" s="315"/>
      <c r="J281" s="315" t="s">
        <v>34</v>
      </c>
      <c r="K281" s="316"/>
      <c r="L281" s="664"/>
      <c r="M281" s="310"/>
      <c r="N281" s="1311"/>
      <c r="O281" s="1314"/>
      <c r="P281" s="261"/>
      <c r="Q281" s="261"/>
      <c r="R281" s="261"/>
      <c r="S281" s="416"/>
    </row>
    <row r="282" spans="1:19" s="415" customFormat="1" ht="12.75" customHeight="1">
      <c r="A282" s="394"/>
      <c r="B282" s="1102"/>
      <c r="C282" s="919"/>
      <c r="D282" s="185"/>
      <c r="E282" s="399"/>
      <c r="F282" s="406"/>
      <c r="G282" s="193"/>
      <c r="H282" s="315"/>
      <c r="I282" s="315"/>
      <c r="J282" s="315" t="s">
        <v>34</v>
      </c>
      <c r="K282" s="316"/>
      <c r="L282" s="664"/>
      <c r="M282" s="310"/>
      <c r="N282" s="1311"/>
      <c r="O282" s="1314"/>
      <c r="P282" s="261"/>
      <c r="Q282" s="261"/>
      <c r="R282" s="261"/>
      <c r="S282" s="416"/>
    </row>
    <row r="283" spans="1:19" s="415" customFormat="1" ht="12.75" customHeight="1">
      <c r="A283" s="394"/>
      <c r="B283" s="1102"/>
      <c r="C283" s="919"/>
      <c r="D283" s="186"/>
      <c r="E283" s="147"/>
      <c r="F283" s="406"/>
      <c r="G283" s="193"/>
      <c r="H283" s="315"/>
      <c r="I283" s="315"/>
      <c r="J283" s="315" t="s">
        <v>34</v>
      </c>
      <c r="K283" s="316"/>
      <c r="L283" s="664"/>
      <c r="M283" s="310"/>
      <c r="N283" s="1311"/>
      <c r="O283" s="1314"/>
      <c r="P283" s="261"/>
      <c r="Q283" s="261"/>
      <c r="R283" s="261"/>
      <c r="S283" s="416"/>
    </row>
    <row r="284" spans="1:19" s="415" customFormat="1" ht="12.75" customHeight="1">
      <c r="A284" s="394"/>
      <c r="B284" s="1102"/>
      <c r="C284" s="919"/>
      <c r="D284" s="186"/>
      <c r="E284" s="147"/>
      <c r="F284" s="406"/>
      <c r="G284" s="193"/>
      <c r="H284" s="315"/>
      <c r="I284" s="315"/>
      <c r="J284" s="315" t="s">
        <v>34</v>
      </c>
      <c r="K284" s="316"/>
      <c r="L284" s="664"/>
      <c r="M284" s="310"/>
      <c r="N284" s="1311"/>
      <c r="O284" s="1314"/>
      <c r="P284" s="261"/>
      <c r="Q284" s="261"/>
      <c r="R284" s="261"/>
      <c r="S284" s="416"/>
    </row>
    <row r="285" spans="1:19" s="415" customFormat="1" ht="12.75" customHeight="1">
      <c r="A285" s="394"/>
      <c r="B285" s="1102"/>
      <c r="C285" s="919"/>
      <c r="D285" s="186"/>
      <c r="E285" s="147"/>
      <c r="F285" s="406"/>
      <c r="G285" s="193"/>
      <c r="H285" s="315"/>
      <c r="I285" s="315"/>
      <c r="J285" s="315" t="s">
        <v>34</v>
      </c>
      <c r="K285" s="316"/>
      <c r="L285" s="664"/>
      <c r="M285" s="310"/>
      <c r="N285" s="1311"/>
      <c r="O285" s="1314"/>
      <c r="P285" s="261"/>
      <c r="Q285" s="261"/>
      <c r="R285" s="261"/>
      <c r="S285" s="416"/>
    </row>
    <row r="286" spans="1:19" s="415" customFormat="1" ht="12.75" customHeight="1">
      <c r="A286" s="394"/>
      <c r="B286" s="1102"/>
      <c r="C286" s="919"/>
      <c r="D286" s="186"/>
      <c r="E286" s="147"/>
      <c r="F286" s="406"/>
      <c r="G286" s="193"/>
      <c r="H286" s="315"/>
      <c r="I286" s="315"/>
      <c r="J286" s="315" t="s">
        <v>34</v>
      </c>
      <c r="K286" s="316"/>
      <c r="L286" s="664"/>
      <c r="M286" s="310"/>
      <c r="N286" s="1311"/>
      <c r="O286" s="1314"/>
      <c r="P286" s="261"/>
      <c r="Q286" s="261"/>
      <c r="R286" s="261"/>
      <c r="S286" s="416"/>
    </row>
    <row r="287" spans="1:19" s="415" customFormat="1" ht="12.75" customHeight="1">
      <c r="A287" s="394"/>
      <c r="B287" s="1102"/>
      <c r="C287" s="919"/>
      <c r="D287" s="186"/>
      <c r="E287" s="147"/>
      <c r="F287" s="406"/>
      <c r="G287" s="193"/>
      <c r="H287" s="315"/>
      <c r="I287" s="315"/>
      <c r="J287" s="315" t="s">
        <v>34</v>
      </c>
      <c r="K287" s="316"/>
      <c r="L287" s="664"/>
      <c r="M287" s="310"/>
      <c r="N287" s="1311"/>
      <c r="O287" s="1314"/>
      <c r="P287" s="261"/>
      <c r="Q287" s="261"/>
      <c r="R287" s="261"/>
      <c r="S287" s="416"/>
    </row>
    <row r="288" spans="1:19" s="415" customFormat="1" ht="12.75" customHeight="1">
      <c r="A288" s="394"/>
      <c r="B288" s="1102"/>
      <c r="C288" s="919"/>
      <c r="D288" s="186"/>
      <c r="E288" s="147"/>
      <c r="F288" s="406"/>
      <c r="G288" s="193"/>
      <c r="H288" s="315"/>
      <c r="I288" s="315"/>
      <c r="J288" s="315" t="s">
        <v>34</v>
      </c>
      <c r="K288" s="316"/>
      <c r="L288" s="664"/>
      <c r="M288" s="310"/>
      <c r="N288" s="1311"/>
      <c r="O288" s="1314"/>
      <c r="P288" s="261"/>
      <c r="Q288" s="261"/>
      <c r="R288" s="261"/>
      <c r="S288" s="416"/>
    </row>
    <row r="289" spans="1:19" s="415" customFormat="1" ht="12.75" customHeight="1">
      <c r="A289" s="394"/>
      <c r="B289" s="1102"/>
      <c r="C289" s="919"/>
      <c r="D289" s="186"/>
      <c r="E289" s="147"/>
      <c r="F289" s="406"/>
      <c r="G289" s="193"/>
      <c r="H289" s="315"/>
      <c r="I289" s="315"/>
      <c r="J289" s="315" t="s">
        <v>34</v>
      </c>
      <c r="K289" s="316"/>
      <c r="L289" s="664"/>
      <c r="M289" s="310"/>
      <c r="N289" s="1311"/>
      <c r="O289" s="1314"/>
      <c r="P289" s="261"/>
      <c r="Q289" s="261"/>
      <c r="R289" s="261"/>
      <c r="S289" s="416"/>
    </row>
    <row r="290" spans="1:19" s="415" customFormat="1" ht="12.75" customHeight="1">
      <c r="A290" s="394"/>
      <c r="B290" s="1102"/>
      <c r="C290" s="919"/>
      <c r="D290" s="186"/>
      <c r="E290" s="147"/>
      <c r="F290" s="406"/>
      <c r="G290" s="193"/>
      <c r="H290" s="315"/>
      <c r="I290" s="315"/>
      <c r="J290" s="315" t="s">
        <v>34</v>
      </c>
      <c r="K290" s="316"/>
      <c r="L290" s="664"/>
      <c r="M290" s="310"/>
      <c r="N290" s="1311"/>
      <c r="O290" s="1314"/>
      <c r="P290" s="261"/>
      <c r="Q290" s="261"/>
      <c r="R290" s="261"/>
      <c r="S290" s="416"/>
    </row>
    <row r="291" spans="1:19" s="415" customFormat="1" ht="12.75" customHeight="1">
      <c r="A291" s="394"/>
      <c r="B291" s="1102"/>
      <c r="C291" s="919"/>
      <c r="D291" s="186"/>
      <c r="E291" s="147"/>
      <c r="F291" s="406"/>
      <c r="G291" s="193"/>
      <c r="H291" s="315"/>
      <c r="I291" s="315"/>
      <c r="J291" s="315" t="s">
        <v>34</v>
      </c>
      <c r="K291" s="316"/>
      <c r="L291" s="664"/>
      <c r="M291" s="310"/>
      <c r="N291" s="1311"/>
      <c r="O291" s="1314"/>
      <c r="P291" s="261"/>
      <c r="Q291" s="261"/>
      <c r="R291" s="261"/>
      <c r="S291" s="416"/>
    </row>
    <row r="292" spans="1:19" s="415" customFormat="1" ht="12.75" customHeight="1">
      <c r="A292" s="394"/>
      <c r="B292" s="1102"/>
      <c r="C292" s="919"/>
      <c r="D292" s="186"/>
      <c r="E292" s="147"/>
      <c r="F292" s="406"/>
      <c r="G292" s="193"/>
      <c r="H292" s="315"/>
      <c r="I292" s="315"/>
      <c r="J292" s="315" t="s">
        <v>34</v>
      </c>
      <c r="K292" s="316"/>
      <c r="L292" s="664"/>
      <c r="M292" s="310"/>
      <c r="N292" s="1311"/>
      <c r="O292" s="1314"/>
      <c r="P292" s="261"/>
      <c r="Q292" s="261"/>
      <c r="R292" s="261"/>
      <c r="S292" s="416"/>
    </row>
    <row r="293" spans="1:19" s="415" customFormat="1" ht="12.75" customHeight="1">
      <c r="A293" s="394"/>
      <c r="B293" s="1102"/>
      <c r="C293" s="919"/>
      <c r="D293" s="186"/>
      <c r="E293" s="147"/>
      <c r="F293" s="406"/>
      <c r="G293" s="193"/>
      <c r="H293" s="315"/>
      <c r="I293" s="315"/>
      <c r="J293" s="315" t="s">
        <v>34</v>
      </c>
      <c r="K293" s="316"/>
      <c r="L293" s="664"/>
      <c r="M293" s="310"/>
      <c r="N293" s="1311"/>
      <c r="O293" s="1314"/>
      <c r="P293" s="261"/>
      <c r="Q293" s="261"/>
      <c r="R293" s="261"/>
      <c r="S293" s="416"/>
    </row>
    <row r="294" spans="1:19" s="415" customFormat="1" ht="12.75" customHeight="1">
      <c r="A294" s="394"/>
      <c r="B294" s="1102"/>
      <c r="C294" s="919"/>
      <c r="D294" s="186"/>
      <c r="E294" s="147"/>
      <c r="F294" s="406"/>
      <c r="G294" s="193"/>
      <c r="H294" s="315"/>
      <c r="I294" s="315"/>
      <c r="J294" s="315" t="s">
        <v>34</v>
      </c>
      <c r="K294" s="316"/>
      <c r="L294" s="664"/>
      <c r="M294" s="310"/>
      <c r="N294" s="1311"/>
      <c r="O294" s="1314"/>
      <c r="P294" s="261"/>
      <c r="Q294" s="261"/>
      <c r="R294" s="261"/>
      <c r="S294" s="416"/>
    </row>
    <row r="295" spans="1:19" s="415" customFormat="1" ht="12.75" customHeight="1">
      <c r="A295" s="394"/>
      <c r="B295" s="1102"/>
      <c r="C295" s="919"/>
      <c r="D295" s="186"/>
      <c r="E295" s="147"/>
      <c r="F295" s="406"/>
      <c r="G295" s="193"/>
      <c r="H295" s="315"/>
      <c r="I295" s="315"/>
      <c r="J295" s="315" t="s">
        <v>34</v>
      </c>
      <c r="K295" s="316"/>
      <c r="L295" s="664"/>
      <c r="M295" s="310"/>
      <c r="N295" s="1311"/>
      <c r="O295" s="1314"/>
      <c r="P295" s="261"/>
      <c r="Q295" s="261"/>
      <c r="R295" s="261"/>
      <c r="S295" s="416"/>
    </row>
    <row r="296" spans="1:19" s="415" customFormat="1" ht="12.75" customHeight="1">
      <c r="A296" s="394"/>
      <c r="B296" s="1102"/>
      <c r="C296" s="919"/>
      <c r="D296" s="186"/>
      <c r="E296" s="147"/>
      <c r="F296" s="406"/>
      <c r="G296" s="193"/>
      <c r="H296" s="315"/>
      <c r="I296" s="315"/>
      <c r="J296" s="315" t="s">
        <v>34</v>
      </c>
      <c r="K296" s="316"/>
      <c r="L296" s="664"/>
      <c r="M296" s="310"/>
      <c r="N296" s="1311"/>
      <c r="O296" s="1314"/>
      <c r="P296" s="261"/>
      <c r="Q296" s="261"/>
      <c r="R296" s="261"/>
      <c r="S296" s="416"/>
    </row>
    <row r="297" spans="1:19" s="415" customFormat="1" ht="12.75" customHeight="1" thickBot="1">
      <c r="A297" s="394"/>
      <c r="B297" s="1103"/>
      <c r="C297" s="926"/>
      <c r="D297" s="189"/>
      <c r="E297" s="201"/>
      <c r="F297" s="407"/>
      <c r="G297" s="195"/>
      <c r="H297" s="311"/>
      <c r="I297" s="311"/>
      <c r="J297" s="311" t="s">
        <v>34</v>
      </c>
      <c r="K297" s="312"/>
      <c r="L297" s="665"/>
      <c r="M297" s="310"/>
      <c r="N297" s="1312"/>
      <c r="O297" s="1315"/>
      <c r="P297" s="261"/>
      <c r="Q297" s="261"/>
      <c r="R297" s="261"/>
      <c r="S297" s="416"/>
    </row>
    <row r="298" spans="1:19" s="415" customFormat="1" ht="12.75" customHeight="1" thickBot="1">
      <c r="A298" s="394"/>
      <c r="B298" s="872"/>
      <c r="C298" s="872"/>
      <c r="D298" s="872"/>
      <c r="E298" s="872"/>
      <c r="F298" s="886"/>
      <c r="G298" s="886"/>
      <c r="H298" s="886"/>
      <c r="I298" s="403"/>
      <c r="J298" s="404"/>
      <c r="K298" s="138"/>
      <c r="L298" s="138"/>
      <c r="M298" s="261"/>
      <c r="N298" s="261"/>
      <c r="O298" s="261"/>
      <c r="P298" s="261"/>
      <c r="Q298" s="261"/>
      <c r="R298" s="261"/>
      <c r="S298" s="416"/>
    </row>
    <row r="299" spans="1:19" s="415" customFormat="1" ht="12.75" customHeight="1" thickBot="1">
      <c r="A299" s="394"/>
      <c r="B299" s="910"/>
      <c r="C299" s="910"/>
      <c r="D299" s="910"/>
      <c r="E299" s="910"/>
      <c r="F299" s="1228" t="s">
        <v>126</v>
      </c>
      <c r="G299" s="1229"/>
      <c r="H299" s="1230" t="s">
        <v>618</v>
      </c>
      <c r="I299" s="1230"/>
      <c r="J299" s="1232" t="s">
        <v>127</v>
      </c>
      <c r="K299" s="1233"/>
      <c r="L299" s="663"/>
      <c r="M299" s="663"/>
      <c r="N299" s="416"/>
      <c r="P299" s="261"/>
      <c r="Q299" s="261"/>
      <c r="R299" s="261"/>
      <c r="S299" s="416"/>
    </row>
    <row r="300" spans="1:19" s="415" customFormat="1" ht="12.75" customHeight="1" thickBot="1">
      <c r="A300" s="394"/>
      <c r="B300" s="909" t="s">
        <v>15</v>
      </c>
      <c r="C300" s="879" t="s">
        <v>128</v>
      </c>
      <c r="D300" s="398" t="s">
        <v>38</v>
      </c>
      <c r="E300" s="674" t="s">
        <v>571</v>
      </c>
      <c r="F300" s="400" t="s">
        <v>669</v>
      </c>
      <c r="G300" s="401" t="s">
        <v>314</v>
      </c>
      <c r="H300" s="401" t="s">
        <v>669</v>
      </c>
      <c r="I300" s="401" t="s">
        <v>314</v>
      </c>
      <c r="J300" s="401" t="s">
        <v>669</v>
      </c>
      <c r="K300" s="402" t="s">
        <v>314</v>
      </c>
      <c r="L300" s="212" t="s">
        <v>976</v>
      </c>
      <c r="M300" s="212" t="s">
        <v>984</v>
      </c>
      <c r="N300" s="666" t="s">
        <v>975</v>
      </c>
      <c r="O300" s="667" t="s">
        <v>985</v>
      </c>
      <c r="P300" s="261"/>
      <c r="Q300" s="261"/>
      <c r="R300" s="261"/>
      <c r="S300" s="416"/>
    </row>
    <row r="301" spans="1:19" s="415" customFormat="1" ht="12.75" customHeight="1">
      <c r="A301" s="394"/>
      <c r="B301" s="1101"/>
      <c r="C301" s="918"/>
      <c r="D301" s="199"/>
      <c r="E301" s="149"/>
      <c r="F301" s="405"/>
      <c r="G301" s="194"/>
      <c r="H301" s="313"/>
      <c r="I301" s="313"/>
      <c r="J301" s="313" t="s">
        <v>34</v>
      </c>
      <c r="K301" s="314"/>
      <c r="L301" s="664"/>
      <c r="M301" s="310"/>
      <c r="N301" s="1310"/>
      <c r="O301" s="1313"/>
      <c r="P301" s="261"/>
      <c r="Q301" s="261"/>
      <c r="R301" s="261"/>
      <c r="S301" s="416"/>
    </row>
    <row r="302" spans="1:19" s="415" customFormat="1" ht="12.75" customHeight="1">
      <c r="A302" s="394"/>
      <c r="B302" s="1102"/>
      <c r="C302" s="919"/>
      <c r="D302" s="185"/>
      <c r="E302" s="399"/>
      <c r="F302" s="406"/>
      <c r="G302" s="193"/>
      <c r="H302" s="315"/>
      <c r="I302" s="315"/>
      <c r="J302" s="315" t="s">
        <v>34</v>
      </c>
      <c r="K302" s="316"/>
      <c r="L302" s="664"/>
      <c r="M302" s="310"/>
      <c r="N302" s="1311"/>
      <c r="O302" s="1314"/>
      <c r="P302" s="261"/>
      <c r="Q302" s="261"/>
      <c r="R302" s="261"/>
      <c r="S302" s="416"/>
    </row>
    <row r="303" spans="1:19" s="415" customFormat="1" ht="12.75" customHeight="1">
      <c r="A303" s="394"/>
      <c r="B303" s="1102"/>
      <c r="C303" s="919"/>
      <c r="D303" s="185"/>
      <c r="E303" s="399"/>
      <c r="F303" s="406"/>
      <c r="G303" s="193"/>
      <c r="H303" s="315"/>
      <c r="I303" s="315"/>
      <c r="J303" s="315" t="s">
        <v>34</v>
      </c>
      <c r="K303" s="316"/>
      <c r="L303" s="664"/>
      <c r="M303" s="310"/>
      <c r="N303" s="1311"/>
      <c r="O303" s="1314"/>
      <c r="P303" s="261"/>
      <c r="Q303" s="261"/>
      <c r="R303" s="261"/>
      <c r="S303" s="416"/>
    </row>
    <row r="304" spans="1:19" s="415" customFormat="1" ht="12.75" customHeight="1">
      <c r="A304" s="394"/>
      <c r="B304" s="1102"/>
      <c r="C304" s="919"/>
      <c r="D304" s="185"/>
      <c r="E304" s="399"/>
      <c r="F304" s="406"/>
      <c r="G304" s="193"/>
      <c r="H304" s="315"/>
      <c r="I304" s="315"/>
      <c r="J304" s="315" t="s">
        <v>34</v>
      </c>
      <c r="K304" s="316"/>
      <c r="L304" s="664"/>
      <c r="M304" s="310"/>
      <c r="N304" s="1311"/>
      <c r="O304" s="1314"/>
      <c r="P304" s="261"/>
      <c r="Q304" s="261"/>
      <c r="R304" s="261"/>
      <c r="S304" s="416"/>
    </row>
    <row r="305" spans="1:19" s="415" customFormat="1" ht="12.75" customHeight="1">
      <c r="A305" s="394"/>
      <c r="B305" s="1102"/>
      <c r="C305" s="919"/>
      <c r="D305" s="185"/>
      <c r="E305" s="399"/>
      <c r="F305" s="406"/>
      <c r="G305" s="193"/>
      <c r="H305" s="315"/>
      <c r="I305" s="315"/>
      <c r="J305" s="315" t="s">
        <v>34</v>
      </c>
      <c r="K305" s="316"/>
      <c r="L305" s="664"/>
      <c r="M305" s="310"/>
      <c r="N305" s="1311"/>
      <c r="O305" s="1314"/>
      <c r="P305" s="261"/>
      <c r="Q305" s="261"/>
      <c r="R305" s="261"/>
      <c r="S305" s="416"/>
    </row>
    <row r="306" spans="1:19" s="415" customFormat="1" ht="12.75" customHeight="1">
      <c r="A306" s="394"/>
      <c r="B306" s="1102"/>
      <c r="C306" s="919"/>
      <c r="D306" s="186"/>
      <c r="E306" s="147"/>
      <c r="F306" s="406"/>
      <c r="G306" s="193"/>
      <c r="H306" s="315"/>
      <c r="I306" s="315"/>
      <c r="J306" s="315" t="s">
        <v>34</v>
      </c>
      <c r="K306" s="316"/>
      <c r="L306" s="664"/>
      <c r="M306" s="310"/>
      <c r="N306" s="1311"/>
      <c r="O306" s="1314"/>
      <c r="P306" s="261"/>
      <c r="Q306" s="261"/>
      <c r="R306" s="261"/>
      <c r="S306" s="416"/>
    </row>
    <row r="307" spans="1:19" s="415" customFormat="1" ht="12.75" customHeight="1">
      <c r="A307" s="394"/>
      <c r="B307" s="1102"/>
      <c r="C307" s="919"/>
      <c r="D307" s="186"/>
      <c r="E307" s="147"/>
      <c r="F307" s="406"/>
      <c r="G307" s="193"/>
      <c r="H307" s="315"/>
      <c r="I307" s="315"/>
      <c r="J307" s="315" t="s">
        <v>34</v>
      </c>
      <c r="K307" s="316"/>
      <c r="L307" s="664"/>
      <c r="M307" s="310"/>
      <c r="N307" s="1311"/>
      <c r="O307" s="1314"/>
      <c r="P307" s="261"/>
      <c r="Q307" s="261"/>
      <c r="R307" s="261"/>
      <c r="S307" s="416"/>
    </row>
    <row r="308" spans="1:19" s="415" customFormat="1" ht="12.75" customHeight="1">
      <c r="A308" s="394"/>
      <c r="B308" s="1102"/>
      <c r="C308" s="919"/>
      <c r="D308" s="186"/>
      <c r="E308" s="147"/>
      <c r="F308" s="406"/>
      <c r="G308" s="193"/>
      <c r="H308" s="315"/>
      <c r="I308" s="315"/>
      <c r="J308" s="315" t="s">
        <v>34</v>
      </c>
      <c r="K308" s="316"/>
      <c r="L308" s="664"/>
      <c r="M308" s="310"/>
      <c r="N308" s="1311"/>
      <c r="O308" s="1314"/>
      <c r="P308" s="261"/>
      <c r="Q308" s="261"/>
      <c r="R308" s="261"/>
      <c r="S308" s="416"/>
    </row>
    <row r="309" spans="1:19" s="415" customFormat="1" ht="12.75" customHeight="1">
      <c r="A309" s="394"/>
      <c r="B309" s="1102"/>
      <c r="C309" s="919"/>
      <c r="D309" s="186"/>
      <c r="E309" s="147"/>
      <c r="F309" s="406"/>
      <c r="G309" s="193"/>
      <c r="H309" s="315"/>
      <c r="I309" s="315"/>
      <c r="J309" s="315" t="s">
        <v>34</v>
      </c>
      <c r="K309" s="316"/>
      <c r="L309" s="664"/>
      <c r="M309" s="310"/>
      <c r="N309" s="1311"/>
      <c r="O309" s="1314"/>
      <c r="P309" s="261"/>
      <c r="Q309" s="261"/>
      <c r="R309" s="261"/>
      <c r="S309" s="416"/>
    </row>
    <row r="310" spans="1:19" s="415" customFormat="1" ht="12.75" customHeight="1">
      <c r="A310" s="394"/>
      <c r="B310" s="1102"/>
      <c r="C310" s="919"/>
      <c r="D310" s="186"/>
      <c r="E310" s="147"/>
      <c r="F310" s="406"/>
      <c r="G310" s="193"/>
      <c r="H310" s="315"/>
      <c r="I310" s="315"/>
      <c r="J310" s="315" t="s">
        <v>34</v>
      </c>
      <c r="K310" s="316"/>
      <c r="L310" s="664"/>
      <c r="M310" s="310"/>
      <c r="N310" s="1311"/>
      <c r="O310" s="1314"/>
      <c r="P310" s="261"/>
      <c r="Q310" s="261"/>
      <c r="R310" s="261"/>
      <c r="S310" s="416"/>
    </row>
    <row r="311" spans="1:19" s="415" customFormat="1" ht="12.75" customHeight="1">
      <c r="A311" s="394"/>
      <c r="B311" s="1102"/>
      <c r="C311" s="919"/>
      <c r="D311" s="186"/>
      <c r="E311" s="147"/>
      <c r="F311" s="406"/>
      <c r="G311" s="193"/>
      <c r="H311" s="315"/>
      <c r="I311" s="315"/>
      <c r="J311" s="315" t="s">
        <v>34</v>
      </c>
      <c r="K311" s="316"/>
      <c r="L311" s="664"/>
      <c r="M311" s="310"/>
      <c r="N311" s="1311"/>
      <c r="O311" s="1314"/>
      <c r="P311" s="261"/>
      <c r="Q311" s="261"/>
      <c r="R311" s="261"/>
      <c r="S311" s="416"/>
    </row>
    <row r="312" spans="1:19" s="415" customFormat="1" ht="12.75" customHeight="1">
      <c r="A312" s="394"/>
      <c r="B312" s="1102"/>
      <c r="C312" s="919"/>
      <c r="D312" s="186"/>
      <c r="E312" s="147"/>
      <c r="F312" s="406"/>
      <c r="G312" s="193"/>
      <c r="H312" s="315"/>
      <c r="I312" s="315"/>
      <c r="J312" s="315" t="s">
        <v>34</v>
      </c>
      <c r="K312" s="316"/>
      <c r="L312" s="664"/>
      <c r="M312" s="310"/>
      <c r="N312" s="1311"/>
      <c r="O312" s="1314"/>
      <c r="P312" s="261"/>
      <c r="Q312" s="261"/>
      <c r="R312" s="261"/>
      <c r="S312" s="416"/>
    </row>
    <row r="313" spans="1:19" s="415" customFormat="1" ht="12.75" customHeight="1">
      <c r="A313" s="394"/>
      <c r="B313" s="1102"/>
      <c r="C313" s="919"/>
      <c r="D313" s="186"/>
      <c r="E313" s="147"/>
      <c r="F313" s="406"/>
      <c r="G313" s="193"/>
      <c r="H313" s="315"/>
      <c r="I313" s="315"/>
      <c r="J313" s="315" t="s">
        <v>34</v>
      </c>
      <c r="K313" s="316"/>
      <c r="L313" s="664"/>
      <c r="M313" s="310"/>
      <c r="N313" s="1311"/>
      <c r="O313" s="1314"/>
      <c r="P313" s="261"/>
      <c r="Q313" s="261"/>
      <c r="R313" s="261"/>
      <c r="S313" s="416"/>
    </row>
    <row r="314" spans="1:19" s="415" customFormat="1" ht="12.75" customHeight="1">
      <c r="A314" s="394"/>
      <c r="B314" s="1102"/>
      <c r="C314" s="919"/>
      <c r="D314" s="186"/>
      <c r="E314" s="147"/>
      <c r="F314" s="406"/>
      <c r="G314" s="193"/>
      <c r="H314" s="315"/>
      <c r="I314" s="315"/>
      <c r="J314" s="315" t="s">
        <v>34</v>
      </c>
      <c r="K314" s="316"/>
      <c r="L314" s="664"/>
      <c r="M314" s="310"/>
      <c r="N314" s="1311"/>
      <c r="O314" s="1314"/>
      <c r="P314" s="261"/>
      <c r="Q314" s="261"/>
      <c r="R314" s="261"/>
      <c r="S314" s="416"/>
    </row>
    <row r="315" spans="1:19" s="415" customFormat="1" ht="12.75" customHeight="1">
      <c r="A315" s="394"/>
      <c r="B315" s="1102"/>
      <c r="C315" s="919"/>
      <c r="D315" s="186"/>
      <c r="E315" s="147"/>
      <c r="F315" s="406"/>
      <c r="G315" s="193"/>
      <c r="H315" s="315"/>
      <c r="I315" s="315"/>
      <c r="J315" s="315" t="s">
        <v>34</v>
      </c>
      <c r="K315" s="316"/>
      <c r="L315" s="664"/>
      <c r="M315" s="310"/>
      <c r="N315" s="1311"/>
      <c r="O315" s="1314"/>
      <c r="P315" s="261"/>
      <c r="Q315" s="261"/>
      <c r="R315" s="261"/>
      <c r="S315" s="416"/>
    </row>
    <row r="316" spans="1:19" s="415" customFormat="1" ht="12.75" customHeight="1">
      <c r="A316" s="394"/>
      <c r="B316" s="1102"/>
      <c r="C316" s="919"/>
      <c r="D316" s="186"/>
      <c r="E316" s="147"/>
      <c r="F316" s="406"/>
      <c r="G316" s="193"/>
      <c r="H316" s="315"/>
      <c r="I316" s="315"/>
      <c r="J316" s="315" t="s">
        <v>34</v>
      </c>
      <c r="K316" s="316"/>
      <c r="L316" s="664"/>
      <c r="M316" s="310"/>
      <c r="N316" s="1311"/>
      <c r="O316" s="1314"/>
      <c r="P316" s="261"/>
      <c r="Q316" s="261"/>
      <c r="R316" s="261"/>
      <c r="S316" s="416"/>
    </row>
    <row r="317" spans="1:19" s="415" customFormat="1" ht="12.75" customHeight="1">
      <c r="A317" s="394"/>
      <c r="B317" s="1102"/>
      <c r="C317" s="919"/>
      <c r="D317" s="186"/>
      <c r="E317" s="147"/>
      <c r="F317" s="406"/>
      <c r="G317" s="193"/>
      <c r="H317" s="315"/>
      <c r="I317" s="315"/>
      <c r="J317" s="315" t="s">
        <v>34</v>
      </c>
      <c r="K317" s="316"/>
      <c r="L317" s="664"/>
      <c r="M317" s="310"/>
      <c r="N317" s="1311"/>
      <c r="O317" s="1314"/>
      <c r="P317" s="261"/>
      <c r="Q317" s="261"/>
      <c r="R317" s="261"/>
      <c r="S317" s="416"/>
    </row>
    <row r="318" spans="1:19" s="415" customFormat="1" ht="12.75" customHeight="1">
      <c r="A318" s="394"/>
      <c r="B318" s="1102"/>
      <c r="C318" s="919"/>
      <c r="D318" s="186"/>
      <c r="E318" s="147"/>
      <c r="F318" s="406"/>
      <c r="G318" s="193"/>
      <c r="H318" s="315"/>
      <c r="I318" s="315"/>
      <c r="J318" s="315" t="s">
        <v>34</v>
      </c>
      <c r="K318" s="316"/>
      <c r="L318" s="664"/>
      <c r="M318" s="310"/>
      <c r="N318" s="1311"/>
      <c r="O318" s="1314"/>
      <c r="P318" s="261"/>
      <c r="Q318" s="261"/>
      <c r="R318" s="261"/>
      <c r="S318" s="416"/>
    </row>
    <row r="319" spans="1:19" s="415" customFormat="1" ht="12.75" customHeight="1">
      <c r="A319" s="394"/>
      <c r="B319" s="1102"/>
      <c r="C319" s="919"/>
      <c r="D319" s="186"/>
      <c r="E319" s="147"/>
      <c r="F319" s="406"/>
      <c r="G319" s="193"/>
      <c r="H319" s="315"/>
      <c r="I319" s="315"/>
      <c r="J319" s="315" t="s">
        <v>34</v>
      </c>
      <c r="K319" s="316"/>
      <c r="L319" s="664"/>
      <c r="M319" s="310"/>
      <c r="N319" s="1311"/>
      <c r="O319" s="1314"/>
      <c r="P319" s="261"/>
      <c r="Q319" s="261"/>
      <c r="R319" s="261"/>
      <c r="S319" s="416"/>
    </row>
    <row r="320" spans="1:19" s="415" customFormat="1" ht="12.75" customHeight="1" thickBot="1">
      <c r="A320" s="394"/>
      <c r="B320" s="1103"/>
      <c r="C320" s="926"/>
      <c r="D320" s="189"/>
      <c r="E320" s="201"/>
      <c r="F320" s="407"/>
      <c r="G320" s="195"/>
      <c r="H320" s="311"/>
      <c r="I320" s="311"/>
      <c r="J320" s="311" t="s">
        <v>34</v>
      </c>
      <c r="K320" s="312"/>
      <c r="L320" s="665"/>
      <c r="M320" s="310"/>
      <c r="N320" s="1312"/>
      <c r="O320" s="1315"/>
      <c r="P320" s="261"/>
      <c r="Q320" s="261"/>
      <c r="R320" s="261"/>
      <c r="S320" s="416"/>
    </row>
    <row r="321" spans="1:33" s="415" customFormat="1" ht="12.75" customHeight="1">
      <c r="A321" s="394"/>
      <c r="B321" s="872"/>
      <c r="C321" s="872"/>
      <c r="D321" s="872"/>
      <c r="E321" s="872"/>
      <c r="F321" s="886"/>
      <c r="G321" s="886"/>
      <c r="H321" s="886"/>
      <c r="I321" s="403"/>
      <c r="J321" s="404"/>
      <c r="K321" s="138"/>
      <c r="L321" s="138"/>
      <c r="M321" s="261"/>
      <c r="N321" s="261"/>
      <c r="O321" s="261"/>
      <c r="P321" s="261"/>
      <c r="Q321" s="261"/>
      <c r="R321" s="261"/>
      <c r="S321" s="416"/>
    </row>
    <row r="322" spans="1:33" s="418" customFormat="1">
      <c r="A322" s="408"/>
      <c r="B322" s="241" t="s">
        <v>130</v>
      </c>
      <c r="C322" s="241"/>
      <c r="D322" s="241"/>
      <c r="E322" s="241"/>
      <c r="F322" s="409"/>
      <c r="G322" s="414"/>
      <c r="H322" s="414"/>
      <c r="I322" s="414"/>
      <c r="J322" s="414"/>
      <c r="K322" s="414"/>
      <c r="L322" s="414"/>
      <c r="M322" s="414"/>
      <c r="N322" s="414"/>
      <c r="O322" s="414"/>
      <c r="P322" s="414"/>
      <c r="Q322" s="414"/>
      <c r="R322" s="414"/>
      <c r="S322" s="414"/>
    </row>
    <row r="323" spans="1:33" s="418" customFormat="1" ht="12.75" customHeight="1" thickBot="1">
      <c r="A323" s="408"/>
      <c r="B323" s="241"/>
      <c r="C323" s="241"/>
      <c r="D323" s="241"/>
      <c r="E323" s="241"/>
      <c r="F323" s="409"/>
      <c r="G323" s="414"/>
      <c r="H323" s="414"/>
      <c r="I323" s="414"/>
      <c r="J323" s="414"/>
      <c r="K323" s="414"/>
      <c r="L323" s="414"/>
      <c r="M323" s="414"/>
      <c r="N323" s="414"/>
      <c r="O323" s="414"/>
      <c r="P323" s="414"/>
      <c r="Q323" s="414"/>
      <c r="R323" s="414"/>
      <c r="S323" s="414"/>
    </row>
    <row r="324" spans="1:33" s="418" customFormat="1" ht="200.1" customHeight="1" thickBot="1">
      <c r="A324" s="408"/>
      <c r="B324" s="988"/>
      <c r="C324" s="995"/>
      <c r="D324" s="995"/>
      <c r="E324" s="995"/>
      <c r="F324" s="995"/>
      <c r="G324" s="995"/>
      <c r="H324" s="995"/>
      <c r="I324" s="995"/>
      <c r="J324" s="995"/>
      <c r="K324" s="995"/>
      <c r="L324" s="995"/>
      <c r="M324" s="996"/>
      <c r="N324" s="1090"/>
      <c r="O324" s="1089"/>
      <c r="P324" s="1089"/>
      <c r="Q324" s="633"/>
      <c r="R324" s="633"/>
      <c r="S324" s="1089"/>
      <c r="T324" s="1089"/>
      <c r="U324" s="1089"/>
      <c r="V324" s="1089"/>
      <c r="W324" s="1089"/>
      <c r="X324" s="1089"/>
      <c r="Y324" s="1089"/>
      <c r="Z324" s="1089"/>
      <c r="AA324" s="1089"/>
      <c r="AB324" s="1089"/>
      <c r="AC324" s="1089"/>
      <c r="AD324" s="1089"/>
      <c r="AE324" s="1089"/>
      <c r="AF324" s="1089"/>
      <c r="AG324" s="1089"/>
    </row>
    <row r="325" spans="1:33" s="418" customFormat="1" ht="13.5" customHeight="1">
      <c r="A325" s="419"/>
      <c r="B325" s="18"/>
      <c r="C325" s="18"/>
      <c r="D325" s="18"/>
      <c r="E325" s="18"/>
      <c r="F325" s="18"/>
      <c r="G325" s="18"/>
      <c r="H325" s="18"/>
      <c r="I325" s="18"/>
      <c r="J325" s="18"/>
      <c r="K325" s="18"/>
      <c r="L325" s="18"/>
      <c r="M325" s="18"/>
      <c r="N325" s="18"/>
      <c r="O325" s="414"/>
      <c r="P325" s="414"/>
      <c r="Q325" s="414"/>
      <c r="R325" s="414"/>
      <c r="S325" s="414"/>
    </row>
    <row r="326" spans="1:33" s="418" customFormat="1" ht="12.75" customHeight="1">
      <c r="A326" s="411"/>
      <c r="B326" s="412" t="s">
        <v>890</v>
      </c>
      <c r="C326" s="408"/>
      <c r="D326" s="241"/>
      <c r="E326" s="241"/>
      <c r="F326" s="409"/>
      <c r="G326" s="414"/>
      <c r="H326" s="414"/>
      <c r="I326" s="414"/>
      <c r="J326" s="414"/>
      <c r="K326" s="414"/>
      <c r="L326" s="414"/>
      <c r="M326" s="414"/>
      <c r="N326" s="414"/>
      <c r="O326" s="414"/>
      <c r="P326" s="414"/>
      <c r="Q326" s="414"/>
      <c r="R326" s="414"/>
      <c r="S326" s="414"/>
    </row>
    <row r="327" spans="1:33" s="418" customFormat="1" ht="12.75" customHeight="1">
      <c r="A327" s="411"/>
      <c r="B327" s="412"/>
      <c r="C327" s="408"/>
      <c r="D327" s="241"/>
      <c r="E327" s="241"/>
      <c r="F327" s="409"/>
      <c r="G327" s="414"/>
      <c r="H327" s="414"/>
      <c r="I327" s="414"/>
      <c r="J327" s="414"/>
      <c r="K327" s="414"/>
      <c r="L327" s="414"/>
      <c r="M327" s="414"/>
      <c r="N327" s="414"/>
      <c r="O327" s="414"/>
      <c r="P327" s="414"/>
      <c r="Q327" s="414"/>
      <c r="R327" s="414"/>
      <c r="S327" s="414"/>
    </row>
    <row r="328" spans="1:33" s="418" customFormat="1" ht="12.75" customHeight="1">
      <c r="A328" s="411"/>
      <c r="B328" s="241" t="s">
        <v>136</v>
      </c>
      <c r="C328" s="395"/>
      <c r="D328" s="395"/>
      <c r="E328" s="395"/>
      <c r="F328" s="420"/>
      <c r="G328" s="420"/>
      <c r="H328" s="420"/>
      <c r="I328" s="420"/>
      <c r="J328" s="414"/>
      <c r="K328" s="414"/>
      <c r="L328" s="414"/>
      <c r="M328" s="414"/>
      <c r="N328" s="414"/>
      <c r="O328" s="414"/>
      <c r="P328" s="414"/>
      <c r="Q328" s="414"/>
      <c r="R328" s="414"/>
      <c r="S328" s="414"/>
    </row>
    <row r="329" spans="1:33" s="418" customFormat="1" ht="12.75" customHeight="1" thickBot="1">
      <c r="A329" s="411"/>
      <c r="B329" s="241"/>
      <c r="C329" s="408"/>
      <c r="D329" s="241"/>
      <c r="E329" s="241"/>
      <c r="F329" s="409"/>
      <c r="G329" s="409"/>
      <c r="H329" s="409"/>
      <c r="I329" s="409"/>
      <c r="J329" s="414"/>
      <c r="K329" s="414"/>
      <c r="L329" s="414"/>
      <c r="M329" s="414"/>
      <c r="N329" s="414"/>
      <c r="O329" s="414"/>
      <c r="P329" s="414"/>
      <c r="Q329" s="414"/>
      <c r="R329" s="414"/>
      <c r="S329" s="414"/>
    </row>
    <row r="330" spans="1:33" s="418" customFormat="1" ht="27.75" customHeight="1" thickBot="1">
      <c r="A330" s="411"/>
      <c r="B330" s="1218" t="s">
        <v>889</v>
      </c>
      <c r="C330" s="1060"/>
      <c r="D330" s="1075" t="s">
        <v>41</v>
      </c>
      <c r="E330" s="1076"/>
      <c r="F330" s="1076"/>
      <c r="G330" s="1060"/>
      <c r="H330" s="1075" t="s">
        <v>159</v>
      </c>
      <c r="I330" s="1076"/>
      <c r="J330" s="1076"/>
      <c r="K330" s="1076"/>
      <c r="L330" s="1219"/>
      <c r="M330" s="414"/>
      <c r="N330" s="414"/>
      <c r="O330" s="414"/>
      <c r="P330" s="414"/>
      <c r="Q330" s="414"/>
      <c r="R330" s="414"/>
      <c r="S330" s="414"/>
    </row>
    <row r="331" spans="1:33" s="418" customFormat="1">
      <c r="A331" s="411"/>
      <c r="B331" s="1220"/>
      <c r="C331" s="1070"/>
      <c r="D331" s="1330"/>
      <c r="E331" s="1331"/>
      <c r="F331" s="1331"/>
      <c r="G331" s="1332"/>
      <c r="H331" s="1333"/>
      <c r="I331" s="1334"/>
      <c r="J331" s="1334"/>
      <c r="K331" s="1334"/>
      <c r="L331" s="1335"/>
      <c r="M331" s="414"/>
      <c r="N331" s="414"/>
      <c r="O331" s="414"/>
      <c r="P331" s="414"/>
      <c r="Q331" s="414"/>
      <c r="R331" s="414"/>
      <c r="S331" s="414"/>
    </row>
    <row r="332" spans="1:33" s="418" customFormat="1">
      <c r="A332" s="411"/>
      <c r="B332" s="1323"/>
      <c r="C332" s="1051"/>
      <c r="D332" s="1246"/>
      <c r="E332" s="1324"/>
      <c r="F332" s="1324"/>
      <c r="G332" s="1325"/>
      <c r="H332" s="1326"/>
      <c r="I332" s="1327"/>
      <c r="J332" s="1327"/>
      <c r="K332" s="1327"/>
      <c r="L332" s="1328"/>
      <c r="M332" s="414"/>
      <c r="N332" s="414"/>
      <c r="O332" s="414"/>
      <c r="P332" s="414"/>
      <c r="Q332" s="414"/>
      <c r="R332" s="414"/>
      <c r="S332" s="414"/>
    </row>
    <row r="333" spans="1:33" s="418" customFormat="1">
      <c r="A333" s="411"/>
      <c r="B333" s="1323"/>
      <c r="C333" s="1051"/>
      <c r="D333" s="1246"/>
      <c r="E333" s="1324"/>
      <c r="F333" s="1324"/>
      <c r="G333" s="1325"/>
      <c r="H333" s="1326"/>
      <c r="I333" s="1327"/>
      <c r="J333" s="1327"/>
      <c r="K333" s="1327"/>
      <c r="L333" s="1328"/>
      <c r="M333" s="414"/>
      <c r="N333" s="414"/>
      <c r="O333" s="414"/>
      <c r="P333" s="414"/>
      <c r="Q333" s="414"/>
      <c r="R333" s="414"/>
      <c r="S333" s="414"/>
    </row>
    <row r="334" spans="1:33" s="418" customFormat="1">
      <c r="A334" s="411"/>
      <c r="B334" s="1323"/>
      <c r="C334" s="1051"/>
      <c r="D334" s="1246"/>
      <c r="E334" s="1324"/>
      <c r="F334" s="1324"/>
      <c r="G334" s="1325"/>
      <c r="H334" s="1326"/>
      <c r="I334" s="1327"/>
      <c r="J334" s="1327"/>
      <c r="K334" s="1327"/>
      <c r="L334" s="1328"/>
      <c r="M334" s="414"/>
      <c r="N334" s="414"/>
      <c r="O334" s="414"/>
      <c r="P334" s="414"/>
      <c r="Q334" s="414"/>
      <c r="R334" s="414"/>
      <c r="S334" s="414"/>
    </row>
    <row r="335" spans="1:33" s="418" customFormat="1">
      <c r="A335" s="411"/>
      <c r="B335" s="1323"/>
      <c r="C335" s="1051"/>
      <c r="D335" s="1246"/>
      <c r="E335" s="1324"/>
      <c r="F335" s="1324"/>
      <c r="G335" s="1325"/>
      <c r="H335" s="1326"/>
      <c r="I335" s="1327"/>
      <c r="J335" s="1327"/>
      <c r="K335" s="1327"/>
      <c r="L335" s="1328"/>
      <c r="M335" s="414"/>
      <c r="N335" s="414"/>
      <c r="O335" s="414"/>
      <c r="P335" s="414"/>
      <c r="Q335" s="414"/>
      <c r="R335" s="414"/>
      <c r="S335" s="414"/>
    </row>
    <row r="336" spans="1:33" s="418" customFormat="1">
      <c r="A336" s="411"/>
      <c r="B336" s="1323"/>
      <c r="C336" s="1051"/>
      <c r="D336" s="1246"/>
      <c r="E336" s="1324"/>
      <c r="F336" s="1324"/>
      <c r="G336" s="1325"/>
      <c r="H336" s="1326"/>
      <c r="I336" s="1327"/>
      <c r="J336" s="1327"/>
      <c r="K336" s="1327"/>
      <c r="L336" s="1328"/>
      <c r="M336" s="414"/>
      <c r="N336" s="414"/>
      <c r="O336" s="414"/>
      <c r="P336" s="414"/>
      <c r="Q336" s="414"/>
      <c r="R336" s="414"/>
      <c r="S336" s="414"/>
    </row>
    <row r="337" spans="1:19" s="418" customFormat="1" ht="12.75" customHeight="1">
      <c r="A337" s="411"/>
      <c r="B337" s="1323"/>
      <c r="C337" s="1051"/>
      <c r="D337" s="1246"/>
      <c r="E337" s="1324"/>
      <c r="F337" s="1324"/>
      <c r="G337" s="1325"/>
      <c r="H337" s="1326"/>
      <c r="I337" s="1327"/>
      <c r="J337" s="1327"/>
      <c r="K337" s="1327"/>
      <c r="L337" s="1328"/>
      <c r="M337" s="414"/>
      <c r="N337" s="414"/>
      <c r="O337" s="414"/>
      <c r="P337" s="414"/>
      <c r="Q337" s="414"/>
      <c r="R337" s="414"/>
      <c r="S337" s="414"/>
    </row>
    <row r="338" spans="1:19" s="418" customFormat="1" ht="12.75" customHeight="1">
      <c r="A338" s="411"/>
      <c r="B338" s="1323"/>
      <c r="C338" s="1051"/>
      <c r="D338" s="1246"/>
      <c r="E338" s="1324"/>
      <c r="F338" s="1324"/>
      <c r="G338" s="1325"/>
      <c r="H338" s="1326"/>
      <c r="I338" s="1327"/>
      <c r="J338" s="1327"/>
      <c r="K338" s="1327"/>
      <c r="L338" s="1328"/>
      <c r="M338" s="414"/>
      <c r="N338" s="414"/>
      <c r="O338" s="414"/>
      <c r="P338" s="414"/>
      <c r="Q338" s="414"/>
      <c r="R338" s="414"/>
      <c r="S338" s="414"/>
    </row>
    <row r="339" spans="1:19" s="418" customFormat="1" ht="12.75" customHeight="1">
      <c r="A339" s="411"/>
      <c r="B339" s="1323"/>
      <c r="C339" s="1051"/>
      <c r="D339" s="1246"/>
      <c r="E339" s="1324"/>
      <c r="F339" s="1324"/>
      <c r="G339" s="1325"/>
      <c r="H339" s="1326"/>
      <c r="I339" s="1327"/>
      <c r="J339" s="1327"/>
      <c r="K339" s="1327"/>
      <c r="L339" s="1328"/>
      <c r="M339" s="414"/>
      <c r="N339" s="414"/>
      <c r="O339" s="414"/>
      <c r="P339" s="414"/>
      <c r="Q339" s="414"/>
      <c r="R339" s="414"/>
      <c r="S339" s="414"/>
    </row>
    <row r="340" spans="1:19" s="418" customFormat="1" ht="12.75" customHeight="1">
      <c r="A340" s="411"/>
      <c r="B340" s="1323"/>
      <c r="C340" s="1051"/>
      <c r="D340" s="1246"/>
      <c r="E340" s="1324"/>
      <c r="F340" s="1324"/>
      <c r="G340" s="1325"/>
      <c r="H340" s="1326"/>
      <c r="I340" s="1327"/>
      <c r="J340" s="1327"/>
      <c r="K340" s="1327"/>
      <c r="L340" s="1328"/>
      <c r="M340" s="414"/>
      <c r="N340" s="414"/>
      <c r="O340" s="414"/>
      <c r="P340" s="414"/>
      <c r="Q340" s="414"/>
      <c r="R340" s="414"/>
      <c r="S340" s="414"/>
    </row>
    <row r="341" spans="1:19" s="418" customFormat="1" ht="12.75" customHeight="1">
      <c r="A341" s="411"/>
      <c r="B341" s="1323"/>
      <c r="C341" s="1051"/>
      <c r="D341" s="1246"/>
      <c r="E341" s="1324"/>
      <c r="F341" s="1324"/>
      <c r="G341" s="1325"/>
      <c r="H341" s="1326"/>
      <c r="I341" s="1327"/>
      <c r="J341" s="1327"/>
      <c r="K341" s="1327"/>
      <c r="L341" s="1328"/>
      <c r="M341" s="414"/>
      <c r="N341" s="414"/>
      <c r="O341" s="414"/>
      <c r="P341" s="414"/>
      <c r="Q341" s="414"/>
      <c r="R341" s="414"/>
      <c r="S341" s="414"/>
    </row>
    <row r="342" spans="1:19" s="418" customFormat="1" ht="12.75" customHeight="1">
      <c r="A342" s="411"/>
      <c r="B342" s="1323"/>
      <c r="C342" s="1051"/>
      <c r="D342" s="1246"/>
      <c r="E342" s="1324"/>
      <c r="F342" s="1324"/>
      <c r="G342" s="1325"/>
      <c r="H342" s="1326"/>
      <c r="I342" s="1327"/>
      <c r="J342" s="1327"/>
      <c r="K342" s="1327"/>
      <c r="L342" s="1328"/>
      <c r="M342" s="414"/>
      <c r="N342" s="414"/>
      <c r="O342" s="414"/>
      <c r="P342" s="414"/>
      <c r="Q342" s="414"/>
      <c r="R342" s="414"/>
      <c r="S342" s="414"/>
    </row>
    <row r="343" spans="1:19" s="418" customFormat="1" ht="12.75" customHeight="1">
      <c r="A343" s="411"/>
      <c r="B343" s="1323"/>
      <c r="C343" s="1051"/>
      <c r="D343" s="1246"/>
      <c r="E343" s="1324"/>
      <c r="F343" s="1324"/>
      <c r="G343" s="1325"/>
      <c r="H343" s="1326"/>
      <c r="I343" s="1327"/>
      <c r="J343" s="1327"/>
      <c r="K343" s="1327"/>
      <c r="L343" s="1328"/>
      <c r="M343" s="414"/>
      <c r="N343" s="414"/>
      <c r="O343" s="414"/>
      <c r="P343" s="414"/>
      <c r="Q343" s="414"/>
      <c r="R343" s="414"/>
      <c r="S343" s="414"/>
    </row>
    <row r="344" spans="1:19" s="418" customFormat="1" ht="12.75" customHeight="1">
      <c r="A344" s="411"/>
      <c r="B344" s="1323"/>
      <c r="C344" s="1051"/>
      <c r="D344" s="1246"/>
      <c r="E344" s="1324"/>
      <c r="F344" s="1324"/>
      <c r="G344" s="1325"/>
      <c r="H344" s="1326"/>
      <c r="I344" s="1327"/>
      <c r="J344" s="1327"/>
      <c r="K344" s="1327"/>
      <c r="L344" s="1328"/>
      <c r="M344" s="414"/>
      <c r="N344" s="414"/>
      <c r="O344" s="414"/>
      <c r="P344" s="414"/>
      <c r="Q344" s="414"/>
      <c r="R344" s="414"/>
      <c r="S344" s="414"/>
    </row>
    <row r="345" spans="1:19" s="418" customFormat="1" ht="12.75" customHeight="1">
      <c r="A345" s="411"/>
      <c r="B345" s="1323"/>
      <c r="C345" s="1051"/>
      <c r="D345" s="1246"/>
      <c r="E345" s="1324"/>
      <c r="F345" s="1324"/>
      <c r="G345" s="1325"/>
      <c r="H345" s="1326"/>
      <c r="I345" s="1327"/>
      <c r="J345" s="1327"/>
      <c r="K345" s="1327"/>
      <c r="L345" s="1328"/>
      <c r="M345" s="414"/>
      <c r="N345" s="414"/>
      <c r="O345" s="414"/>
      <c r="P345" s="414"/>
      <c r="Q345" s="414"/>
      <c r="R345" s="414"/>
      <c r="S345" s="414"/>
    </row>
    <row r="346" spans="1:19" s="418" customFormat="1" ht="12.75" customHeight="1">
      <c r="A346" s="411"/>
      <c r="B346" s="1323"/>
      <c r="C346" s="1051"/>
      <c r="D346" s="1246"/>
      <c r="E346" s="1324"/>
      <c r="F346" s="1324"/>
      <c r="G346" s="1325"/>
      <c r="H346" s="1326"/>
      <c r="I346" s="1327"/>
      <c r="J346" s="1327"/>
      <c r="K346" s="1327"/>
      <c r="L346" s="1328"/>
      <c r="M346" s="414"/>
      <c r="N346" s="414"/>
      <c r="O346" s="414"/>
      <c r="P346" s="414"/>
      <c r="Q346" s="414"/>
      <c r="R346" s="414"/>
      <c r="S346" s="414"/>
    </row>
    <row r="347" spans="1:19" s="418" customFormat="1" ht="12.75" customHeight="1">
      <c r="A347" s="411"/>
      <c r="B347" s="1323"/>
      <c r="C347" s="1051"/>
      <c r="D347" s="1246"/>
      <c r="E347" s="1324"/>
      <c r="F347" s="1324"/>
      <c r="G347" s="1325"/>
      <c r="H347" s="1326"/>
      <c r="I347" s="1327"/>
      <c r="J347" s="1327"/>
      <c r="K347" s="1327"/>
      <c r="L347" s="1328"/>
      <c r="M347" s="414"/>
      <c r="N347" s="414"/>
      <c r="O347" s="414"/>
      <c r="P347" s="414"/>
      <c r="Q347" s="414"/>
      <c r="R347" s="414"/>
      <c r="S347" s="414"/>
    </row>
    <row r="348" spans="1:19" s="418" customFormat="1" ht="12.75" customHeight="1">
      <c r="A348" s="411"/>
      <c r="B348" s="1323"/>
      <c r="C348" s="1051"/>
      <c r="D348" s="1246"/>
      <c r="E348" s="1324"/>
      <c r="F348" s="1324"/>
      <c r="G348" s="1325"/>
      <c r="H348" s="1326"/>
      <c r="I348" s="1327"/>
      <c r="J348" s="1327"/>
      <c r="K348" s="1327"/>
      <c r="L348" s="1328"/>
      <c r="M348" s="414"/>
      <c r="N348" s="414"/>
      <c r="O348" s="414"/>
      <c r="P348" s="414"/>
      <c r="Q348" s="414"/>
      <c r="R348" s="414"/>
      <c r="S348" s="414"/>
    </row>
    <row r="349" spans="1:19" s="418" customFormat="1" ht="12.75" customHeight="1">
      <c r="A349" s="411"/>
      <c r="B349" s="1323"/>
      <c r="C349" s="1051"/>
      <c r="D349" s="1246"/>
      <c r="E349" s="1324"/>
      <c r="F349" s="1324"/>
      <c r="G349" s="1325"/>
      <c r="H349" s="1326"/>
      <c r="I349" s="1327"/>
      <c r="J349" s="1327"/>
      <c r="K349" s="1327"/>
      <c r="L349" s="1328"/>
      <c r="M349" s="414"/>
      <c r="N349" s="414"/>
      <c r="O349" s="414"/>
      <c r="P349" s="414"/>
      <c r="Q349" s="414"/>
      <c r="R349" s="414"/>
      <c r="S349" s="414"/>
    </row>
    <row r="350" spans="1:19" s="418" customFormat="1" ht="12.75" customHeight="1">
      <c r="A350" s="411"/>
      <c r="B350" s="1323"/>
      <c r="C350" s="1051"/>
      <c r="D350" s="1246"/>
      <c r="E350" s="1324"/>
      <c r="F350" s="1324"/>
      <c r="G350" s="1325"/>
      <c r="H350" s="1326"/>
      <c r="I350" s="1327"/>
      <c r="J350" s="1327"/>
      <c r="K350" s="1327"/>
      <c r="L350" s="1328"/>
      <c r="M350" s="414"/>
      <c r="N350" s="414"/>
      <c r="O350" s="414"/>
      <c r="P350" s="414"/>
      <c r="Q350" s="414"/>
      <c r="R350" s="414"/>
      <c r="S350" s="414"/>
    </row>
    <row r="351" spans="1:19" s="418" customFormat="1" ht="12.75" customHeight="1">
      <c r="A351" s="411"/>
      <c r="B351" s="1323"/>
      <c r="C351" s="1051"/>
      <c r="D351" s="1246"/>
      <c r="E351" s="1324"/>
      <c r="F351" s="1324"/>
      <c r="G351" s="1325"/>
      <c r="H351" s="1326"/>
      <c r="I351" s="1327"/>
      <c r="J351" s="1327"/>
      <c r="K351" s="1327"/>
      <c r="L351" s="1328"/>
      <c r="M351" s="414"/>
      <c r="N351" s="414"/>
      <c r="O351" s="414"/>
      <c r="P351" s="414"/>
      <c r="Q351" s="414"/>
      <c r="R351" s="414"/>
      <c r="S351" s="414"/>
    </row>
    <row r="352" spans="1:19" s="418" customFormat="1" ht="12.75" customHeight="1">
      <c r="A352" s="411"/>
      <c r="B352" s="1323"/>
      <c r="C352" s="1051"/>
      <c r="D352" s="1246"/>
      <c r="E352" s="1324"/>
      <c r="F352" s="1324"/>
      <c r="G352" s="1325"/>
      <c r="H352" s="1326"/>
      <c r="I352" s="1327"/>
      <c r="J352" s="1327"/>
      <c r="K352" s="1327"/>
      <c r="L352" s="1328"/>
      <c r="M352" s="414"/>
      <c r="N352" s="414"/>
      <c r="O352" s="414"/>
      <c r="P352" s="414"/>
      <c r="Q352" s="414"/>
      <c r="R352" s="414"/>
      <c r="S352" s="414"/>
    </row>
    <row r="353" spans="1:19" s="418" customFormat="1" ht="12.75" customHeight="1">
      <c r="A353" s="411"/>
      <c r="B353" s="1323"/>
      <c r="C353" s="1051"/>
      <c r="D353" s="1246"/>
      <c r="E353" s="1324"/>
      <c r="F353" s="1324"/>
      <c r="G353" s="1325"/>
      <c r="H353" s="1326"/>
      <c r="I353" s="1327"/>
      <c r="J353" s="1327"/>
      <c r="K353" s="1327"/>
      <c r="L353" s="1328"/>
      <c r="M353" s="414"/>
      <c r="N353" s="414"/>
      <c r="O353" s="414"/>
      <c r="P353" s="414"/>
      <c r="Q353" s="414"/>
      <c r="R353" s="414"/>
      <c r="S353" s="414"/>
    </row>
    <row r="354" spans="1:19" s="418" customFormat="1" ht="12.75" customHeight="1">
      <c r="A354" s="411"/>
      <c r="B354" s="1323"/>
      <c r="C354" s="1051"/>
      <c r="D354" s="1246"/>
      <c r="E354" s="1324"/>
      <c r="F354" s="1324"/>
      <c r="G354" s="1325"/>
      <c r="H354" s="1326"/>
      <c r="I354" s="1327"/>
      <c r="J354" s="1327"/>
      <c r="K354" s="1327"/>
      <c r="L354" s="1328"/>
      <c r="M354" s="414"/>
      <c r="N354" s="414"/>
      <c r="O354" s="414"/>
      <c r="P354" s="414"/>
      <c r="Q354" s="414"/>
      <c r="R354" s="414"/>
      <c r="S354" s="414"/>
    </row>
    <row r="355" spans="1:19" s="418" customFormat="1" ht="12.75" customHeight="1">
      <c r="A355" s="411"/>
      <c r="B355" s="1323"/>
      <c r="C355" s="1051"/>
      <c r="D355" s="1246"/>
      <c r="E355" s="1324"/>
      <c r="F355" s="1324"/>
      <c r="G355" s="1325"/>
      <c r="H355" s="1326"/>
      <c r="I355" s="1327"/>
      <c r="J355" s="1327"/>
      <c r="K355" s="1327"/>
      <c r="L355" s="1328"/>
      <c r="M355" s="414"/>
      <c r="N355" s="414"/>
      <c r="O355" s="414"/>
      <c r="P355" s="414"/>
      <c r="Q355" s="414"/>
      <c r="R355" s="414"/>
      <c r="S355" s="414"/>
    </row>
    <row r="356" spans="1:19" s="418" customFormat="1" ht="12.75" customHeight="1">
      <c r="A356" s="411"/>
      <c r="B356" s="1323"/>
      <c r="C356" s="1051"/>
      <c r="D356" s="1246"/>
      <c r="E356" s="1324"/>
      <c r="F356" s="1324"/>
      <c r="G356" s="1325"/>
      <c r="H356" s="1326"/>
      <c r="I356" s="1327"/>
      <c r="J356" s="1327"/>
      <c r="K356" s="1327"/>
      <c r="L356" s="1328"/>
      <c r="M356" s="414"/>
      <c r="N356" s="414"/>
      <c r="O356" s="414"/>
      <c r="P356" s="414"/>
      <c r="Q356" s="414"/>
      <c r="R356" s="414"/>
      <c r="S356" s="414"/>
    </row>
    <row r="357" spans="1:19" s="418" customFormat="1" ht="12.75" customHeight="1">
      <c r="A357" s="411"/>
      <c r="B357" s="1323"/>
      <c r="C357" s="1051"/>
      <c r="D357" s="1246"/>
      <c r="E357" s="1324"/>
      <c r="F357" s="1324"/>
      <c r="G357" s="1325"/>
      <c r="H357" s="1326"/>
      <c r="I357" s="1327"/>
      <c r="J357" s="1327"/>
      <c r="K357" s="1327"/>
      <c r="L357" s="1328"/>
      <c r="M357" s="414"/>
      <c r="N357" s="414"/>
      <c r="O357" s="414"/>
      <c r="P357" s="414"/>
      <c r="Q357" s="414"/>
      <c r="R357" s="414"/>
      <c r="S357" s="414"/>
    </row>
    <row r="358" spans="1:19" s="418" customFormat="1" ht="12.75" customHeight="1">
      <c r="A358" s="411"/>
      <c r="B358" s="1323"/>
      <c r="C358" s="1051"/>
      <c r="D358" s="1246"/>
      <c r="E358" s="1324"/>
      <c r="F358" s="1324"/>
      <c r="G358" s="1325"/>
      <c r="H358" s="1326"/>
      <c r="I358" s="1327"/>
      <c r="J358" s="1327"/>
      <c r="K358" s="1327"/>
      <c r="L358" s="1328"/>
      <c r="M358" s="414"/>
      <c r="N358" s="414"/>
      <c r="O358" s="414"/>
      <c r="P358" s="414"/>
      <c r="Q358" s="414"/>
      <c r="R358" s="414"/>
      <c r="S358" s="414"/>
    </row>
    <row r="359" spans="1:19" s="418" customFormat="1" ht="12.75" customHeight="1">
      <c r="A359" s="411"/>
      <c r="B359" s="1323"/>
      <c r="C359" s="1051"/>
      <c r="D359" s="1246"/>
      <c r="E359" s="1324"/>
      <c r="F359" s="1324"/>
      <c r="G359" s="1325"/>
      <c r="H359" s="1326"/>
      <c r="I359" s="1327"/>
      <c r="J359" s="1327"/>
      <c r="K359" s="1327"/>
      <c r="L359" s="1328"/>
      <c r="M359" s="414"/>
      <c r="N359" s="414"/>
      <c r="O359" s="414"/>
      <c r="P359" s="414"/>
      <c r="Q359" s="414"/>
      <c r="R359" s="414"/>
      <c r="S359" s="414"/>
    </row>
    <row r="360" spans="1:19" s="418" customFormat="1" ht="12.75" customHeight="1" thickBot="1">
      <c r="A360" s="411"/>
      <c r="B360" s="1384"/>
      <c r="C360" s="1385"/>
      <c r="D360" s="1273"/>
      <c r="E360" s="1386"/>
      <c r="F360" s="1386"/>
      <c r="G360" s="1387"/>
      <c r="H360" s="1388"/>
      <c r="I360" s="1389"/>
      <c r="J360" s="1389"/>
      <c r="K360" s="1389"/>
      <c r="L360" s="1390"/>
      <c r="M360" s="414"/>
      <c r="N360" s="414"/>
      <c r="O360" s="414"/>
      <c r="P360" s="414"/>
      <c r="Q360" s="414"/>
      <c r="R360" s="414"/>
      <c r="S360" s="414"/>
    </row>
    <row r="361" spans="1:19" s="418" customFormat="1" ht="12.75" customHeight="1">
      <c r="A361" s="411"/>
      <c r="B361" s="286"/>
      <c r="C361" s="286"/>
      <c r="D361" s="241"/>
      <c r="E361" s="241"/>
      <c r="F361" s="409"/>
      <c r="G361" s="414"/>
      <c r="H361" s="414"/>
      <c r="I361" s="414"/>
      <c r="J361" s="414"/>
      <c r="K361" s="414"/>
      <c r="L361" s="414"/>
      <c r="M361" s="414"/>
      <c r="N361" s="414"/>
      <c r="O361" s="414"/>
      <c r="P361" s="414"/>
      <c r="Q361" s="414"/>
      <c r="R361" s="414"/>
      <c r="S361" s="414"/>
    </row>
    <row r="362" spans="1:19" s="418" customFormat="1" ht="12.75" customHeight="1">
      <c r="A362" s="411"/>
      <c r="B362" s="421" t="s">
        <v>211</v>
      </c>
      <c r="C362" s="394"/>
      <c r="D362" s="394"/>
      <c r="E362" s="394"/>
      <c r="F362" s="410"/>
      <c r="G362" s="410"/>
      <c r="H362" s="414"/>
      <c r="I362" s="414"/>
      <c r="J362" s="414"/>
      <c r="K362" s="414"/>
      <c r="L362" s="414"/>
      <c r="M362" s="414"/>
      <c r="N362" s="414"/>
      <c r="O362" s="414"/>
      <c r="P362" s="414"/>
      <c r="Q362" s="414"/>
      <c r="R362" s="414"/>
      <c r="S362" s="414"/>
    </row>
    <row r="363" spans="1:19" s="418" customFormat="1" ht="12.75" customHeight="1">
      <c r="A363" s="394"/>
      <c r="B363" s="421"/>
      <c r="C363" s="394"/>
      <c r="D363" s="394"/>
      <c r="E363" s="394"/>
      <c r="F363" s="410"/>
      <c r="G363" s="410"/>
      <c r="H363" s="414"/>
      <c r="I363" s="414"/>
      <c r="J363" s="414"/>
      <c r="K363" s="414"/>
      <c r="L363" s="414"/>
      <c r="M363" s="414"/>
      <c r="N363" s="414"/>
      <c r="O363" s="414"/>
      <c r="P363" s="414"/>
      <c r="Q363" s="414"/>
      <c r="R363" s="414"/>
      <c r="S363" s="414"/>
    </row>
    <row r="364" spans="1:19" s="418" customFormat="1" ht="80.25" customHeight="1">
      <c r="A364" s="394"/>
      <c r="B364" s="982" t="s">
        <v>289</v>
      </c>
      <c r="C364" s="982"/>
      <c r="D364" s="982"/>
      <c r="E364" s="982"/>
      <c r="F364" s="982"/>
      <c r="G364" s="422"/>
      <c r="H364" s="982" t="s">
        <v>283</v>
      </c>
      <c r="I364" s="982"/>
      <c r="J364" s="982"/>
      <c r="K364" s="982"/>
      <c r="L364" s="982"/>
      <c r="M364" s="414"/>
      <c r="N364" s="414"/>
      <c r="O364" s="414"/>
      <c r="P364" s="414"/>
      <c r="Q364" s="414"/>
      <c r="R364" s="414"/>
      <c r="S364" s="414"/>
    </row>
    <row r="365" spans="1:19" s="418" customFormat="1" ht="12.75" customHeight="1" thickBot="1">
      <c r="A365" s="394"/>
      <c r="B365" s="205"/>
      <c r="C365" s="215"/>
      <c r="D365" s="18"/>
      <c r="E365" s="18"/>
      <c r="F365" s="357"/>
      <c r="G365" s="357"/>
      <c r="H365" s="357"/>
      <c r="I365" s="357"/>
      <c r="J365" s="357"/>
      <c r="K365" s="357"/>
      <c r="L365" s="357"/>
      <c r="M365" s="414"/>
      <c r="N365" s="414"/>
      <c r="O365" s="414"/>
      <c r="P365" s="414"/>
      <c r="Q365" s="414"/>
      <c r="R365" s="414"/>
      <c r="S365" s="414"/>
    </row>
    <row r="366" spans="1:19" s="418" customFormat="1" ht="15.75" customHeight="1" thickBot="1">
      <c r="A366" s="394"/>
      <c r="B366" s="1363" t="s">
        <v>91</v>
      </c>
      <c r="C366" s="1364"/>
      <c r="D366" s="1365"/>
      <c r="E366" s="1243" t="s">
        <v>139</v>
      </c>
      <c r="F366" s="1391"/>
      <c r="G366" s="423"/>
      <c r="H366" s="1374" t="s">
        <v>160</v>
      </c>
      <c r="I366" s="1367"/>
      <c r="J366" s="1368"/>
      <c r="K366" s="1366" t="s">
        <v>139</v>
      </c>
      <c r="L366" s="1375"/>
      <c r="M366" s="414"/>
      <c r="N366" s="424"/>
      <c r="O366" s="414"/>
      <c r="P366" s="414"/>
      <c r="Q366" s="414"/>
      <c r="R366" s="414"/>
      <c r="S366" s="414"/>
    </row>
    <row r="367" spans="1:19" s="418" customFormat="1" ht="15" customHeight="1">
      <c r="A367" s="394"/>
      <c r="B367" s="1398" t="s">
        <v>279</v>
      </c>
      <c r="C367" s="1399"/>
      <c r="D367" s="1400"/>
      <c r="E367" s="1401" t="s">
        <v>684</v>
      </c>
      <c r="F367" s="1402"/>
      <c r="G367" s="425"/>
      <c r="H367" s="1403"/>
      <c r="I367" s="1404"/>
      <c r="J367" s="1405"/>
      <c r="K367" s="1392"/>
      <c r="L367" s="1393"/>
      <c r="M367" s="414"/>
      <c r="N367" s="426"/>
      <c r="O367" s="414"/>
      <c r="P367" s="414"/>
      <c r="Q367" s="414"/>
      <c r="R367" s="414"/>
      <c r="S367" s="414"/>
    </row>
    <row r="368" spans="1:19" s="418" customFormat="1" ht="15" customHeight="1">
      <c r="A368" s="394"/>
      <c r="B368" s="1121" t="s">
        <v>147</v>
      </c>
      <c r="C368" s="1122"/>
      <c r="D368" s="1123"/>
      <c r="E368" s="1394" t="s">
        <v>684</v>
      </c>
      <c r="F368" s="1395"/>
      <c r="G368" s="427"/>
      <c r="H368" s="1376"/>
      <c r="I368" s="1377"/>
      <c r="J368" s="1378"/>
      <c r="K368" s="1396"/>
      <c r="L368" s="1397"/>
      <c r="M368" s="414"/>
      <c r="N368" s="426"/>
      <c r="O368" s="414"/>
      <c r="P368" s="414"/>
      <c r="Q368" s="414"/>
      <c r="R368" s="414"/>
      <c r="S368" s="414"/>
    </row>
    <row r="369" spans="1:19" s="418" customFormat="1" ht="15" customHeight="1">
      <c r="A369" s="394"/>
      <c r="B369" s="1121" t="s">
        <v>32</v>
      </c>
      <c r="C369" s="1122"/>
      <c r="D369" s="1123"/>
      <c r="E369" s="1382">
        <v>1000</v>
      </c>
      <c r="F369" s="1383"/>
      <c r="G369" s="427"/>
      <c r="H369" s="1376"/>
      <c r="I369" s="1377"/>
      <c r="J369" s="1378"/>
      <c r="K369" s="1396"/>
      <c r="L369" s="1397"/>
      <c r="M369" s="414"/>
      <c r="N369" s="426"/>
      <c r="O369" s="414"/>
      <c r="P369" s="414"/>
      <c r="Q369" s="414"/>
      <c r="R369" s="414"/>
      <c r="S369" s="414"/>
    </row>
    <row r="370" spans="1:19" s="418" customFormat="1" ht="15" customHeight="1">
      <c r="A370" s="394"/>
      <c r="B370" s="1121" t="s">
        <v>287</v>
      </c>
      <c r="C370" s="1122"/>
      <c r="D370" s="1123"/>
      <c r="E370" s="1382">
        <v>1000</v>
      </c>
      <c r="F370" s="1383"/>
      <c r="G370" s="427"/>
      <c r="H370" s="1376"/>
      <c r="I370" s="1377"/>
      <c r="J370" s="1378"/>
      <c r="K370" s="1396"/>
      <c r="L370" s="1397"/>
      <c r="M370" s="414"/>
      <c r="N370" s="426"/>
      <c r="O370" s="414"/>
      <c r="P370" s="414"/>
      <c r="Q370" s="414"/>
      <c r="R370" s="414"/>
      <c r="S370" s="414"/>
    </row>
    <row r="371" spans="1:19" s="418" customFormat="1" ht="15" customHeight="1">
      <c r="A371" s="394"/>
      <c r="B371" s="1121" t="s">
        <v>288</v>
      </c>
      <c r="C371" s="1122"/>
      <c r="D371" s="1123"/>
      <c r="E371" s="1382">
        <v>1000</v>
      </c>
      <c r="F371" s="1383"/>
      <c r="G371" s="427"/>
      <c r="H371" s="1376"/>
      <c r="I371" s="1377"/>
      <c r="J371" s="1378"/>
      <c r="K371" s="1396"/>
      <c r="L371" s="1397"/>
      <c r="M371" s="414"/>
      <c r="N371" s="426"/>
      <c r="O371" s="414"/>
      <c r="P371" s="414"/>
      <c r="Q371" s="414"/>
      <c r="R371" s="414"/>
      <c r="S371" s="414"/>
    </row>
    <row r="372" spans="1:19" ht="15" customHeight="1">
      <c r="B372" s="1121" t="s">
        <v>220</v>
      </c>
      <c r="C372" s="1122"/>
      <c r="D372" s="1123"/>
      <c r="E372" s="1382">
        <v>1000</v>
      </c>
      <c r="F372" s="1383"/>
      <c r="G372" s="427"/>
      <c r="H372" s="1376"/>
      <c r="I372" s="1377"/>
      <c r="J372" s="1378"/>
      <c r="K372" s="1396"/>
      <c r="L372" s="1397"/>
      <c r="N372" s="426"/>
    </row>
    <row r="373" spans="1:19" s="430" customFormat="1" ht="15" customHeight="1">
      <c r="A373" s="394"/>
      <c r="B373" s="1121" t="s">
        <v>221</v>
      </c>
      <c r="C373" s="1122"/>
      <c r="D373" s="1123"/>
      <c r="E373" s="1382">
        <v>1000</v>
      </c>
      <c r="F373" s="1383"/>
      <c r="G373" s="428"/>
      <c r="H373" s="1376"/>
      <c r="I373" s="1377"/>
      <c r="J373" s="1378"/>
      <c r="K373" s="1396"/>
      <c r="L373" s="1397"/>
      <c r="M373" s="426"/>
      <c r="N373" s="429"/>
      <c r="O373" s="426"/>
      <c r="P373" s="426"/>
      <c r="Q373" s="426"/>
      <c r="R373" s="426"/>
      <c r="S373" s="426"/>
    </row>
    <row r="374" spans="1:19" s="430" customFormat="1" ht="15" customHeight="1">
      <c r="A374" s="394"/>
      <c r="B374" s="1121" t="s">
        <v>140</v>
      </c>
      <c r="C374" s="1122"/>
      <c r="D374" s="1123"/>
      <c r="E374" s="1382">
        <v>1000</v>
      </c>
      <c r="F374" s="1383"/>
      <c r="G374" s="428"/>
      <c r="H374" s="1376"/>
      <c r="I374" s="1377"/>
      <c r="J374" s="1378"/>
      <c r="K374" s="1396"/>
      <c r="L374" s="1397"/>
      <c r="M374" s="426"/>
      <c r="N374" s="426"/>
      <c r="O374" s="426"/>
      <c r="P374" s="426"/>
      <c r="Q374" s="426"/>
      <c r="R374" s="426"/>
      <c r="S374" s="426"/>
    </row>
    <row r="375" spans="1:19" s="430" customFormat="1" ht="15" customHeight="1">
      <c r="A375" s="394"/>
      <c r="B375" s="1121" t="s">
        <v>262</v>
      </c>
      <c r="C375" s="1122"/>
      <c r="D375" s="1123"/>
      <c r="E375" s="1382">
        <v>1000</v>
      </c>
      <c r="F375" s="1383"/>
      <c r="G375" s="428"/>
      <c r="H375" s="1376"/>
      <c r="I375" s="1377"/>
      <c r="J375" s="1378"/>
      <c r="K375" s="1396"/>
      <c r="L375" s="1397"/>
      <c r="M375" s="426"/>
      <c r="N375" s="426"/>
      <c r="O375" s="426"/>
      <c r="P375" s="426"/>
      <c r="Q375" s="426"/>
      <c r="R375" s="426"/>
      <c r="S375" s="426"/>
    </row>
    <row r="376" spans="1:19" s="430" customFormat="1" ht="15.75" customHeight="1">
      <c r="A376" s="394"/>
      <c r="B376" s="1121" t="s">
        <v>264</v>
      </c>
      <c r="C376" s="1122"/>
      <c r="D376" s="1123"/>
      <c r="E376" s="1382">
        <v>1000</v>
      </c>
      <c r="F376" s="1383"/>
      <c r="G376" s="428"/>
      <c r="H376" s="1376"/>
      <c r="I376" s="1377"/>
      <c r="J376" s="1378"/>
      <c r="K376" s="1396"/>
      <c r="L376" s="1397"/>
      <c r="M376" s="426"/>
      <c r="N376" s="426"/>
      <c r="O376" s="426"/>
      <c r="P376" s="426"/>
      <c r="Q376" s="426"/>
      <c r="R376" s="426"/>
      <c r="S376" s="426"/>
    </row>
    <row r="377" spans="1:19" s="430" customFormat="1">
      <c r="A377" s="394"/>
      <c r="B377" s="1121" t="s">
        <v>265</v>
      </c>
      <c r="C377" s="1122"/>
      <c r="D377" s="1123"/>
      <c r="E377" s="1382">
        <v>1000</v>
      </c>
      <c r="F377" s="1383"/>
      <c r="G377" s="428"/>
      <c r="H377" s="1376"/>
      <c r="I377" s="1377"/>
      <c r="J377" s="1378"/>
      <c r="K377" s="1396"/>
      <c r="L377" s="1397"/>
      <c r="M377" s="426"/>
      <c r="N377" s="426"/>
      <c r="O377" s="426"/>
      <c r="P377" s="426"/>
      <c r="Q377" s="426"/>
      <c r="R377" s="426"/>
      <c r="S377" s="426"/>
    </row>
    <row r="378" spans="1:19" s="430" customFormat="1">
      <c r="A378" s="394"/>
      <c r="B378" s="1121" t="s">
        <v>960</v>
      </c>
      <c r="C378" s="1122"/>
      <c r="D378" s="1123"/>
      <c r="E378" s="1382">
        <v>1000</v>
      </c>
      <c r="F378" s="1383"/>
      <c r="G378" s="428"/>
      <c r="H378" s="1376"/>
      <c r="I378" s="1377"/>
      <c r="J378" s="1378"/>
      <c r="K378" s="1396"/>
      <c r="L378" s="1397"/>
      <c r="M378" s="426"/>
      <c r="N378" s="426"/>
      <c r="O378" s="426"/>
      <c r="P378" s="426"/>
      <c r="Q378" s="426"/>
      <c r="R378" s="426"/>
      <c r="S378" s="426"/>
    </row>
    <row r="379" spans="1:19" s="430" customFormat="1">
      <c r="A379" s="394"/>
      <c r="B379" s="1121" t="s">
        <v>148</v>
      </c>
      <c r="C379" s="1122"/>
      <c r="D379" s="1123"/>
      <c r="E379" s="1382">
        <v>1000</v>
      </c>
      <c r="F379" s="1383"/>
      <c r="G379" s="428"/>
      <c r="H379" s="1376"/>
      <c r="I379" s="1377"/>
      <c r="J379" s="1378"/>
      <c r="K379" s="1396"/>
      <c r="L379" s="1397"/>
      <c r="M379" s="426"/>
      <c r="N379" s="426"/>
      <c r="O379" s="426"/>
      <c r="P379" s="426"/>
      <c r="Q379" s="426"/>
      <c r="R379" s="426"/>
      <c r="S379" s="426"/>
    </row>
    <row r="380" spans="1:19" s="430" customFormat="1" ht="15" customHeight="1">
      <c r="A380" s="394"/>
      <c r="B380" s="1121" t="s">
        <v>263</v>
      </c>
      <c r="C380" s="1122"/>
      <c r="D380" s="1123"/>
      <c r="E380" s="1422" t="s">
        <v>282</v>
      </c>
      <c r="F380" s="1423"/>
      <c r="G380" s="428"/>
      <c r="H380" s="1376"/>
      <c r="I380" s="1377"/>
      <c r="J380" s="1378"/>
      <c r="K380" s="1396"/>
      <c r="L380" s="1397"/>
      <c r="M380" s="426"/>
      <c r="N380" s="426"/>
      <c r="O380" s="426"/>
      <c r="P380" s="426"/>
      <c r="Q380" s="426"/>
      <c r="R380" s="426"/>
      <c r="S380" s="426"/>
    </row>
    <row r="381" spans="1:19" s="430" customFormat="1">
      <c r="A381" s="394"/>
      <c r="B381" s="1121" t="s">
        <v>266</v>
      </c>
      <c r="C381" s="1122"/>
      <c r="D381" s="1123"/>
      <c r="E381" s="1382">
        <v>1000</v>
      </c>
      <c r="F381" s="1383"/>
      <c r="G381" s="428"/>
      <c r="H381" s="1376"/>
      <c r="I381" s="1377"/>
      <c r="J381" s="1378"/>
      <c r="K381" s="1396"/>
      <c r="L381" s="1397"/>
      <c r="M381" s="426"/>
      <c r="N381" s="426"/>
      <c r="O381" s="426"/>
      <c r="P381" s="426"/>
      <c r="Q381" s="426"/>
      <c r="R381" s="426"/>
      <c r="S381" s="426"/>
    </row>
    <row r="382" spans="1:19" s="430" customFormat="1">
      <c r="A382" s="394"/>
      <c r="B382" s="1121" t="s">
        <v>267</v>
      </c>
      <c r="C382" s="1122"/>
      <c r="D382" s="1123"/>
      <c r="E382" s="1382">
        <v>1000</v>
      </c>
      <c r="F382" s="1383"/>
      <c r="G382" s="428"/>
      <c r="H382" s="1376"/>
      <c r="I382" s="1377"/>
      <c r="J382" s="1378"/>
      <c r="K382" s="1396"/>
      <c r="L382" s="1397"/>
      <c r="M382" s="426"/>
      <c r="N382" s="426"/>
      <c r="O382" s="426"/>
      <c r="P382" s="426"/>
      <c r="Q382" s="426"/>
      <c r="R382" s="426"/>
      <c r="S382" s="426"/>
    </row>
    <row r="383" spans="1:19" s="430" customFormat="1">
      <c r="A383" s="394"/>
      <c r="B383" s="1121" t="s">
        <v>268</v>
      </c>
      <c r="C383" s="1122"/>
      <c r="D383" s="1123"/>
      <c r="E383" s="1382">
        <v>1000</v>
      </c>
      <c r="F383" s="1383"/>
      <c r="G383" s="428"/>
      <c r="H383" s="1376"/>
      <c r="I383" s="1377"/>
      <c r="J383" s="1378"/>
      <c r="K383" s="1396"/>
      <c r="L383" s="1397"/>
      <c r="M383" s="426"/>
      <c r="N383" s="426"/>
      <c r="O383" s="426"/>
      <c r="P383" s="426"/>
      <c r="Q383" s="426"/>
      <c r="R383" s="426"/>
      <c r="S383" s="426"/>
    </row>
    <row r="384" spans="1:19" s="430" customFormat="1" ht="15" customHeight="1">
      <c r="A384" s="394"/>
      <c r="B384" s="1121" t="s">
        <v>269</v>
      </c>
      <c r="C384" s="1122"/>
      <c r="D384" s="1123"/>
      <c r="E384" s="1299" t="s">
        <v>270</v>
      </c>
      <c r="F384" s="1300"/>
      <c r="G384" s="428"/>
      <c r="H384" s="1376"/>
      <c r="I384" s="1377"/>
      <c r="J384" s="1378"/>
      <c r="K384" s="1396"/>
      <c r="L384" s="1397"/>
      <c r="M384" s="426"/>
      <c r="N384" s="426"/>
      <c r="O384" s="426"/>
      <c r="P384" s="426"/>
      <c r="Q384" s="426"/>
      <c r="R384" s="426"/>
      <c r="S384" s="426"/>
    </row>
    <row r="385" spans="1:19" s="430" customFormat="1" ht="32.25" customHeight="1">
      <c r="A385" s="394"/>
      <c r="B385" s="1121" t="s">
        <v>271</v>
      </c>
      <c r="C385" s="1122"/>
      <c r="D385" s="1123"/>
      <c r="E385" s="1299" t="s">
        <v>270</v>
      </c>
      <c r="F385" s="1300"/>
      <c r="G385" s="428"/>
      <c r="H385" s="1376"/>
      <c r="I385" s="1377"/>
      <c r="J385" s="1378"/>
      <c r="K385" s="1396"/>
      <c r="L385" s="1397"/>
      <c r="M385" s="426"/>
      <c r="N385" s="426"/>
      <c r="O385" s="426"/>
      <c r="P385" s="426"/>
      <c r="Q385" s="426"/>
      <c r="R385" s="426"/>
      <c r="S385" s="426"/>
    </row>
    <row r="386" spans="1:19" s="430" customFormat="1">
      <c r="A386" s="394"/>
      <c r="B386" s="1121" t="s">
        <v>924</v>
      </c>
      <c r="C386" s="1122"/>
      <c r="D386" s="1123"/>
      <c r="E386" s="1394" t="s">
        <v>684</v>
      </c>
      <c r="F386" s="1395"/>
      <c r="G386" s="428"/>
      <c r="H386" s="1376"/>
      <c r="I386" s="1377"/>
      <c r="J386" s="1378"/>
      <c r="K386" s="1396"/>
      <c r="L386" s="1397"/>
      <c r="M386" s="426"/>
      <c r="N386" s="426"/>
      <c r="O386" s="426"/>
      <c r="P386" s="426"/>
      <c r="Q386" s="426"/>
      <c r="R386" s="426"/>
      <c r="S386" s="426"/>
    </row>
    <row r="387" spans="1:19" s="430" customFormat="1">
      <c r="A387" s="394"/>
      <c r="B387" s="1121" t="s">
        <v>940</v>
      </c>
      <c r="C387" s="1122"/>
      <c r="D387" s="1123"/>
      <c r="E387" s="1382">
        <v>1000</v>
      </c>
      <c r="F387" s="1383"/>
      <c r="G387" s="428"/>
      <c r="H387" s="1376"/>
      <c r="I387" s="1377"/>
      <c r="J387" s="1378"/>
      <c r="K387" s="1396"/>
      <c r="L387" s="1397"/>
      <c r="M387" s="426"/>
      <c r="N387" s="426"/>
      <c r="O387" s="426"/>
      <c r="P387" s="426"/>
      <c r="Q387" s="426"/>
      <c r="R387" s="426"/>
      <c r="S387" s="426"/>
    </row>
    <row r="388" spans="1:19" s="430" customFormat="1">
      <c r="A388" s="394"/>
      <c r="B388" s="1121" t="s">
        <v>939</v>
      </c>
      <c r="C388" s="1122"/>
      <c r="D388" s="1123"/>
      <c r="E388" s="1382">
        <v>1000</v>
      </c>
      <c r="F388" s="1383"/>
      <c r="G388" s="428"/>
      <c r="H388" s="1376"/>
      <c r="I388" s="1377"/>
      <c r="J388" s="1378"/>
      <c r="K388" s="1396"/>
      <c r="L388" s="1397"/>
      <c r="M388" s="426"/>
      <c r="N388" s="426"/>
      <c r="O388" s="426"/>
      <c r="P388" s="426"/>
      <c r="Q388" s="426"/>
      <c r="R388" s="426"/>
      <c r="S388" s="426"/>
    </row>
    <row r="389" spans="1:19" s="430" customFormat="1">
      <c r="A389" s="394"/>
      <c r="B389" s="1121" t="s">
        <v>941</v>
      </c>
      <c r="C389" s="1122"/>
      <c r="D389" s="1123"/>
      <c r="E389" s="1299" t="s">
        <v>938</v>
      </c>
      <c r="F389" s="1300"/>
      <c r="G389" s="428"/>
      <c r="H389" s="1376"/>
      <c r="I389" s="1377"/>
      <c r="J389" s="1378"/>
      <c r="K389" s="1396"/>
      <c r="L389" s="1397"/>
      <c r="M389" s="426"/>
      <c r="N389" s="426"/>
      <c r="O389" s="426"/>
      <c r="P389" s="426"/>
      <c r="Q389" s="426"/>
      <c r="R389" s="426"/>
      <c r="S389" s="426"/>
    </row>
    <row r="390" spans="1:19" s="430" customFormat="1">
      <c r="A390" s="394"/>
      <c r="B390" s="1121" t="s">
        <v>942</v>
      </c>
      <c r="C390" s="1122"/>
      <c r="D390" s="1123"/>
      <c r="E390" s="1299" t="s">
        <v>938</v>
      </c>
      <c r="F390" s="1300"/>
      <c r="G390" s="428"/>
      <c r="H390" s="1376"/>
      <c r="I390" s="1377"/>
      <c r="J390" s="1378"/>
      <c r="K390" s="1396"/>
      <c r="L390" s="1397"/>
      <c r="M390" s="426"/>
      <c r="N390" s="426"/>
      <c r="O390" s="426"/>
      <c r="P390" s="426"/>
      <c r="Q390" s="426"/>
      <c r="R390" s="426"/>
      <c r="S390" s="426"/>
    </row>
    <row r="391" spans="1:19" s="430" customFormat="1">
      <c r="A391" s="394"/>
      <c r="B391" s="1121" t="s">
        <v>943</v>
      </c>
      <c r="C391" s="1122"/>
      <c r="D391" s="1123"/>
      <c r="E391" s="1299" t="s">
        <v>938</v>
      </c>
      <c r="F391" s="1300"/>
      <c r="G391" s="428"/>
      <c r="H391" s="1376"/>
      <c r="I391" s="1377"/>
      <c r="J391" s="1378"/>
      <c r="K391" s="1396"/>
      <c r="L391" s="1397"/>
      <c r="M391" s="426"/>
      <c r="N391" s="426"/>
      <c r="O391" s="426"/>
      <c r="P391" s="426"/>
      <c r="Q391" s="426"/>
      <c r="R391" s="426"/>
      <c r="S391" s="426"/>
    </row>
    <row r="392" spans="1:19" s="430" customFormat="1">
      <c r="A392" s="394"/>
      <c r="B392" s="1121" t="s">
        <v>944</v>
      </c>
      <c r="C392" s="1122"/>
      <c r="D392" s="1123"/>
      <c r="E392" s="1299" t="s">
        <v>938</v>
      </c>
      <c r="F392" s="1300"/>
      <c r="G392" s="428"/>
      <c r="H392" s="1376"/>
      <c r="I392" s="1377"/>
      <c r="J392" s="1378"/>
      <c r="K392" s="1396"/>
      <c r="L392" s="1397"/>
      <c r="M392" s="426"/>
      <c r="N392" s="426"/>
      <c r="O392" s="426"/>
      <c r="P392" s="426"/>
      <c r="Q392" s="426"/>
      <c r="R392" s="426"/>
      <c r="S392" s="426"/>
    </row>
    <row r="393" spans="1:19" s="430" customFormat="1">
      <c r="A393" s="394"/>
      <c r="B393" s="1121" t="s">
        <v>945</v>
      </c>
      <c r="C393" s="1122"/>
      <c r="D393" s="1123"/>
      <c r="E393" s="1299" t="s">
        <v>938</v>
      </c>
      <c r="F393" s="1300"/>
      <c r="G393" s="428"/>
      <c r="H393" s="1376"/>
      <c r="I393" s="1377"/>
      <c r="J393" s="1378"/>
      <c r="K393" s="1396"/>
      <c r="L393" s="1397"/>
      <c r="M393" s="426"/>
      <c r="N393" s="426"/>
      <c r="O393" s="426"/>
      <c r="P393" s="426"/>
      <c r="Q393" s="426"/>
      <c r="R393" s="426"/>
      <c r="S393" s="426"/>
    </row>
    <row r="394" spans="1:19" s="430" customFormat="1">
      <c r="A394" s="394"/>
      <c r="B394" s="1121" t="s">
        <v>946</v>
      </c>
      <c r="C394" s="1122"/>
      <c r="D394" s="1123"/>
      <c r="E394" s="1299" t="s">
        <v>938</v>
      </c>
      <c r="F394" s="1300"/>
      <c r="G394" s="428"/>
      <c r="H394" s="1376"/>
      <c r="I394" s="1377"/>
      <c r="J394" s="1378"/>
      <c r="K394" s="1396"/>
      <c r="L394" s="1397"/>
      <c r="M394" s="426"/>
      <c r="N394" s="426"/>
      <c r="O394" s="426"/>
      <c r="P394" s="426"/>
      <c r="Q394" s="426"/>
      <c r="R394" s="426"/>
      <c r="S394" s="426"/>
    </row>
    <row r="395" spans="1:19" s="430" customFormat="1">
      <c r="A395" s="394"/>
      <c r="B395" s="1121" t="s">
        <v>947</v>
      </c>
      <c r="C395" s="1122"/>
      <c r="D395" s="1123"/>
      <c r="E395" s="1299" t="s">
        <v>938</v>
      </c>
      <c r="F395" s="1300"/>
      <c r="G395" s="428"/>
      <c r="H395" s="1376"/>
      <c r="I395" s="1377"/>
      <c r="J395" s="1378"/>
      <c r="K395" s="1396"/>
      <c r="L395" s="1397"/>
      <c r="M395" s="426"/>
      <c r="N395" s="426"/>
      <c r="O395" s="426"/>
      <c r="P395" s="426"/>
      <c r="Q395" s="426"/>
      <c r="R395" s="426"/>
      <c r="S395" s="426"/>
    </row>
    <row r="396" spans="1:19" s="430" customFormat="1">
      <c r="A396" s="394"/>
      <c r="B396" s="1121" t="s">
        <v>948</v>
      </c>
      <c r="C396" s="1122"/>
      <c r="D396" s="1123"/>
      <c r="E396" s="1299" t="s">
        <v>938</v>
      </c>
      <c r="F396" s="1300"/>
      <c r="G396" s="428"/>
      <c r="H396" s="1376"/>
      <c r="I396" s="1377"/>
      <c r="J396" s="1378"/>
      <c r="K396" s="1396"/>
      <c r="L396" s="1397"/>
      <c r="M396" s="426"/>
      <c r="N396" s="426"/>
      <c r="O396" s="426"/>
      <c r="P396" s="426"/>
      <c r="Q396" s="426"/>
      <c r="R396" s="426"/>
      <c r="S396" s="426"/>
    </row>
    <row r="397" spans="1:19" s="430" customFormat="1" ht="15" customHeight="1">
      <c r="A397" s="394"/>
      <c r="B397" s="1121" t="s">
        <v>949</v>
      </c>
      <c r="C397" s="1122"/>
      <c r="D397" s="1123"/>
      <c r="E397" s="1305" t="s">
        <v>958</v>
      </c>
      <c r="F397" s="1424"/>
      <c r="G397" s="428"/>
      <c r="H397" s="1376"/>
      <c r="I397" s="1377"/>
      <c r="J397" s="1378"/>
      <c r="K397" s="1396"/>
      <c r="L397" s="1397"/>
      <c r="M397" s="426"/>
      <c r="N397" s="426"/>
      <c r="O397" s="426"/>
      <c r="P397" s="426"/>
      <c r="Q397" s="426"/>
      <c r="R397" s="426"/>
      <c r="S397" s="426"/>
    </row>
    <row r="398" spans="1:19" s="430" customFormat="1" ht="15" customHeight="1">
      <c r="A398" s="394"/>
      <c r="B398" s="1121" t="s">
        <v>950</v>
      </c>
      <c r="C398" s="1122"/>
      <c r="D398" s="1123"/>
      <c r="E398" s="1299" t="s">
        <v>959</v>
      </c>
      <c r="F398" s="1300"/>
      <c r="G398" s="428"/>
      <c r="H398" s="1376"/>
      <c r="I398" s="1377"/>
      <c r="J398" s="1378"/>
      <c r="K398" s="1396"/>
      <c r="L398" s="1397"/>
      <c r="M398" s="426"/>
      <c r="N398" s="426"/>
      <c r="O398" s="426"/>
      <c r="P398" s="426"/>
      <c r="Q398" s="426"/>
      <c r="R398" s="426"/>
      <c r="S398" s="426"/>
    </row>
    <row r="399" spans="1:19" s="430" customFormat="1">
      <c r="A399" s="394"/>
      <c r="B399" s="1121" t="s">
        <v>951</v>
      </c>
      <c r="C399" s="1122"/>
      <c r="D399" s="1123"/>
      <c r="E399" s="1394" t="s">
        <v>684</v>
      </c>
      <c r="F399" s="1395"/>
      <c r="G399" s="428"/>
      <c r="H399" s="1376"/>
      <c r="I399" s="1377"/>
      <c r="J399" s="1378"/>
      <c r="K399" s="1396"/>
      <c r="L399" s="1397"/>
      <c r="M399" s="426"/>
      <c r="N399" s="426"/>
      <c r="O399" s="426"/>
      <c r="P399" s="426"/>
      <c r="Q399" s="426"/>
      <c r="R399" s="426"/>
      <c r="S399" s="426"/>
    </row>
    <row r="400" spans="1:19" s="430" customFormat="1">
      <c r="A400" s="394"/>
      <c r="B400" s="1121" t="s">
        <v>961</v>
      </c>
      <c r="C400" s="1122"/>
      <c r="D400" s="1123"/>
      <c r="E400" s="1382">
        <v>1000</v>
      </c>
      <c r="F400" s="1383"/>
      <c r="G400" s="428"/>
      <c r="H400" s="1376"/>
      <c r="I400" s="1377"/>
      <c r="J400" s="1378"/>
      <c r="K400" s="1396"/>
      <c r="L400" s="1397"/>
      <c r="M400" s="426"/>
      <c r="N400" s="426"/>
      <c r="O400" s="426"/>
      <c r="P400" s="426"/>
      <c r="Q400" s="426"/>
      <c r="R400" s="426"/>
      <c r="S400" s="426"/>
    </row>
    <row r="401" spans="1:19" s="430" customFormat="1">
      <c r="A401" s="394"/>
      <c r="B401" s="1121" t="s">
        <v>952</v>
      </c>
      <c r="C401" s="1122"/>
      <c r="D401" s="1123"/>
      <c r="E401" s="1382">
        <v>1000</v>
      </c>
      <c r="F401" s="1383"/>
      <c r="G401" s="428"/>
      <c r="H401" s="1376"/>
      <c r="I401" s="1377"/>
      <c r="J401" s="1378"/>
      <c r="K401" s="1396"/>
      <c r="L401" s="1397"/>
      <c r="M401" s="426"/>
      <c r="N401" s="426"/>
      <c r="O401" s="426"/>
      <c r="P401" s="426"/>
      <c r="Q401" s="426"/>
      <c r="R401" s="426"/>
      <c r="S401" s="426"/>
    </row>
    <row r="402" spans="1:19" s="430" customFormat="1">
      <c r="A402" s="394"/>
      <c r="B402" s="1121" t="s">
        <v>953</v>
      </c>
      <c r="C402" s="1122"/>
      <c r="D402" s="1123"/>
      <c r="E402" s="1394" t="s">
        <v>684</v>
      </c>
      <c r="F402" s="1395"/>
      <c r="G402" s="428"/>
      <c r="H402" s="1376"/>
      <c r="I402" s="1377"/>
      <c r="J402" s="1378"/>
      <c r="K402" s="1396"/>
      <c r="L402" s="1397"/>
      <c r="M402" s="426"/>
      <c r="N402" s="426"/>
      <c r="O402" s="426"/>
      <c r="P402" s="426"/>
      <c r="Q402" s="426"/>
      <c r="R402" s="426"/>
      <c r="S402" s="426"/>
    </row>
    <row r="403" spans="1:19" s="430" customFormat="1">
      <c r="A403" s="394"/>
      <c r="B403" s="1121" t="s">
        <v>954</v>
      </c>
      <c r="C403" s="1122"/>
      <c r="D403" s="1123"/>
      <c r="E403" s="1394" t="s">
        <v>684</v>
      </c>
      <c r="F403" s="1395"/>
      <c r="G403" s="428"/>
      <c r="H403" s="1376"/>
      <c r="I403" s="1377"/>
      <c r="J403" s="1378"/>
      <c r="K403" s="1396"/>
      <c r="L403" s="1397"/>
      <c r="M403" s="426"/>
      <c r="N403" s="426"/>
      <c r="O403" s="426"/>
      <c r="P403" s="426"/>
      <c r="Q403" s="426"/>
      <c r="R403" s="426"/>
      <c r="S403" s="426"/>
    </row>
    <row r="404" spans="1:19" s="430" customFormat="1">
      <c r="A404" s="394"/>
      <c r="B404" s="1121" t="s">
        <v>937</v>
      </c>
      <c r="C404" s="1122"/>
      <c r="D404" s="1123"/>
      <c r="E404" s="1299" t="s">
        <v>938</v>
      </c>
      <c r="F404" s="1300"/>
      <c r="G404" s="428"/>
      <c r="H404" s="1376"/>
      <c r="I404" s="1377"/>
      <c r="J404" s="1378"/>
      <c r="K404" s="1396"/>
      <c r="L404" s="1397"/>
      <c r="M404" s="426"/>
      <c r="N404" s="426"/>
      <c r="O404" s="426"/>
      <c r="P404" s="426"/>
      <c r="Q404" s="426"/>
      <c r="R404" s="426"/>
      <c r="S404" s="426"/>
    </row>
    <row r="405" spans="1:19" s="430" customFormat="1">
      <c r="A405" s="394"/>
      <c r="B405" s="1121" t="s">
        <v>955</v>
      </c>
      <c r="C405" s="1122"/>
      <c r="D405" s="1123"/>
      <c r="E405" s="1299" t="s">
        <v>938</v>
      </c>
      <c r="F405" s="1300"/>
      <c r="G405" s="428"/>
      <c r="H405" s="1376"/>
      <c r="I405" s="1377"/>
      <c r="J405" s="1378"/>
      <c r="K405" s="1396"/>
      <c r="L405" s="1397"/>
      <c r="M405" s="426"/>
      <c r="N405" s="426"/>
      <c r="O405" s="426"/>
      <c r="P405" s="426"/>
      <c r="Q405" s="426"/>
      <c r="R405" s="426"/>
      <c r="S405" s="426"/>
    </row>
    <row r="406" spans="1:19" s="430" customFormat="1">
      <c r="A406" s="394"/>
      <c r="B406" s="1121" t="s">
        <v>956</v>
      </c>
      <c r="C406" s="1122"/>
      <c r="D406" s="1123"/>
      <c r="E406" s="1299" t="s">
        <v>938</v>
      </c>
      <c r="F406" s="1300"/>
      <c r="G406" s="428"/>
      <c r="H406" s="1376"/>
      <c r="I406" s="1377"/>
      <c r="J406" s="1378"/>
      <c r="K406" s="1396"/>
      <c r="L406" s="1397"/>
      <c r="M406" s="426"/>
      <c r="N406" s="426"/>
      <c r="O406" s="426"/>
      <c r="P406" s="426"/>
      <c r="Q406" s="426"/>
      <c r="R406" s="426"/>
      <c r="S406" s="426"/>
    </row>
    <row r="407" spans="1:19" s="430" customFormat="1">
      <c r="A407" s="394"/>
      <c r="B407" s="1121" t="s">
        <v>957</v>
      </c>
      <c r="C407" s="1122"/>
      <c r="D407" s="1123"/>
      <c r="E407" s="1382">
        <v>1000</v>
      </c>
      <c r="F407" s="1383"/>
      <c r="G407" s="428"/>
      <c r="H407" s="1376"/>
      <c r="I407" s="1377"/>
      <c r="J407" s="1378"/>
      <c r="K407" s="1396"/>
      <c r="L407" s="1397"/>
      <c r="M407" s="426"/>
      <c r="N407" s="426"/>
      <c r="O407" s="426"/>
      <c r="P407" s="426"/>
      <c r="Q407" s="426"/>
      <c r="R407" s="426"/>
      <c r="S407" s="426"/>
    </row>
    <row r="408" spans="1:19" s="430" customFormat="1">
      <c r="A408" s="394"/>
      <c r="B408" s="1121" t="s">
        <v>934</v>
      </c>
      <c r="C408" s="1122"/>
      <c r="D408" s="1123"/>
      <c r="E408" s="1299">
        <v>65</v>
      </c>
      <c r="F408" s="1300"/>
      <c r="G408" s="428"/>
      <c r="H408" s="1376"/>
      <c r="I408" s="1377"/>
      <c r="J408" s="1378"/>
      <c r="K408" s="1396"/>
      <c r="L408" s="1397"/>
      <c r="M408" s="426"/>
      <c r="N408" s="426"/>
      <c r="O408" s="426"/>
      <c r="P408" s="426"/>
      <c r="Q408" s="426"/>
      <c r="R408" s="426"/>
      <c r="S408" s="426"/>
    </row>
    <row r="409" spans="1:19" s="430" customFormat="1">
      <c r="A409" s="394"/>
      <c r="B409" s="1121" t="s">
        <v>935</v>
      </c>
      <c r="C409" s="1122"/>
      <c r="D409" s="1123"/>
      <c r="E409" s="1299">
        <v>50</v>
      </c>
      <c r="F409" s="1300"/>
      <c r="G409" s="428"/>
      <c r="H409" s="1376"/>
      <c r="I409" s="1377"/>
      <c r="J409" s="1378"/>
      <c r="K409" s="1396"/>
      <c r="L409" s="1397"/>
      <c r="M409" s="426"/>
      <c r="N409" s="426"/>
      <c r="O409" s="426"/>
      <c r="P409" s="426"/>
      <c r="Q409" s="426"/>
      <c r="R409" s="426"/>
      <c r="S409" s="426"/>
    </row>
    <row r="410" spans="1:19" s="430" customFormat="1" ht="15.75" thickBot="1">
      <c r="A410" s="394"/>
      <c r="B410" s="1126" t="s">
        <v>936</v>
      </c>
      <c r="C410" s="1127"/>
      <c r="D410" s="1128"/>
      <c r="E410" s="1306">
        <v>5</v>
      </c>
      <c r="F410" s="1307"/>
      <c r="G410" s="428"/>
      <c r="H410" s="1379"/>
      <c r="I410" s="1380"/>
      <c r="J410" s="1381"/>
      <c r="K410" s="1410"/>
      <c r="L410" s="1411"/>
      <c r="M410" s="426"/>
      <c r="N410" s="426"/>
      <c r="O410" s="426"/>
      <c r="P410" s="426"/>
      <c r="Q410" s="426"/>
      <c r="R410" s="426"/>
      <c r="S410" s="426"/>
    </row>
    <row r="411" spans="1:19" s="430" customFormat="1" ht="12.75" customHeight="1">
      <c r="A411" s="394"/>
      <c r="B411" s="241"/>
      <c r="C411" s="431"/>
      <c r="D411" s="394"/>
      <c r="E411" s="394"/>
      <c r="F411" s="410"/>
      <c r="G411" s="410"/>
      <c r="H411" s="426"/>
      <c r="I411" s="426"/>
      <c r="J411" s="426"/>
      <c r="K411" s="426"/>
      <c r="L411" s="426"/>
      <c r="M411" s="426"/>
      <c r="N411" s="426"/>
      <c r="O411" s="426"/>
      <c r="P411" s="426"/>
      <c r="Q411" s="426"/>
      <c r="R411" s="426"/>
      <c r="S411" s="426"/>
    </row>
    <row r="412" spans="1:19" s="430" customFormat="1" ht="12.75" customHeight="1">
      <c r="A412" s="269"/>
      <c r="B412" s="247" t="s">
        <v>143</v>
      </c>
      <c r="C412" s="394"/>
      <c r="D412" s="394"/>
      <c r="E412" s="394"/>
      <c r="F412" s="410"/>
      <c r="G412" s="410"/>
      <c r="H412" s="426"/>
      <c r="I412" s="426"/>
      <c r="J412" s="426"/>
      <c r="K412" s="426"/>
      <c r="L412" s="426"/>
      <c r="M412" s="426"/>
      <c r="N412" s="426"/>
      <c r="O412" s="426"/>
      <c r="P412" s="426"/>
      <c r="Q412" s="426"/>
      <c r="R412" s="426"/>
      <c r="S412" s="426"/>
    </row>
    <row r="413" spans="1:19" s="430" customFormat="1" ht="12.75" customHeight="1">
      <c r="A413" s="411"/>
      <c r="B413" s="432"/>
      <c r="C413" s="394"/>
      <c r="D413" s="394"/>
      <c r="E413" s="394"/>
      <c r="F413" s="410"/>
      <c r="G413" s="410"/>
      <c r="H413" s="426"/>
      <c r="I413" s="426"/>
      <c r="J413" s="426"/>
      <c r="K413" s="426"/>
      <c r="L413" s="426"/>
      <c r="M413" s="426"/>
      <c r="N413" s="426"/>
      <c r="O413" s="426"/>
      <c r="P413" s="426"/>
      <c r="Q413" s="426"/>
      <c r="R413" s="426"/>
      <c r="S413" s="426"/>
    </row>
    <row r="414" spans="1:19" s="430" customFormat="1" ht="42" customHeight="1">
      <c r="A414" s="411"/>
      <c r="B414" s="241" t="s">
        <v>149</v>
      </c>
      <c r="C414" s="394"/>
      <c r="D414" s="394"/>
      <c r="E414" s="395"/>
      <c r="F414" s="420"/>
      <c r="G414" s="982" t="s">
        <v>150</v>
      </c>
      <c r="H414" s="982"/>
      <c r="I414" s="982"/>
      <c r="J414" s="982"/>
      <c r="K414" s="982"/>
      <c r="L414" s="982"/>
      <c r="M414" s="426"/>
      <c r="N414" s="426"/>
      <c r="O414" s="426"/>
      <c r="P414" s="426"/>
      <c r="Q414" s="426"/>
      <c r="R414" s="426"/>
      <c r="S414" s="426"/>
    </row>
    <row r="415" spans="1:19" s="430" customFormat="1" ht="7.5" customHeight="1">
      <c r="A415" s="411"/>
      <c r="B415" s="378"/>
      <c r="C415" s="18"/>
      <c r="D415" s="340"/>
      <c r="E415" s="18"/>
      <c r="F415" s="422"/>
      <c r="G415" s="422"/>
      <c r="H415" s="422"/>
      <c r="I415" s="422"/>
      <c r="J415" s="357"/>
      <c r="K415" s="357"/>
      <c r="L415" s="357"/>
      <c r="M415" s="426"/>
      <c r="N415" s="426"/>
      <c r="O415" s="426"/>
      <c r="P415" s="426"/>
      <c r="Q415" s="426"/>
      <c r="R415" s="426"/>
      <c r="S415" s="426"/>
    </row>
    <row r="416" spans="1:19" s="430" customFormat="1" ht="12.75" customHeight="1">
      <c r="A416" s="411"/>
      <c r="B416" s="304" t="s">
        <v>102</v>
      </c>
      <c r="C416" s="319"/>
      <c r="D416" s="319"/>
      <c r="E416" s="319"/>
      <c r="F416" s="396"/>
      <c r="G416" s="1412" t="s">
        <v>118</v>
      </c>
      <c r="H416" s="1412"/>
      <c r="I416" s="1412"/>
      <c r="J416" s="396"/>
      <c r="K416" s="396"/>
      <c r="L416" s="396"/>
      <c r="M416" s="426"/>
      <c r="N416" s="426"/>
      <c r="O416" s="426"/>
      <c r="P416" s="426"/>
      <c r="Q416" s="426"/>
      <c r="R416" s="426"/>
      <c r="S416" s="426"/>
    </row>
    <row r="417" spans="1:19" s="430" customFormat="1" ht="12.75" customHeight="1" thickBot="1">
      <c r="A417" s="411"/>
      <c r="B417" s="374"/>
      <c r="C417" s="18"/>
      <c r="D417" s="18"/>
      <c r="E417" s="18"/>
      <c r="F417" s="357"/>
      <c r="G417" s="433"/>
      <c r="H417" s="357"/>
      <c r="I417" s="357"/>
      <c r="J417" s="357"/>
      <c r="K417" s="357"/>
      <c r="L417" s="357"/>
      <c r="M417" s="426"/>
      <c r="N417" s="426"/>
      <c r="O417" s="426"/>
      <c r="P417" s="426"/>
      <c r="Q417" s="426"/>
      <c r="R417" s="426"/>
      <c r="S417" s="426"/>
    </row>
    <row r="418" spans="1:19" s="430" customFormat="1" ht="12.75" customHeight="1" thickBot="1">
      <c r="A418" s="411"/>
      <c r="B418" s="1336" t="s">
        <v>103</v>
      </c>
      <c r="C418" s="1337"/>
      <c r="D418" s="1338"/>
      <c r="E418" s="18"/>
      <c r="F418" s="357"/>
      <c r="G418" s="1374" t="s">
        <v>119</v>
      </c>
      <c r="H418" s="1368"/>
      <c r="I418" s="1243" t="s">
        <v>105</v>
      </c>
      <c r="J418" s="1365"/>
      <c r="K418" s="1366" t="s">
        <v>151</v>
      </c>
      <c r="L418" s="1375"/>
      <c r="M418" s="426"/>
      <c r="N418" s="426"/>
      <c r="O418" s="426"/>
      <c r="P418" s="426"/>
      <c r="Q418" s="426"/>
      <c r="R418" s="426"/>
      <c r="S418" s="426"/>
    </row>
    <row r="419" spans="1:19" s="430" customFormat="1" ht="12.75" customHeight="1">
      <c r="A419" s="411"/>
      <c r="B419" s="1283" t="s">
        <v>272</v>
      </c>
      <c r="C419" s="1174"/>
      <c r="D419" s="1284"/>
      <c r="E419" s="18"/>
      <c r="F419" s="357"/>
      <c r="G419" s="1419"/>
      <c r="H419" s="1409"/>
      <c r="I419" s="1408"/>
      <c r="J419" s="1409"/>
      <c r="K419" s="1420"/>
      <c r="L419" s="1421"/>
      <c r="M419" s="426"/>
      <c r="N419" s="426"/>
      <c r="O419" s="426"/>
      <c r="P419" s="426"/>
      <c r="Q419" s="426"/>
      <c r="R419" s="426"/>
      <c r="S419" s="426"/>
    </row>
    <row r="420" spans="1:19" s="430" customFormat="1" ht="12.75" customHeight="1">
      <c r="A420" s="411"/>
      <c r="B420" s="1283" t="s">
        <v>104</v>
      </c>
      <c r="C420" s="1174"/>
      <c r="D420" s="1284"/>
      <c r="E420" s="18"/>
      <c r="F420" s="357"/>
      <c r="G420" s="1319"/>
      <c r="H420" s="1320"/>
      <c r="I420" s="1406"/>
      <c r="J420" s="1320"/>
      <c r="K420" s="1406"/>
      <c r="L420" s="1407"/>
      <c r="M420" s="426"/>
      <c r="N420" s="426"/>
      <c r="O420" s="426"/>
      <c r="P420" s="426"/>
      <c r="Q420" s="426"/>
      <c r="R420" s="426"/>
      <c r="S420" s="426"/>
    </row>
    <row r="421" spans="1:19" s="430" customFormat="1" ht="12.75" customHeight="1">
      <c r="A421" s="411"/>
      <c r="B421" s="1283" t="s">
        <v>274</v>
      </c>
      <c r="C421" s="1174"/>
      <c r="D421" s="1284"/>
      <c r="E421" s="18"/>
      <c r="F421" s="357"/>
      <c r="G421" s="1319"/>
      <c r="H421" s="1320"/>
      <c r="I421" s="1406"/>
      <c r="J421" s="1320"/>
      <c r="K421" s="1406"/>
      <c r="L421" s="1407"/>
      <c r="M421" s="426"/>
      <c r="N421" s="426"/>
      <c r="O421" s="426"/>
      <c r="P421" s="426"/>
      <c r="Q421" s="426"/>
      <c r="R421" s="426"/>
      <c r="S421" s="426"/>
    </row>
    <row r="422" spans="1:19" s="430" customFormat="1" ht="12.75" customHeight="1">
      <c r="A422" s="411"/>
      <c r="B422" s="1283" t="s">
        <v>106</v>
      </c>
      <c r="C422" s="1174"/>
      <c r="D422" s="1284"/>
      <c r="E422" s="18"/>
      <c r="F422" s="357"/>
      <c r="G422" s="1319"/>
      <c r="H422" s="1320"/>
      <c r="I422" s="1406"/>
      <c r="J422" s="1320"/>
      <c r="K422" s="1406"/>
      <c r="L422" s="1407"/>
      <c r="M422" s="426"/>
      <c r="N422" s="426"/>
      <c r="O422" s="426"/>
      <c r="P422" s="426"/>
      <c r="Q422" s="426"/>
      <c r="R422" s="426"/>
      <c r="S422" s="426"/>
    </row>
    <row r="423" spans="1:19" s="430" customFormat="1" ht="12.75" customHeight="1">
      <c r="A423" s="411"/>
      <c r="B423" s="1283" t="s">
        <v>107</v>
      </c>
      <c r="C423" s="1174"/>
      <c r="D423" s="1284"/>
      <c r="E423" s="18"/>
      <c r="F423" s="357"/>
      <c r="G423" s="1319"/>
      <c r="H423" s="1320"/>
      <c r="I423" s="1406"/>
      <c r="J423" s="1320"/>
      <c r="K423" s="1406"/>
      <c r="L423" s="1407"/>
      <c r="M423" s="426"/>
      <c r="N423" s="426"/>
      <c r="O423" s="426"/>
      <c r="P423" s="426"/>
      <c r="Q423" s="426"/>
      <c r="R423" s="426"/>
      <c r="S423" s="426"/>
    </row>
    <row r="424" spans="1:19" s="430" customFormat="1" ht="12.75" customHeight="1">
      <c r="A424" s="411"/>
      <c r="B424" s="1283" t="s">
        <v>32</v>
      </c>
      <c r="C424" s="1174"/>
      <c r="D424" s="1284"/>
      <c r="E424" s="18"/>
      <c r="F424" s="357"/>
      <c r="G424" s="1319"/>
      <c r="H424" s="1320"/>
      <c r="I424" s="1406"/>
      <c r="J424" s="1320"/>
      <c r="K424" s="1321"/>
      <c r="L424" s="1329"/>
      <c r="M424" s="426"/>
      <c r="N424" s="426"/>
      <c r="O424" s="426"/>
      <c r="P424" s="426"/>
      <c r="Q424" s="426"/>
      <c r="R424" s="426"/>
      <c r="S424" s="426"/>
    </row>
    <row r="425" spans="1:19" s="430" customFormat="1" ht="12.75" customHeight="1">
      <c r="A425" s="411"/>
      <c r="B425" s="1283" t="s">
        <v>276</v>
      </c>
      <c r="C425" s="1174"/>
      <c r="D425" s="1284"/>
      <c r="E425" s="18"/>
      <c r="F425" s="357"/>
      <c r="G425" s="1319"/>
      <c r="H425" s="1320"/>
      <c r="I425" s="1406"/>
      <c r="J425" s="1320"/>
      <c r="K425" s="1321"/>
      <c r="L425" s="1329"/>
      <c r="M425" s="426"/>
      <c r="N425" s="426"/>
      <c r="O425" s="426"/>
      <c r="P425" s="426"/>
      <c r="Q425" s="426"/>
      <c r="R425" s="426"/>
      <c r="S425" s="426"/>
    </row>
    <row r="426" spans="1:19" s="430" customFormat="1" ht="12.75" customHeight="1">
      <c r="A426" s="411"/>
      <c r="B426" s="1283" t="s">
        <v>108</v>
      </c>
      <c r="C426" s="1174"/>
      <c r="D426" s="1284"/>
      <c r="E426" s="18"/>
      <c r="F426" s="357"/>
      <c r="G426" s="1319"/>
      <c r="H426" s="1320"/>
      <c r="I426" s="1321"/>
      <c r="J426" s="1322"/>
      <c r="K426" s="1321"/>
      <c r="L426" s="1329"/>
      <c r="M426" s="426"/>
      <c r="N426" s="426"/>
      <c r="O426" s="426"/>
      <c r="P426" s="426"/>
      <c r="Q426" s="426"/>
      <c r="R426" s="426"/>
      <c r="S426" s="426"/>
    </row>
    <row r="427" spans="1:19" s="430" customFormat="1" ht="12.75" customHeight="1">
      <c r="A427" s="411"/>
      <c r="B427" s="1283" t="s">
        <v>109</v>
      </c>
      <c r="C427" s="1174"/>
      <c r="D427" s="1284"/>
      <c r="E427" s="18"/>
      <c r="F427" s="357"/>
      <c r="G427" s="1319"/>
      <c r="H427" s="1320"/>
      <c r="I427" s="1321"/>
      <c r="J427" s="1322"/>
      <c r="K427" s="1321"/>
      <c r="L427" s="1329"/>
      <c r="M427" s="426"/>
      <c r="N427" s="426"/>
      <c r="O427" s="426"/>
      <c r="P427" s="426"/>
      <c r="Q427" s="426"/>
      <c r="R427" s="426"/>
      <c r="S427" s="426"/>
    </row>
    <row r="428" spans="1:19" s="430" customFormat="1" ht="12.75" customHeight="1">
      <c r="A428" s="411"/>
      <c r="B428" s="1283" t="s">
        <v>275</v>
      </c>
      <c r="C428" s="1174"/>
      <c r="D428" s="1284"/>
      <c r="E428" s="18"/>
      <c r="F428" s="357"/>
      <c r="G428" s="1319"/>
      <c r="H428" s="1320"/>
      <c r="I428" s="1321"/>
      <c r="J428" s="1322"/>
      <c r="K428" s="1321"/>
      <c r="L428" s="1329"/>
      <c r="M428" s="426"/>
      <c r="N428" s="426"/>
      <c r="O428" s="426"/>
      <c r="P428" s="426"/>
      <c r="Q428" s="426"/>
      <c r="R428" s="426"/>
      <c r="S428" s="426"/>
    </row>
    <row r="429" spans="1:19" s="430" customFormat="1" ht="12.75" customHeight="1">
      <c r="A429" s="411"/>
      <c r="B429" s="1283" t="s">
        <v>110</v>
      </c>
      <c r="C429" s="1174"/>
      <c r="D429" s="1284"/>
      <c r="E429" s="18"/>
      <c r="F429" s="357"/>
      <c r="G429" s="1319"/>
      <c r="H429" s="1320"/>
      <c r="I429" s="1321"/>
      <c r="J429" s="1322"/>
      <c r="K429" s="1321"/>
      <c r="L429" s="1329"/>
      <c r="M429" s="426"/>
      <c r="N429" s="426"/>
      <c r="O429" s="426"/>
      <c r="P429" s="426"/>
      <c r="Q429" s="426"/>
      <c r="R429" s="426"/>
      <c r="S429" s="426"/>
    </row>
    <row r="430" spans="1:19" s="430" customFormat="1" ht="12.75" customHeight="1" thickBot="1">
      <c r="A430" s="411"/>
      <c r="B430" s="1316" t="s">
        <v>273</v>
      </c>
      <c r="C430" s="1317"/>
      <c r="D430" s="1318"/>
      <c r="E430" s="18"/>
      <c r="F430" s="357"/>
      <c r="G430" s="1319"/>
      <c r="H430" s="1320"/>
      <c r="I430" s="1321"/>
      <c r="J430" s="1322"/>
      <c r="K430" s="1321"/>
      <c r="L430" s="1329"/>
      <c r="M430" s="426"/>
      <c r="N430" s="426"/>
      <c r="O430" s="426"/>
      <c r="P430" s="426"/>
      <c r="Q430" s="426"/>
      <c r="R430" s="426"/>
      <c r="S430" s="426"/>
    </row>
    <row r="431" spans="1:19" s="430" customFormat="1" ht="12.75" customHeight="1">
      <c r="A431" s="411"/>
      <c r="B431" s="378"/>
      <c r="C431" s="18"/>
      <c r="D431" s="18"/>
      <c r="E431" s="18"/>
      <c r="F431" s="357"/>
      <c r="G431" s="1319"/>
      <c r="H431" s="1320"/>
      <c r="I431" s="1321"/>
      <c r="J431" s="1322"/>
      <c r="K431" s="1321"/>
      <c r="L431" s="1329"/>
      <c r="M431" s="426"/>
      <c r="N431" s="426"/>
      <c r="O431" s="426"/>
      <c r="P431" s="426"/>
      <c r="Q431" s="426"/>
      <c r="R431" s="426"/>
      <c r="S431" s="426"/>
    </row>
    <row r="432" spans="1:19" s="430" customFormat="1" ht="12.75" customHeight="1" thickBot="1">
      <c r="A432" s="411"/>
      <c r="B432" s="281" t="s">
        <v>184</v>
      </c>
      <c r="C432" s="215"/>
      <c r="D432" s="215"/>
      <c r="E432" s="18"/>
      <c r="F432" s="357"/>
      <c r="G432" s="1342"/>
      <c r="H432" s="1343"/>
      <c r="I432" s="1339"/>
      <c r="J432" s="1340"/>
      <c r="K432" s="1339"/>
      <c r="L432" s="1341"/>
      <c r="M432" s="426"/>
      <c r="N432" s="426"/>
      <c r="O432" s="426"/>
      <c r="P432" s="426"/>
      <c r="Q432" s="426"/>
      <c r="R432" s="426"/>
      <c r="S432" s="426"/>
    </row>
    <row r="433" spans="1:19" s="430" customFormat="1" ht="12.75" customHeight="1" thickBot="1">
      <c r="A433" s="411"/>
      <c r="B433" s="281"/>
      <c r="C433" s="215"/>
      <c r="D433" s="215"/>
      <c r="E433" s="18"/>
      <c r="F433" s="357"/>
      <c r="G433" s="357"/>
      <c r="H433" s="357"/>
      <c r="I433" s="357"/>
      <c r="J433" s="357"/>
      <c r="K433" s="357"/>
      <c r="L433" s="357"/>
      <c r="M433" s="426"/>
      <c r="N433" s="426"/>
      <c r="O433" s="426"/>
      <c r="P433" s="426"/>
      <c r="Q433" s="426"/>
      <c r="R433" s="426"/>
      <c r="S433" s="426"/>
    </row>
    <row r="434" spans="1:19" s="430" customFormat="1" ht="12.75" customHeight="1">
      <c r="A434" s="411"/>
      <c r="B434" s="1336" t="s">
        <v>111</v>
      </c>
      <c r="C434" s="1337"/>
      <c r="D434" s="1338"/>
      <c r="E434" s="18"/>
      <c r="F434" s="357"/>
      <c r="G434" s="357"/>
      <c r="H434" s="357"/>
      <c r="I434" s="357"/>
      <c r="J434" s="357"/>
      <c r="K434" s="357"/>
      <c r="L434" s="357"/>
      <c r="M434" s="426"/>
      <c r="N434" s="426"/>
      <c r="O434" s="426"/>
      <c r="P434" s="426"/>
      <c r="Q434" s="426"/>
      <c r="R434" s="426"/>
      <c r="S434" s="426"/>
    </row>
    <row r="435" spans="1:19" s="430" customFormat="1" ht="12.75" customHeight="1" thickBot="1">
      <c r="A435" s="411"/>
      <c r="B435" s="1316" t="s">
        <v>112</v>
      </c>
      <c r="C435" s="1317"/>
      <c r="D435" s="1318"/>
      <c r="E435" s="18"/>
      <c r="F435" s="357"/>
      <c r="G435" s="357"/>
      <c r="H435" s="357"/>
      <c r="I435" s="357"/>
      <c r="J435" s="357"/>
      <c r="K435" s="357"/>
      <c r="L435" s="357"/>
      <c r="M435" s="426"/>
      <c r="N435" s="426"/>
      <c r="O435" s="426"/>
      <c r="P435" s="426"/>
      <c r="Q435" s="426"/>
      <c r="R435" s="426"/>
      <c r="S435" s="426"/>
    </row>
    <row r="436" spans="1:19" s="430" customFormat="1" ht="12.75" customHeight="1">
      <c r="A436" s="411"/>
      <c r="B436" s="378"/>
      <c r="C436" s="215"/>
      <c r="D436" s="215"/>
      <c r="E436" s="18"/>
      <c r="F436" s="357"/>
      <c r="G436" s="357"/>
      <c r="H436" s="367"/>
      <c r="I436" s="367"/>
      <c r="J436" s="367"/>
      <c r="K436" s="357"/>
      <c r="L436" s="357"/>
      <c r="M436" s="426"/>
      <c r="N436" s="426"/>
      <c r="O436" s="426"/>
      <c r="P436" s="426"/>
      <c r="Q436" s="426"/>
      <c r="R436" s="426"/>
      <c r="S436" s="426"/>
    </row>
    <row r="437" spans="1:19" s="430" customFormat="1" ht="12.75" customHeight="1">
      <c r="A437" s="411"/>
      <c r="B437" s="281" t="s">
        <v>113</v>
      </c>
      <c r="C437" s="215"/>
      <c r="D437" s="215"/>
      <c r="E437" s="18"/>
      <c r="F437" s="357"/>
      <c r="G437" s="357"/>
      <c r="H437" s="367"/>
      <c r="I437" s="367"/>
      <c r="J437" s="367"/>
      <c r="K437" s="357"/>
      <c r="L437" s="357"/>
      <c r="M437" s="426"/>
      <c r="N437" s="426"/>
      <c r="O437" s="426"/>
      <c r="P437" s="426"/>
      <c r="Q437" s="426"/>
      <c r="R437" s="426"/>
      <c r="S437" s="426"/>
    </row>
    <row r="438" spans="1:19" s="430" customFormat="1" ht="12.75" customHeight="1" thickBot="1">
      <c r="A438" s="411"/>
      <c r="B438" s="281"/>
      <c r="C438" s="215"/>
      <c r="D438" s="215"/>
      <c r="E438" s="18"/>
      <c r="F438" s="357"/>
      <c r="G438" s="357"/>
      <c r="H438" s="1344"/>
      <c r="I438" s="1344"/>
      <c r="J438" s="1344"/>
      <c r="K438" s="357"/>
      <c r="L438" s="357"/>
      <c r="M438" s="426"/>
      <c r="N438" s="426"/>
      <c r="O438" s="426"/>
      <c r="P438" s="426"/>
      <c r="Q438" s="426"/>
      <c r="R438" s="426"/>
      <c r="S438" s="426"/>
    </row>
    <row r="439" spans="1:19" s="430" customFormat="1" ht="12.75" customHeight="1">
      <c r="A439" s="411"/>
      <c r="B439" s="1336" t="s">
        <v>284</v>
      </c>
      <c r="C439" s="1337"/>
      <c r="D439" s="1338"/>
      <c r="E439" s="18"/>
      <c r="F439" s="357"/>
      <c r="G439" s="357"/>
      <c r="H439" s="1344"/>
      <c r="I439" s="1344"/>
      <c r="J439" s="1344"/>
      <c r="K439" s="357"/>
      <c r="L439" s="357"/>
      <c r="M439" s="426"/>
      <c r="N439" s="426"/>
      <c r="O439" s="426"/>
      <c r="P439" s="426"/>
      <c r="Q439" s="426"/>
      <c r="R439" s="426"/>
      <c r="S439" s="426"/>
    </row>
    <row r="440" spans="1:19" s="430" customFormat="1" ht="12.75" customHeight="1">
      <c r="A440" s="411"/>
      <c r="B440" s="1283" t="s">
        <v>23</v>
      </c>
      <c r="C440" s="1174"/>
      <c r="D440" s="1284"/>
      <c r="E440" s="18"/>
      <c r="F440" s="357"/>
      <c r="G440" s="357"/>
      <c r="H440" s="1344"/>
      <c r="I440" s="1344"/>
      <c r="J440" s="1344"/>
      <c r="K440" s="357"/>
      <c r="L440" s="357"/>
      <c r="M440" s="426"/>
      <c r="N440" s="426"/>
      <c r="O440" s="426"/>
      <c r="P440" s="426"/>
      <c r="Q440" s="426"/>
      <c r="R440" s="426"/>
      <c r="S440" s="426"/>
    </row>
    <row r="441" spans="1:19" s="430" customFormat="1" ht="12.75" customHeight="1">
      <c r="A441" s="411"/>
      <c r="B441" s="1283" t="s">
        <v>24</v>
      </c>
      <c r="C441" s="1174"/>
      <c r="D441" s="1284"/>
      <c r="E441" s="18"/>
      <c r="F441" s="357"/>
      <c r="G441" s="357"/>
      <c r="H441" s="1344"/>
      <c r="I441" s="1344"/>
      <c r="J441" s="1344"/>
      <c r="K441" s="357"/>
      <c r="L441" s="357"/>
      <c r="M441" s="426"/>
      <c r="N441" s="426"/>
      <c r="O441" s="426"/>
      <c r="P441" s="426"/>
      <c r="Q441" s="426"/>
      <c r="R441" s="426"/>
      <c r="S441" s="426"/>
    </row>
    <row r="442" spans="1:19" s="430" customFormat="1" ht="12.75" customHeight="1">
      <c r="A442" s="411"/>
      <c r="B442" s="1283" t="s">
        <v>114</v>
      </c>
      <c r="C442" s="1174"/>
      <c r="D442" s="1284"/>
      <c r="E442" s="18"/>
      <c r="F442" s="357"/>
      <c r="G442" s="357"/>
      <c r="H442" s="1344"/>
      <c r="I442" s="1344"/>
      <c r="J442" s="1344"/>
      <c r="K442" s="357"/>
      <c r="L442" s="357"/>
      <c r="M442" s="426"/>
      <c r="N442" s="426"/>
      <c r="O442" s="426"/>
      <c r="P442" s="426"/>
      <c r="Q442" s="426"/>
      <c r="R442" s="426"/>
      <c r="S442" s="426"/>
    </row>
    <row r="443" spans="1:19" s="430" customFormat="1" ht="12.75" customHeight="1">
      <c r="A443" s="411"/>
      <c r="B443" s="1283" t="s">
        <v>35</v>
      </c>
      <c r="C443" s="1174"/>
      <c r="D443" s="1284"/>
      <c r="E443" s="18"/>
      <c r="F443" s="357"/>
      <c r="G443" s="357"/>
      <c r="H443" s="1344"/>
      <c r="I443" s="1344"/>
      <c r="J443" s="1344"/>
      <c r="K443" s="357"/>
      <c r="L443" s="357"/>
      <c r="M443" s="426"/>
      <c r="N443" s="426"/>
      <c r="O443" s="426"/>
      <c r="P443" s="426"/>
      <c r="Q443" s="426"/>
      <c r="R443" s="426"/>
      <c r="S443" s="426"/>
    </row>
    <row r="444" spans="1:19" s="430" customFormat="1" ht="12.75" customHeight="1">
      <c r="A444" s="411"/>
      <c r="B444" s="1283" t="s">
        <v>285</v>
      </c>
      <c r="C444" s="1174"/>
      <c r="D444" s="1284"/>
      <c r="E444" s="18"/>
      <c r="F444" s="357"/>
      <c r="G444" s="357"/>
      <c r="H444" s="1344"/>
      <c r="I444" s="1344"/>
      <c r="J444" s="1344"/>
      <c r="K444" s="357"/>
      <c r="L444" s="357"/>
      <c r="M444" s="426"/>
      <c r="N444" s="426"/>
      <c r="O444" s="426"/>
      <c r="P444" s="426"/>
      <c r="Q444" s="426"/>
      <c r="R444" s="426"/>
      <c r="S444" s="426"/>
    </row>
    <row r="445" spans="1:19" s="430" customFormat="1" ht="12.75" customHeight="1">
      <c r="A445" s="411"/>
      <c r="B445" s="1283" t="s">
        <v>286</v>
      </c>
      <c r="C445" s="1174"/>
      <c r="D445" s="1284"/>
      <c r="E445" s="18"/>
      <c r="F445" s="357"/>
      <c r="G445" s="357"/>
      <c r="H445" s="1344"/>
      <c r="I445" s="1344"/>
      <c r="J445" s="1344"/>
      <c r="K445" s="357"/>
      <c r="L445" s="357"/>
      <c r="M445" s="426"/>
      <c r="N445" s="426"/>
      <c r="O445" s="426"/>
      <c r="P445" s="426"/>
      <c r="Q445" s="426"/>
      <c r="R445" s="426"/>
      <c r="S445" s="426"/>
    </row>
    <row r="446" spans="1:19" s="430" customFormat="1" ht="12.75" customHeight="1" thickBot="1">
      <c r="A446" s="411"/>
      <c r="B446" s="1316" t="s">
        <v>262</v>
      </c>
      <c r="C446" s="1317"/>
      <c r="D446" s="1318"/>
      <c r="E446" s="18"/>
      <c r="F446" s="357"/>
      <c r="G446" s="357"/>
      <c r="H446" s="1344"/>
      <c r="I446" s="1344"/>
      <c r="J446" s="1344"/>
      <c r="K446" s="357"/>
      <c r="L446" s="357"/>
      <c r="M446" s="426"/>
      <c r="N446" s="426"/>
      <c r="O446" s="426"/>
      <c r="P446" s="426"/>
      <c r="Q446" s="426"/>
      <c r="R446" s="426"/>
      <c r="S446" s="426"/>
    </row>
    <row r="447" spans="1:19" s="430" customFormat="1" ht="12.75" customHeight="1">
      <c r="A447" s="411"/>
      <c r="B447" s="432"/>
      <c r="C447" s="394"/>
      <c r="D447" s="394"/>
      <c r="E447" s="394"/>
      <c r="F447" s="410"/>
      <c r="G447" s="410"/>
      <c r="H447" s="426"/>
      <c r="I447" s="426"/>
      <c r="J447" s="426"/>
      <c r="K447" s="426"/>
      <c r="L447" s="426"/>
      <c r="M447" s="426"/>
      <c r="N447" s="426"/>
      <c r="O447" s="426"/>
      <c r="P447" s="426"/>
      <c r="Q447" s="426"/>
      <c r="R447" s="426"/>
      <c r="S447" s="426"/>
    </row>
  </sheetData>
  <sheetProtection formatCells="0" formatColumns="0" formatRows="0"/>
  <customSheetViews>
    <customSheetView guid="{B6007CFB-3D06-43CC-8EB0-042D40129E35}" scale="80" showPageBreaks="1" showGridLines="0" printArea="1" topLeftCell="A55">
      <selection activeCell="O203" sqref="O203"/>
      <rowBreaks count="4" manualBreakCount="4">
        <brk id="44" max="16383" man="1"/>
        <brk id="750" max="16383" man="1"/>
        <brk id="786" max="16383" man="1"/>
        <brk id="811" max="16383" man="1"/>
      </rowBreaks>
      <pageMargins left="0.70866141732283472" right="0.70866141732283472" top="0.74803149606299213" bottom="0.74803149606299213" header="0.31496062992125984" footer="0.31496062992125984"/>
      <pageSetup paperSize="9" scale="47" orientation="landscape" r:id="rId1"/>
    </customSheetView>
  </customSheetViews>
  <mergeCells count="561">
    <mergeCell ref="N278:N297"/>
    <mergeCell ref="O278:O297"/>
    <mergeCell ref="F299:G299"/>
    <mergeCell ref="H299:I299"/>
    <mergeCell ref="J299:K299"/>
    <mergeCell ref="N301:N320"/>
    <mergeCell ref="O301:O320"/>
    <mergeCell ref="B94:B113"/>
    <mergeCell ref="B117:B136"/>
    <mergeCell ref="B140:B159"/>
    <mergeCell ref="B163:B182"/>
    <mergeCell ref="B186:B205"/>
    <mergeCell ref="B209:B228"/>
    <mergeCell ref="B232:B251"/>
    <mergeCell ref="B255:B274"/>
    <mergeCell ref="B278:B297"/>
    <mergeCell ref="B301:B320"/>
    <mergeCell ref="N232:N251"/>
    <mergeCell ref="O232:O251"/>
    <mergeCell ref="F253:G253"/>
    <mergeCell ref="H253:I253"/>
    <mergeCell ref="J253:K253"/>
    <mergeCell ref="N255:N274"/>
    <mergeCell ref="O255:O274"/>
    <mergeCell ref="F161:G161"/>
    <mergeCell ref="H161:I161"/>
    <mergeCell ref="J161:K161"/>
    <mergeCell ref="N163:N182"/>
    <mergeCell ref="O163:O182"/>
    <mergeCell ref="F184:G184"/>
    <mergeCell ref="H184:I184"/>
    <mergeCell ref="F276:G276"/>
    <mergeCell ref="H276:I276"/>
    <mergeCell ref="J276:K276"/>
    <mergeCell ref="J184:K184"/>
    <mergeCell ref="N186:N205"/>
    <mergeCell ref="O186:O205"/>
    <mergeCell ref="F207:G207"/>
    <mergeCell ref="H207:I207"/>
    <mergeCell ref="J207:K207"/>
    <mergeCell ref="N209:N228"/>
    <mergeCell ref="O209:O228"/>
    <mergeCell ref="F230:G230"/>
    <mergeCell ref="H230:I230"/>
    <mergeCell ref="J230:K230"/>
    <mergeCell ref="F115:G115"/>
    <mergeCell ref="H115:I115"/>
    <mergeCell ref="J115:K115"/>
    <mergeCell ref="N117:N136"/>
    <mergeCell ref="O117:O136"/>
    <mergeCell ref="F138:G138"/>
    <mergeCell ref="H138:I138"/>
    <mergeCell ref="J138:K138"/>
    <mergeCell ref="N140:N159"/>
    <mergeCell ref="O140:O159"/>
    <mergeCell ref="D337:G337"/>
    <mergeCell ref="B337:C337"/>
    <mergeCell ref="H336:L336"/>
    <mergeCell ref="D336:G336"/>
    <mergeCell ref="B336:C336"/>
    <mergeCell ref="D330:G330"/>
    <mergeCell ref="B330:C330"/>
    <mergeCell ref="S324:U324"/>
    <mergeCell ref="N324:P324"/>
    <mergeCell ref="K408:L408"/>
    <mergeCell ref="K409:L409"/>
    <mergeCell ref="H398:J398"/>
    <mergeCell ref="H399:J399"/>
    <mergeCell ref="H400:J400"/>
    <mergeCell ref="H401:J401"/>
    <mergeCell ref="H402:J402"/>
    <mergeCell ref="H403:J403"/>
    <mergeCell ref="H404:J404"/>
    <mergeCell ref="H405:J405"/>
    <mergeCell ref="H406:J406"/>
    <mergeCell ref="H407:J407"/>
    <mergeCell ref="H408:J408"/>
    <mergeCell ref="H409:J409"/>
    <mergeCell ref="K387:L387"/>
    <mergeCell ref="K388:L388"/>
    <mergeCell ref="K389:L389"/>
    <mergeCell ref="K390:L390"/>
    <mergeCell ref="K391:L391"/>
    <mergeCell ref="K392:L392"/>
    <mergeCell ref="K393:L393"/>
    <mergeCell ref="K394:L394"/>
    <mergeCell ref="K398:L398"/>
    <mergeCell ref="K395:L395"/>
    <mergeCell ref="K396:L396"/>
    <mergeCell ref="K397:L397"/>
    <mergeCell ref="K378:L378"/>
    <mergeCell ref="K379:L379"/>
    <mergeCell ref="K380:L380"/>
    <mergeCell ref="K381:L381"/>
    <mergeCell ref="K382:L382"/>
    <mergeCell ref="K383:L383"/>
    <mergeCell ref="K384:L384"/>
    <mergeCell ref="K385:L385"/>
    <mergeCell ref="K386:L386"/>
    <mergeCell ref="B408:D408"/>
    <mergeCell ref="E408:F408"/>
    <mergeCell ref="B409:D409"/>
    <mergeCell ref="E409:F409"/>
    <mergeCell ref="B377:D377"/>
    <mergeCell ref="E378:F378"/>
    <mergeCell ref="H378:J378"/>
    <mergeCell ref="H379:J379"/>
    <mergeCell ref="H380:J380"/>
    <mergeCell ref="H381:J381"/>
    <mergeCell ref="H382:J382"/>
    <mergeCell ref="H383:J383"/>
    <mergeCell ref="H384:J384"/>
    <mergeCell ref="H385:J385"/>
    <mergeCell ref="H386:J386"/>
    <mergeCell ref="H387:J387"/>
    <mergeCell ref="H388:J388"/>
    <mergeCell ref="H389:J389"/>
    <mergeCell ref="H390:J390"/>
    <mergeCell ref="H391:J391"/>
    <mergeCell ref="H392:J392"/>
    <mergeCell ref="H393:J393"/>
    <mergeCell ref="H394:J394"/>
    <mergeCell ref="B405:D405"/>
    <mergeCell ref="E405:F405"/>
    <mergeCell ref="B406:D406"/>
    <mergeCell ref="E406:F406"/>
    <mergeCell ref="B407:D407"/>
    <mergeCell ref="E407:F407"/>
    <mergeCell ref="K399:L399"/>
    <mergeCell ref="K400:L400"/>
    <mergeCell ref="K401:L401"/>
    <mergeCell ref="K402:L402"/>
    <mergeCell ref="K403:L403"/>
    <mergeCell ref="K404:L404"/>
    <mergeCell ref="K405:L405"/>
    <mergeCell ref="K406:L406"/>
    <mergeCell ref="K407:L407"/>
    <mergeCell ref="B398:D398"/>
    <mergeCell ref="E398:F398"/>
    <mergeCell ref="B399:D399"/>
    <mergeCell ref="E399:F399"/>
    <mergeCell ref="B400:D400"/>
    <mergeCell ref="E400:F400"/>
    <mergeCell ref="B401:D401"/>
    <mergeCell ref="E401:F401"/>
    <mergeCell ref="B402:D402"/>
    <mergeCell ref="E402:F402"/>
    <mergeCell ref="B394:D394"/>
    <mergeCell ref="E394:F394"/>
    <mergeCell ref="B395:D395"/>
    <mergeCell ref="E395:F395"/>
    <mergeCell ref="H395:J395"/>
    <mergeCell ref="H396:J396"/>
    <mergeCell ref="H397:J397"/>
    <mergeCell ref="B396:D396"/>
    <mergeCell ref="E396:F396"/>
    <mergeCell ref="B397:D397"/>
    <mergeCell ref="E397:F397"/>
    <mergeCell ref="E389:F389"/>
    <mergeCell ref="B390:D390"/>
    <mergeCell ref="E390:F390"/>
    <mergeCell ref="B391:D391"/>
    <mergeCell ref="E391:F391"/>
    <mergeCell ref="B392:D392"/>
    <mergeCell ref="E392:F392"/>
    <mergeCell ref="B393:D393"/>
    <mergeCell ref="E393:F393"/>
    <mergeCell ref="E377:F377"/>
    <mergeCell ref="B379:D379"/>
    <mergeCell ref="E379:F379"/>
    <mergeCell ref="B380:D380"/>
    <mergeCell ref="E380:F380"/>
    <mergeCell ref="B381:D381"/>
    <mergeCell ref="E381:F381"/>
    <mergeCell ref="B383:D383"/>
    <mergeCell ref="E383:F383"/>
    <mergeCell ref="B428:D428"/>
    <mergeCell ref="B429:D429"/>
    <mergeCell ref="K420:L420"/>
    <mergeCell ref="B421:D421"/>
    <mergeCell ref="G421:H421"/>
    <mergeCell ref="B88:F88"/>
    <mergeCell ref="G88:L88"/>
    <mergeCell ref="G426:H426"/>
    <mergeCell ref="I426:J426"/>
    <mergeCell ref="K426:L426"/>
    <mergeCell ref="B419:D419"/>
    <mergeCell ref="G419:H419"/>
    <mergeCell ref="K418:L418"/>
    <mergeCell ref="B427:D427"/>
    <mergeCell ref="K419:L419"/>
    <mergeCell ref="B420:D420"/>
    <mergeCell ref="G420:H420"/>
    <mergeCell ref="K373:L373"/>
    <mergeCell ref="B374:D374"/>
    <mergeCell ref="K374:L374"/>
    <mergeCell ref="B375:D375"/>
    <mergeCell ref="E375:F375"/>
    <mergeCell ref="K375:L375"/>
    <mergeCell ref="B378:D378"/>
    <mergeCell ref="K422:L422"/>
    <mergeCell ref="G414:L414"/>
    <mergeCell ref="G416:I416"/>
    <mergeCell ref="B418:D418"/>
    <mergeCell ref="G418:H418"/>
    <mergeCell ref="I418:J418"/>
    <mergeCell ref="B382:D382"/>
    <mergeCell ref="E382:F382"/>
    <mergeCell ref="B426:D426"/>
    <mergeCell ref="B384:D384"/>
    <mergeCell ref="E384:F384"/>
    <mergeCell ref="B385:D385"/>
    <mergeCell ref="E385:F385"/>
    <mergeCell ref="B386:D386"/>
    <mergeCell ref="E386:F386"/>
    <mergeCell ref="B403:D403"/>
    <mergeCell ref="E403:F403"/>
    <mergeCell ref="B404:D404"/>
    <mergeCell ref="E404:F404"/>
    <mergeCell ref="B387:D387"/>
    <mergeCell ref="E387:F387"/>
    <mergeCell ref="B388:D388"/>
    <mergeCell ref="E388:F388"/>
    <mergeCell ref="B389:D389"/>
    <mergeCell ref="K424:L424"/>
    <mergeCell ref="B425:D425"/>
    <mergeCell ref="G425:H425"/>
    <mergeCell ref="I425:J425"/>
    <mergeCell ref="K425:L425"/>
    <mergeCell ref="H373:J373"/>
    <mergeCell ref="I421:J421"/>
    <mergeCell ref="K421:L421"/>
    <mergeCell ref="B422:D422"/>
    <mergeCell ref="I420:J420"/>
    <mergeCell ref="B423:D423"/>
    <mergeCell ref="G423:H423"/>
    <mergeCell ref="I419:J419"/>
    <mergeCell ref="I423:J423"/>
    <mergeCell ref="K423:L423"/>
    <mergeCell ref="B424:D424"/>
    <mergeCell ref="G424:H424"/>
    <mergeCell ref="I424:J424"/>
    <mergeCell ref="K377:L377"/>
    <mergeCell ref="B410:D410"/>
    <mergeCell ref="E410:F410"/>
    <mergeCell ref="K410:L410"/>
    <mergeCell ref="G422:H422"/>
    <mergeCell ref="I422:J422"/>
    <mergeCell ref="E371:F371"/>
    <mergeCell ref="H371:J371"/>
    <mergeCell ref="K371:L371"/>
    <mergeCell ref="B370:D370"/>
    <mergeCell ref="E370:F370"/>
    <mergeCell ref="H370:J370"/>
    <mergeCell ref="B376:D376"/>
    <mergeCell ref="E376:F376"/>
    <mergeCell ref="B372:D372"/>
    <mergeCell ref="E372:F372"/>
    <mergeCell ref="H372:J372"/>
    <mergeCell ref="E374:F374"/>
    <mergeCell ref="K372:L372"/>
    <mergeCell ref="K376:L376"/>
    <mergeCell ref="H374:J374"/>
    <mergeCell ref="H375:J375"/>
    <mergeCell ref="H376:J376"/>
    <mergeCell ref="H377:J377"/>
    <mergeCell ref="H410:J410"/>
    <mergeCell ref="B373:D373"/>
    <mergeCell ref="E373:F373"/>
    <mergeCell ref="B360:C360"/>
    <mergeCell ref="D360:G360"/>
    <mergeCell ref="H360:L360"/>
    <mergeCell ref="H364:L364"/>
    <mergeCell ref="B366:D366"/>
    <mergeCell ref="E366:F366"/>
    <mergeCell ref="K367:L367"/>
    <mergeCell ref="B368:D368"/>
    <mergeCell ref="E368:F368"/>
    <mergeCell ref="H368:J368"/>
    <mergeCell ref="K368:L368"/>
    <mergeCell ref="B369:D369"/>
    <mergeCell ref="E369:F369"/>
    <mergeCell ref="H369:J369"/>
    <mergeCell ref="K369:L369"/>
    <mergeCell ref="B367:D367"/>
    <mergeCell ref="E367:F367"/>
    <mergeCell ref="H367:J367"/>
    <mergeCell ref="K370:L370"/>
    <mergeCell ref="B371:D371"/>
    <mergeCell ref="H366:J366"/>
    <mergeCell ref="K366:L366"/>
    <mergeCell ref="B364:F364"/>
    <mergeCell ref="B358:C358"/>
    <mergeCell ref="D358:G358"/>
    <mergeCell ref="H358:L358"/>
    <mergeCell ref="B359:C359"/>
    <mergeCell ref="D359:G359"/>
    <mergeCell ref="H359:L359"/>
    <mergeCell ref="B355:C355"/>
    <mergeCell ref="D355:G355"/>
    <mergeCell ref="H355:L355"/>
    <mergeCell ref="B356:C356"/>
    <mergeCell ref="D356:G356"/>
    <mergeCell ref="H356:L356"/>
    <mergeCell ref="B357:C357"/>
    <mergeCell ref="D357:G357"/>
    <mergeCell ref="H357:L357"/>
    <mergeCell ref="B349:C349"/>
    <mergeCell ref="D349:G349"/>
    <mergeCell ref="H349:L349"/>
    <mergeCell ref="B350:C350"/>
    <mergeCell ref="D350:G350"/>
    <mergeCell ref="H350:L350"/>
    <mergeCell ref="H353:L353"/>
    <mergeCell ref="B354:C354"/>
    <mergeCell ref="D354:G354"/>
    <mergeCell ref="H354:L354"/>
    <mergeCell ref="B351:C351"/>
    <mergeCell ref="D351:G351"/>
    <mergeCell ref="H351:L351"/>
    <mergeCell ref="B352:C352"/>
    <mergeCell ref="D352:G352"/>
    <mergeCell ref="H352:L352"/>
    <mergeCell ref="B353:C353"/>
    <mergeCell ref="D353:G353"/>
    <mergeCell ref="B346:C346"/>
    <mergeCell ref="D346:G346"/>
    <mergeCell ref="H346:L346"/>
    <mergeCell ref="B347:C347"/>
    <mergeCell ref="D347:G347"/>
    <mergeCell ref="H347:L347"/>
    <mergeCell ref="B348:C348"/>
    <mergeCell ref="D348:G348"/>
    <mergeCell ref="H348:L348"/>
    <mergeCell ref="M76:N76"/>
    <mergeCell ref="B77:F77"/>
    <mergeCell ref="G77:L77"/>
    <mergeCell ref="M77:N77"/>
    <mergeCell ref="B81:L81"/>
    <mergeCell ref="G72:L72"/>
    <mergeCell ref="B73:F73"/>
    <mergeCell ref="G73:L73"/>
    <mergeCell ref="M73:N73"/>
    <mergeCell ref="B69:F69"/>
    <mergeCell ref="G69:L69"/>
    <mergeCell ref="B76:F76"/>
    <mergeCell ref="G76:L76"/>
    <mergeCell ref="B67:F67"/>
    <mergeCell ref="G67:L67"/>
    <mergeCell ref="B70:F70"/>
    <mergeCell ref="B86:O86"/>
    <mergeCell ref="M74:N74"/>
    <mergeCell ref="B74:F74"/>
    <mergeCell ref="G74:L74"/>
    <mergeCell ref="B75:F75"/>
    <mergeCell ref="G75:L75"/>
    <mergeCell ref="M75:N75"/>
    <mergeCell ref="G68:L68"/>
    <mergeCell ref="M68:N68"/>
    <mergeCell ref="M69:N69"/>
    <mergeCell ref="M70:N70"/>
    <mergeCell ref="B71:F71"/>
    <mergeCell ref="G71:L71"/>
    <mergeCell ref="M71:N71"/>
    <mergeCell ref="B72:F72"/>
    <mergeCell ref="M72:N72"/>
    <mergeCell ref="G70:L70"/>
    <mergeCell ref="M62:N62"/>
    <mergeCell ref="B63:F63"/>
    <mergeCell ref="G63:L63"/>
    <mergeCell ref="M63:N63"/>
    <mergeCell ref="B64:F64"/>
    <mergeCell ref="G64:L64"/>
    <mergeCell ref="M64:N64"/>
    <mergeCell ref="M65:N65"/>
    <mergeCell ref="M66:N66"/>
    <mergeCell ref="B62:F62"/>
    <mergeCell ref="G62:L62"/>
    <mergeCell ref="B66:F66"/>
    <mergeCell ref="G66:L66"/>
    <mergeCell ref="B65:F65"/>
    <mergeCell ref="G65:L65"/>
    <mergeCell ref="G56:L56"/>
    <mergeCell ref="B57:F57"/>
    <mergeCell ref="G57:L57"/>
    <mergeCell ref="B58:F58"/>
    <mergeCell ref="G58:L58"/>
    <mergeCell ref="B59:F59"/>
    <mergeCell ref="G59:L59"/>
    <mergeCell ref="B60:F60"/>
    <mergeCell ref="G60:L60"/>
    <mergeCell ref="D22:E22"/>
    <mergeCell ref="F22:H22"/>
    <mergeCell ref="B53:F53"/>
    <mergeCell ref="G53:L53"/>
    <mergeCell ref="B49:F49"/>
    <mergeCell ref="B24:J24"/>
    <mergeCell ref="B32:J32"/>
    <mergeCell ref="I22:J22"/>
    <mergeCell ref="D16:E16"/>
    <mergeCell ref="F16:H16"/>
    <mergeCell ref="I16:J16"/>
    <mergeCell ref="D17:E17"/>
    <mergeCell ref="F17:H17"/>
    <mergeCell ref="I17:J17"/>
    <mergeCell ref="D18:E18"/>
    <mergeCell ref="F18:H18"/>
    <mergeCell ref="I18:J18"/>
    <mergeCell ref="D19:E19"/>
    <mergeCell ref="D21:E21"/>
    <mergeCell ref="F21:H21"/>
    <mergeCell ref="B345:C345"/>
    <mergeCell ref="D345:G345"/>
    <mergeCell ref="H345:L345"/>
    <mergeCell ref="H330:L330"/>
    <mergeCell ref="B324:M324"/>
    <mergeCell ref="B45:F45"/>
    <mergeCell ref="G45:L45"/>
    <mergeCell ref="B46:F46"/>
    <mergeCell ref="G46:L46"/>
    <mergeCell ref="B47:F47"/>
    <mergeCell ref="G47:L47"/>
    <mergeCell ref="B48:F48"/>
    <mergeCell ref="G48:L48"/>
    <mergeCell ref="G49:L49"/>
    <mergeCell ref="B50:F50"/>
    <mergeCell ref="G50:L50"/>
    <mergeCell ref="B51:F51"/>
    <mergeCell ref="G51:L51"/>
    <mergeCell ref="B52:F52"/>
    <mergeCell ref="G52:L52"/>
    <mergeCell ref="B54:F54"/>
    <mergeCell ref="G54:L54"/>
    <mergeCell ref="M67:N67"/>
    <mergeCell ref="B68:F68"/>
    <mergeCell ref="B446:D446"/>
    <mergeCell ref="B434:D434"/>
    <mergeCell ref="B435:D435"/>
    <mergeCell ref="B439:D439"/>
    <mergeCell ref="B440:D440"/>
    <mergeCell ref="I432:J432"/>
    <mergeCell ref="K432:L432"/>
    <mergeCell ref="B441:D441"/>
    <mergeCell ref="B443:D443"/>
    <mergeCell ref="B444:D444"/>
    <mergeCell ref="B445:D445"/>
    <mergeCell ref="G432:H432"/>
    <mergeCell ref="H446:J446"/>
    <mergeCell ref="B442:D442"/>
    <mergeCell ref="H438:J438"/>
    <mergeCell ref="H439:J439"/>
    <mergeCell ref="H440:J440"/>
    <mergeCell ref="H441:J441"/>
    <mergeCell ref="H442:J442"/>
    <mergeCell ref="H443:J443"/>
    <mergeCell ref="H444:J444"/>
    <mergeCell ref="H445:J445"/>
    <mergeCell ref="B331:C331"/>
    <mergeCell ref="D331:G331"/>
    <mergeCell ref="H331:L331"/>
    <mergeCell ref="B332:C332"/>
    <mergeCell ref="D332:G332"/>
    <mergeCell ref="H332:L332"/>
    <mergeCell ref="H343:L343"/>
    <mergeCell ref="B344:C344"/>
    <mergeCell ref="D344:G344"/>
    <mergeCell ref="H344:L344"/>
    <mergeCell ref="B341:C341"/>
    <mergeCell ref="D341:G341"/>
    <mergeCell ref="H341:L341"/>
    <mergeCell ref="D342:G342"/>
    <mergeCell ref="H342:L342"/>
    <mergeCell ref="B343:C343"/>
    <mergeCell ref="D343:G343"/>
    <mergeCell ref="H339:L339"/>
    <mergeCell ref="D339:G339"/>
    <mergeCell ref="B339:C339"/>
    <mergeCell ref="H338:L338"/>
    <mergeCell ref="D338:G338"/>
    <mergeCell ref="B338:C338"/>
    <mergeCell ref="H337:L337"/>
    <mergeCell ref="K427:L427"/>
    <mergeCell ref="G428:H428"/>
    <mergeCell ref="I428:J428"/>
    <mergeCell ref="K428:L428"/>
    <mergeCell ref="G429:H429"/>
    <mergeCell ref="I429:J429"/>
    <mergeCell ref="K429:L429"/>
    <mergeCell ref="K430:L430"/>
    <mergeCell ref="K431:L431"/>
    <mergeCell ref="G431:H431"/>
    <mergeCell ref="I431:J431"/>
    <mergeCell ref="V324:X324"/>
    <mergeCell ref="N94:N113"/>
    <mergeCell ref="O94:O113"/>
    <mergeCell ref="Y324:AA324"/>
    <mergeCell ref="AB324:AD324"/>
    <mergeCell ref="AE324:AG324"/>
    <mergeCell ref="B430:D430"/>
    <mergeCell ref="G427:H427"/>
    <mergeCell ref="I427:J427"/>
    <mergeCell ref="G430:H430"/>
    <mergeCell ref="I430:J430"/>
    <mergeCell ref="B333:C333"/>
    <mergeCell ref="D333:G333"/>
    <mergeCell ref="H333:L333"/>
    <mergeCell ref="B334:C334"/>
    <mergeCell ref="D334:G334"/>
    <mergeCell ref="H334:L334"/>
    <mergeCell ref="B335:C335"/>
    <mergeCell ref="D335:G335"/>
    <mergeCell ref="H335:L335"/>
    <mergeCell ref="B340:C340"/>
    <mergeCell ref="D340:G340"/>
    <mergeCell ref="H340:L340"/>
    <mergeCell ref="B342:C342"/>
    <mergeCell ref="J92:K92"/>
    <mergeCell ref="F92:G92"/>
    <mergeCell ref="B55:F55"/>
    <mergeCell ref="G55:L55"/>
    <mergeCell ref="B56:F56"/>
    <mergeCell ref="H92:I92"/>
    <mergeCell ref="D11:E11"/>
    <mergeCell ref="F11:H11"/>
    <mergeCell ref="I11:J11"/>
    <mergeCell ref="D12:E12"/>
    <mergeCell ref="F12:H12"/>
    <mergeCell ref="I12:J12"/>
    <mergeCell ref="D13:E13"/>
    <mergeCell ref="F13:H13"/>
    <mergeCell ref="I13:J13"/>
    <mergeCell ref="D14:E14"/>
    <mergeCell ref="F14:H14"/>
    <mergeCell ref="F19:H19"/>
    <mergeCell ref="I19:J19"/>
    <mergeCell ref="D20:E20"/>
    <mergeCell ref="F20:H20"/>
    <mergeCell ref="I20:J20"/>
    <mergeCell ref="I14:J14"/>
    <mergeCell ref="D15:E15"/>
    <mergeCell ref="I21:J21"/>
    <mergeCell ref="D5:E5"/>
    <mergeCell ref="F5:H5"/>
    <mergeCell ref="I5:J5"/>
    <mergeCell ref="D6:E6"/>
    <mergeCell ref="F6:H6"/>
    <mergeCell ref="I6:J6"/>
    <mergeCell ref="D7:E7"/>
    <mergeCell ref="F7:H7"/>
    <mergeCell ref="I7:J7"/>
    <mergeCell ref="D8:E8"/>
    <mergeCell ref="F8:H8"/>
    <mergeCell ref="I8:J8"/>
    <mergeCell ref="D9:E9"/>
    <mergeCell ref="F9:H9"/>
    <mergeCell ref="I9:J9"/>
    <mergeCell ref="D10:E10"/>
    <mergeCell ref="F10:H10"/>
    <mergeCell ref="I10:J10"/>
    <mergeCell ref="F15:H15"/>
    <mergeCell ref="I15:J15"/>
  </mergeCells>
  <dataValidations count="7">
    <dataValidation type="list" allowBlank="1" showInputMessage="1" showErrorMessage="1" sqref="K420:K423 G419:G432 I419:J432">
      <formula1>AllPensionerElements</formula1>
    </dataValidation>
    <dataValidation type="list" allowBlank="1" showInputMessage="1" showErrorMessage="1" sqref="K424:K432 K419">
      <formula1>PensionerElements</formula1>
    </dataValidation>
    <dataValidation type="list" allowBlank="1" showInputMessage="1" showErrorMessage="1" sqref="B331:B360">
      <formula1>"Validation, Error, Warning"</formula1>
    </dataValidation>
    <dataValidation type="list" allowBlank="1" showInputMessage="1" showErrorMessage="1" sqref="F94:G113 F301:G320 F278:G297 F255:G274 F232:G251 F209:G228 F186:G205 F163:G182 F140:G159 F117:G136">
      <formula1>"ERF1,ERF2,ERF3,ERF4,ERF5,ERF6,ERF7,ERF8,ERF9,ERF10"</formula1>
    </dataValidation>
    <dataValidation type="list" allowBlank="1" showInputMessage="1" showErrorMessage="1" sqref="M94:M113 M301:M320 M278:M297 M255:M274 M232:M251 M209:M228 M186:M205 M163:M182 M140:M159 M117:M136">
      <formula1>"Up,Down,Nearest"</formula1>
    </dataValidation>
    <dataValidation type="list" allowBlank="1" showInputMessage="1" showErrorMessage="1" sqref="M63:M77">
      <formula1>"Error, Warning"</formula1>
    </dataValidation>
    <dataValidation type="list" allowBlank="1" showInputMessage="1" showErrorMessage="1" sqref="G88:L88">
      <formula1>"Yes, No"</formula1>
    </dataValidation>
  </dataValidations>
  <hyperlinks>
    <hyperlink ref="B25" location="DR_Categories" display="Categories / Sections of Membership Covered"/>
    <hyperlink ref="B26" location="DR_Members_Pension" display="Members Pension"/>
    <hyperlink ref="B27" location="DR_Tranches" display="Tranches"/>
    <hyperlink ref="B28" location="DR_Errors_Warning" display="Scheme Specific Validations, Errors &amp; Warnings"/>
    <hyperlink ref="B29" location="DR_Letters" display="Letters"/>
    <hyperlink ref="B30" location="DR_Writeback" display="Fields to be posted to the Database"/>
    <hyperlink ref="B33" location="Scheme_Categories" display="Scheme Categories"/>
    <hyperlink ref="B34" location="Contracted_Out" display="Contracted Out"/>
    <hyperlink ref="B35" location="NRA" display="NRA"/>
    <hyperlink ref="B36" location="Revaluation" display="Revaluation"/>
    <hyperlink ref="B38" location="Escalation" display="Escalation"/>
    <hyperlink ref="G33" location="DC" display="DC"/>
    <hyperlink ref="G34" location="PCLS_Calculation" display="PCLS Calculation"/>
    <hyperlink ref="G35" location="Commutation_Residual_Pension" display="Commutation/Residual Pension"/>
    <hyperlink ref="G36" location="Additional_Cash" display="Additional Cash"/>
    <hyperlink ref="G37" location="Spouse_Dependants_Benefits" display="Spouse/Dependants Benefits"/>
    <hyperlink ref="G38" location="Death_Lump_Sums" display="Death Lump Sums"/>
    <hyperlink ref="G39" location="Children_s_Benefits" display="Children's Benefits"/>
    <hyperlink ref="G40" location="Trivial_Commutation" display="Trivial Commutation"/>
    <hyperlink ref="B37" location="Pensionable_Service" display="Pensionable Service "/>
    <hyperlink ref="B40" location="GMP_Test" display="GMP Test"/>
    <hyperlink ref="B41" location="AVCs" display="AVCs"/>
    <hyperlink ref="B39" location="Historic_Benefits" display="Historic Benefits"/>
  </hyperlinks>
  <pageMargins left="0.70866141732283472" right="0.70866141732283472" top="0.74803149606299213" bottom="0.74803149606299213" header="0.31496062992125984" footer="0.31496062992125984"/>
  <pageSetup paperSize="9" scale="47" orientation="landscape" r:id="rId2"/>
  <rowBreaks count="3" manualBreakCount="3">
    <brk id="325" max="16383" man="1"/>
    <brk id="361" max="16383" man="1"/>
    <brk id="411" max="16383" man="1"/>
  </rowBreaks>
  <legacyDrawing r:id="rId3"/>
</worksheet>
</file>

<file path=xl/worksheets/sheet8.xml><?xml version="1.0" encoding="utf-8"?>
<worksheet xmlns="http://schemas.openxmlformats.org/spreadsheetml/2006/main" xmlns:r="http://schemas.openxmlformats.org/officeDocument/2006/relationships">
  <sheetPr codeName="Sheet9"/>
  <dimension ref="A1:V181"/>
  <sheetViews>
    <sheetView showGridLines="0" topLeftCell="A31" zoomScale="80" zoomScaleNormal="80" workbookViewId="0">
      <selection activeCell="C46" sqref="C46:E46"/>
    </sheetView>
  </sheetViews>
  <sheetFormatPr defaultRowHeight="15"/>
  <cols>
    <col min="1" max="1" width="4" style="18" bestFit="1" customWidth="1"/>
    <col min="2" max="2" width="37.7109375" style="18" customWidth="1"/>
    <col min="3" max="5" width="18.42578125" style="18" customWidth="1"/>
    <col min="6" max="6" width="12.7109375" style="18" customWidth="1"/>
    <col min="7" max="7" width="16.28515625" style="18" customWidth="1"/>
    <col min="8" max="37" width="13.42578125" style="18" customWidth="1"/>
    <col min="38" max="38" width="11.7109375" style="18" bestFit="1" customWidth="1"/>
    <col min="39" max="16384" width="9.140625" style="18"/>
  </cols>
  <sheetData>
    <row r="1" spans="1:10" ht="18.75">
      <c r="A1" s="204"/>
      <c r="B1" s="204" t="s">
        <v>168</v>
      </c>
      <c r="C1" s="209"/>
      <c r="D1" s="208"/>
      <c r="E1" s="208"/>
      <c r="F1" s="208"/>
    </row>
    <row r="2" spans="1:10" ht="15" customHeight="1">
      <c r="A2" s="204"/>
      <c r="B2" s="204"/>
      <c r="C2" s="209"/>
      <c r="D2" s="208"/>
      <c r="E2" s="208"/>
      <c r="F2" s="208"/>
    </row>
    <row r="3" spans="1:10" ht="15" customHeight="1">
      <c r="A3" s="204"/>
      <c r="B3" s="11" t="s">
        <v>121</v>
      </c>
      <c r="C3" s="209"/>
      <c r="G3" s="356"/>
    </row>
    <row r="4" spans="1:10" ht="15" customHeight="1" thickBot="1">
      <c r="A4" s="204"/>
      <c r="B4" s="204"/>
      <c r="C4" s="209"/>
      <c r="G4" s="356"/>
    </row>
    <row r="5" spans="1:10" ht="15" customHeight="1" thickBot="1">
      <c r="A5" s="204"/>
      <c r="B5" s="487" t="s">
        <v>94</v>
      </c>
      <c r="C5" s="488" t="s">
        <v>122</v>
      </c>
      <c r="D5" s="999" t="s">
        <v>163</v>
      </c>
      <c r="E5" s="999"/>
      <c r="F5" s="999" t="s">
        <v>123</v>
      </c>
      <c r="G5" s="999"/>
      <c r="H5" s="999"/>
      <c r="I5" s="1028" t="s">
        <v>738</v>
      </c>
      <c r="J5" s="1029"/>
    </row>
    <row r="6" spans="1:10" ht="15" customHeight="1">
      <c r="A6" s="204"/>
      <c r="B6" s="489"/>
      <c r="C6" s="490"/>
      <c r="D6" s="1000"/>
      <c r="E6" s="1000"/>
      <c r="F6" s="1000"/>
      <c r="G6" s="1000"/>
      <c r="H6" s="1000"/>
      <c r="I6" s="997"/>
      <c r="J6" s="998"/>
    </row>
    <row r="7" spans="1:10" ht="15" customHeight="1">
      <c r="A7" s="204"/>
      <c r="B7" s="491"/>
      <c r="C7" s="468"/>
      <c r="D7" s="1022"/>
      <c r="E7" s="1022"/>
      <c r="F7" s="1022"/>
      <c r="G7" s="1022"/>
      <c r="H7" s="1022"/>
      <c r="I7" s="1023"/>
      <c r="J7" s="1024"/>
    </row>
    <row r="8" spans="1:10" ht="15" customHeight="1">
      <c r="A8" s="204"/>
      <c r="B8" s="491"/>
      <c r="C8" s="468"/>
      <c r="D8" s="1022"/>
      <c r="E8" s="1022"/>
      <c r="F8" s="1022"/>
      <c r="G8" s="1022"/>
      <c r="H8" s="1022"/>
      <c r="I8" s="1023"/>
      <c r="J8" s="1024"/>
    </row>
    <row r="9" spans="1:10" ht="15" customHeight="1">
      <c r="A9" s="204"/>
      <c r="B9" s="491"/>
      <c r="C9" s="468"/>
      <c r="D9" s="1022"/>
      <c r="E9" s="1022"/>
      <c r="F9" s="1022"/>
      <c r="G9" s="1022"/>
      <c r="H9" s="1022"/>
      <c r="I9" s="1023"/>
      <c r="J9" s="1024"/>
    </row>
    <row r="10" spans="1:10" ht="15" customHeight="1">
      <c r="A10" s="204"/>
      <c r="B10" s="491"/>
      <c r="C10" s="468"/>
      <c r="D10" s="1022"/>
      <c r="E10" s="1022"/>
      <c r="F10" s="1022"/>
      <c r="G10" s="1022"/>
      <c r="H10" s="1022"/>
      <c r="I10" s="1023"/>
      <c r="J10" s="1024"/>
    </row>
    <row r="11" spans="1:10" ht="15" customHeight="1">
      <c r="A11" s="204"/>
      <c r="B11" s="491"/>
      <c r="C11" s="468"/>
      <c r="D11" s="1022"/>
      <c r="E11" s="1022"/>
      <c r="F11" s="1022"/>
      <c r="G11" s="1022"/>
      <c r="H11" s="1022"/>
      <c r="I11" s="1023"/>
      <c r="J11" s="1024"/>
    </row>
    <row r="12" spans="1:10" ht="15" customHeight="1">
      <c r="A12" s="204"/>
      <c r="B12" s="491"/>
      <c r="C12" s="468"/>
      <c r="D12" s="1022"/>
      <c r="E12" s="1022"/>
      <c r="F12" s="1022"/>
      <c r="G12" s="1022"/>
      <c r="H12" s="1022"/>
      <c r="I12" s="1023"/>
      <c r="J12" s="1024"/>
    </row>
    <row r="13" spans="1:10" ht="15" customHeight="1">
      <c r="A13" s="204"/>
      <c r="B13" s="491"/>
      <c r="C13" s="468"/>
      <c r="D13" s="1022"/>
      <c r="E13" s="1022"/>
      <c r="F13" s="1022"/>
      <c r="G13" s="1022"/>
      <c r="H13" s="1022"/>
      <c r="I13" s="1023"/>
      <c r="J13" s="1024"/>
    </row>
    <row r="14" spans="1:10" ht="15" customHeight="1">
      <c r="A14" s="204"/>
      <c r="B14" s="491"/>
      <c r="C14" s="468"/>
      <c r="D14" s="1022"/>
      <c r="E14" s="1022"/>
      <c r="F14" s="1022"/>
      <c r="G14" s="1022"/>
      <c r="H14" s="1022"/>
      <c r="I14" s="1023"/>
      <c r="J14" s="1024"/>
    </row>
    <row r="15" spans="1:10" ht="15" customHeight="1">
      <c r="A15" s="204"/>
      <c r="B15" s="491"/>
      <c r="C15" s="468"/>
      <c r="D15" s="1022"/>
      <c r="E15" s="1022"/>
      <c r="F15" s="1022"/>
      <c r="G15" s="1022"/>
      <c r="H15" s="1022"/>
      <c r="I15" s="1023"/>
      <c r="J15" s="1024"/>
    </row>
    <row r="16" spans="1:10" ht="15" customHeight="1">
      <c r="A16" s="204"/>
      <c r="B16" s="491"/>
      <c r="C16" s="468"/>
      <c r="D16" s="1022"/>
      <c r="E16" s="1022"/>
      <c r="F16" s="1022"/>
      <c r="G16" s="1022"/>
      <c r="H16" s="1022"/>
      <c r="I16" s="1023"/>
      <c r="J16" s="1024"/>
    </row>
    <row r="17" spans="1:10" ht="15" customHeight="1">
      <c r="A17" s="204"/>
      <c r="B17" s="491"/>
      <c r="C17" s="468"/>
      <c r="D17" s="1022"/>
      <c r="E17" s="1022"/>
      <c r="F17" s="1022"/>
      <c r="G17" s="1022"/>
      <c r="H17" s="1022"/>
      <c r="I17" s="1023"/>
      <c r="J17" s="1024"/>
    </row>
    <row r="18" spans="1:10" ht="15" customHeight="1">
      <c r="A18" s="204"/>
      <c r="B18" s="491"/>
      <c r="C18" s="468"/>
      <c r="D18" s="1022"/>
      <c r="E18" s="1022"/>
      <c r="F18" s="1022"/>
      <c r="G18" s="1022"/>
      <c r="H18" s="1022"/>
      <c r="I18" s="1023"/>
      <c r="J18" s="1024"/>
    </row>
    <row r="19" spans="1:10" ht="15" customHeight="1">
      <c r="A19" s="204"/>
      <c r="B19" s="491"/>
      <c r="C19" s="468"/>
      <c r="D19" s="1022"/>
      <c r="E19" s="1022"/>
      <c r="F19" s="1022"/>
      <c r="G19" s="1022"/>
      <c r="H19" s="1022"/>
      <c r="I19" s="1023"/>
      <c r="J19" s="1024"/>
    </row>
    <row r="20" spans="1:10" ht="15" customHeight="1">
      <c r="A20" s="204"/>
      <c r="B20" s="491"/>
      <c r="C20" s="468"/>
      <c r="D20" s="1022"/>
      <c r="E20" s="1022"/>
      <c r="F20" s="1022"/>
      <c r="G20" s="1022"/>
      <c r="H20" s="1022"/>
      <c r="I20" s="1023"/>
      <c r="J20" s="1024"/>
    </row>
    <row r="21" spans="1:10" ht="15" customHeight="1">
      <c r="A21" s="204"/>
      <c r="B21" s="491"/>
      <c r="C21" s="468"/>
      <c r="D21" s="1022"/>
      <c r="E21" s="1022"/>
      <c r="F21" s="1022"/>
      <c r="G21" s="1022"/>
      <c r="H21" s="1022"/>
      <c r="I21" s="1023"/>
      <c r="J21" s="1024"/>
    </row>
    <row r="22" spans="1:10" ht="15" customHeight="1" thickBot="1">
      <c r="A22" s="204"/>
      <c r="B22" s="492"/>
      <c r="C22" s="470"/>
      <c r="D22" s="1025"/>
      <c r="E22" s="1025"/>
      <c r="F22" s="1025"/>
      <c r="G22" s="1025"/>
      <c r="H22" s="1025"/>
      <c r="I22" s="1026"/>
      <c r="J22" s="1027"/>
    </row>
    <row r="23" spans="1:10" s="434" customFormat="1" ht="15" customHeight="1">
      <c r="A23" s="560"/>
      <c r="B23" s="493"/>
      <c r="C23" s="467"/>
      <c r="D23" s="494"/>
      <c r="E23" s="494"/>
      <c r="F23" s="494"/>
      <c r="G23" s="494"/>
      <c r="H23" s="494"/>
      <c r="I23" s="494"/>
      <c r="J23" s="494"/>
    </row>
    <row r="24" spans="1:10" s="434" customFormat="1" ht="15" customHeight="1">
      <c r="A24" s="560"/>
      <c r="B24" s="982" t="s">
        <v>875</v>
      </c>
      <c r="C24" s="982"/>
      <c r="D24" s="982"/>
      <c r="E24" s="982"/>
      <c r="F24" s="982"/>
      <c r="G24" s="982"/>
      <c r="H24" s="982"/>
      <c r="I24" s="982"/>
      <c r="J24" s="982"/>
    </row>
    <row r="25" spans="1:10" s="226" customFormat="1" ht="15" customHeight="1">
      <c r="A25" s="388"/>
      <c r="B25" s="549" t="s">
        <v>169</v>
      </c>
      <c r="C25" s="503"/>
      <c r="D25" s="503"/>
      <c r="E25" s="503"/>
      <c r="F25" s="503"/>
      <c r="G25" s="503"/>
      <c r="H25" s="503"/>
      <c r="I25" s="503"/>
      <c r="J25" s="503"/>
    </row>
    <row r="26" spans="1:10" s="226" customFormat="1" ht="15" customHeight="1">
      <c r="A26" s="388"/>
      <c r="B26" s="549" t="s">
        <v>171</v>
      </c>
      <c r="C26" s="503"/>
      <c r="D26" s="503"/>
      <c r="E26" s="503"/>
      <c r="F26" s="503"/>
      <c r="G26" s="503"/>
      <c r="H26" s="503"/>
      <c r="I26" s="503"/>
      <c r="J26" s="503"/>
    </row>
    <row r="27" spans="1:10" s="226" customFormat="1" ht="15" customHeight="1">
      <c r="A27" s="388"/>
      <c r="B27" s="549" t="s">
        <v>213</v>
      </c>
      <c r="C27" s="503"/>
      <c r="D27" s="503"/>
      <c r="E27" s="503"/>
      <c r="F27" s="503"/>
      <c r="G27" s="503"/>
      <c r="H27" s="503"/>
      <c r="I27" s="503"/>
      <c r="J27" s="606"/>
    </row>
    <row r="28" spans="1:10" s="226" customFormat="1" ht="15" customHeight="1">
      <c r="A28" s="388"/>
      <c r="B28" s="549" t="s">
        <v>890</v>
      </c>
      <c r="C28" s="505"/>
      <c r="D28" s="505"/>
      <c r="E28" s="505"/>
      <c r="F28" s="505"/>
      <c r="G28" s="505"/>
      <c r="H28" s="505"/>
      <c r="I28" s="505"/>
      <c r="J28" s="505"/>
    </row>
    <row r="29" spans="1:10" s="226" customFormat="1" ht="15" customHeight="1">
      <c r="A29" s="388"/>
      <c r="B29" s="549" t="s">
        <v>210</v>
      </c>
      <c r="C29" s="503"/>
      <c r="D29" s="503"/>
      <c r="E29" s="503"/>
      <c r="F29" s="503"/>
      <c r="G29" s="503"/>
      <c r="H29" s="503"/>
      <c r="I29" s="503"/>
      <c r="J29" s="503"/>
    </row>
    <row r="30" spans="1:10" s="226" customFormat="1" ht="15" customHeight="1">
      <c r="A30" s="388"/>
      <c r="B30" s="551" t="s">
        <v>143</v>
      </c>
      <c r="C30" s="503"/>
      <c r="D30" s="503"/>
      <c r="E30" s="503"/>
      <c r="F30" s="503"/>
      <c r="G30" s="503"/>
      <c r="H30" s="503"/>
      <c r="I30" s="503"/>
      <c r="J30" s="503"/>
    </row>
    <row r="31" spans="1:10" s="434" customFormat="1" ht="15" customHeight="1">
      <c r="A31" s="560"/>
      <c r="B31" s="503"/>
      <c r="C31" s="503"/>
      <c r="D31" s="503"/>
      <c r="E31" s="503"/>
      <c r="F31" s="503"/>
      <c r="G31" s="503"/>
      <c r="H31" s="503"/>
      <c r="I31" s="503"/>
      <c r="J31" s="503"/>
    </row>
    <row r="32" spans="1:10" s="434" customFormat="1" ht="15" customHeight="1">
      <c r="A32" s="560"/>
      <c r="B32" s="982" t="s">
        <v>870</v>
      </c>
      <c r="C32" s="982"/>
      <c r="D32" s="982"/>
      <c r="E32" s="982"/>
      <c r="F32" s="982"/>
      <c r="G32" s="982"/>
      <c r="H32" s="982"/>
      <c r="I32" s="982"/>
      <c r="J32" s="982"/>
    </row>
    <row r="33" spans="1:10" s="434" customFormat="1" ht="15" customHeight="1">
      <c r="A33" s="560"/>
      <c r="B33" s="549" t="s">
        <v>14</v>
      </c>
      <c r="C33" s="546"/>
      <c r="D33" s="547"/>
      <c r="E33" s="547"/>
      <c r="F33" s="547"/>
      <c r="G33" s="549" t="s">
        <v>865</v>
      </c>
      <c r="H33" s="226"/>
      <c r="I33" s="325"/>
      <c r="J33" s="325"/>
    </row>
    <row r="34" spans="1:10" s="434" customFormat="1" ht="15" customHeight="1">
      <c r="A34" s="560"/>
      <c r="B34" s="550" t="s">
        <v>22</v>
      </c>
      <c r="C34" s="546"/>
      <c r="D34" s="547"/>
      <c r="E34" s="547"/>
      <c r="F34" s="547"/>
      <c r="G34" s="549" t="s">
        <v>5</v>
      </c>
      <c r="H34" s="226"/>
      <c r="I34" s="325"/>
      <c r="J34" s="325"/>
    </row>
    <row r="35" spans="1:10" s="434" customFormat="1" ht="15" customHeight="1">
      <c r="A35" s="560"/>
      <c r="B35" s="550" t="s">
        <v>16</v>
      </c>
      <c r="C35" s="546"/>
      <c r="D35" s="547"/>
      <c r="E35" s="547"/>
      <c r="F35" s="547"/>
      <c r="G35" s="549" t="s">
        <v>659</v>
      </c>
      <c r="H35" s="226"/>
      <c r="I35" s="325"/>
      <c r="J35" s="325"/>
    </row>
    <row r="36" spans="1:10" s="434" customFormat="1" ht="15" customHeight="1">
      <c r="A36" s="560"/>
      <c r="B36" s="551" t="s">
        <v>864</v>
      </c>
      <c r="C36" s="546"/>
      <c r="D36" s="547"/>
      <c r="E36" s="547"/>
      <c r="F36" s="547"/>
      <c r="G36" s="549" t="s">
        <v>681</v>
      </c>
      <c r="H36" s="226"/>
      <c r="I36" s="325"/>
      <c r="J36" s="325"/>
    </row>
    <row r="37" spans="1:10" s="434" customFormat="1" ht="15" customHeight="1">
      <c r="A37" s="560"/>
      <c r="B37" s="552" t="s">
        <v>206</v>
      </c>
      <c r="C37" s="546"/>
      <c r="D37" s="547"/>
      <c r="E37" s="547"/>
      <c r="F37" s="547"/>
      <c r="G37" s="549" t="s">
        <v>7</v>
      </c>
      <c r="H37" s="226"/>
      <c r="I37" s="325"/>
      <c r="J37" s="325"/>
    </row>
    <row r="38" spans="1:10" s="434" customFormat="1" ht="15" customHeight="1">
      <c r="A38" s="560"/>
      <c r="B38" s="549" t="s">
        <v>866</v>
      </c>
      <c r="C38" s="546"/>
      <c r="D38" s="547"/>
      <c r="E38" s="547"/>
      <c r="F38" s="547"/>
      <c r="G38" s="549" t="s">
        <v>8</v>
      </c>
      <c r="H38" s="226"/>
      <c r="I38" s="325"/>
      <c r="J38" s="325"/>
    </row>
    <row r="39" spans="1:10" s="434" customFormat="1" ht="15" customHeight="1">
      <c r="A39" s="560"/>
      <c r="B39" s="549" t="s">
        <v>33</v>
      </c>
      <c r="C39" s="546"/>
      <c r="D39" s="547"/>
      <c r="E39" s="547"/>
      <c r="F39" s="547"/>
      <c r="G39" s="549" t="s">
        <v>215</v>
      </c>
      <c r="H39" s="226"/>
      <c r="I39" s="494"/>
      <c r="J39" s="494"/>
    </row>
    <row r="40" spans="1:10" s="434" customFormat="1" ht="15" customHeight="1">
      <c r="A40" s="560"/>
      <c r="B40" s="549" t="s">
        <v>3</v>
      </c>
      <c r="C40" s="546"/>
      <c r="D40" s="547"/>
      <c r="E40" s="547"/>
      <c r="F40" s="547"/>
      <c r="G40" s="549" t="s">
        <v>207</v>
      </c>
      <c r="H40" s="226"/>
      <c r="I40" s="494"/>
      <c r="J40" s="494"/>
    </row>
    <row r="41" spans="1:10" s="434" customFormat="1" ht="15" customHeight="1">
      <c r="A41" s="560"/>
      <c r="B41" s="553" t="s">
        <v>132</v>
      </c>
      <c r="C41" s="546"/>
      <c r="D41" s="547"/>
      <c r="E41" s="547"/>
      <c r="F41" s="547"/>
      <c r="G41" s="549" t="s">
        <v>597</v>
      </c>
      <c r="H41" s="494"/>
      <c r="I41" s="494"/>
      <c r="J41" s="494"/>
    </row>
    <row r="42" spans="1:10" s="434" customFormat="1" ht="15" customHeight="1">
      <c r="A42" s="560"/>
      <c r="B42" s="553" t="s">
        <v>133</v>
      </c>
      <c r="C42" s="546"/>
      <c r="D42" s="547"/>
      <c r="E42" s="547"/>
      <c r="F42" s="547"/>
      <c r="G42" s="549"/>
      <c r="H42" s="494"/>
      <c r="I42" s="494"/>
      <c r="J42" s="494"/>
    </row>
    <row r="43" spans="1:10" s="434" customFormat="1" ht="15" customHeight="1">
      <c r="A43" s="560"/>
      <c r="C43" s="546"/>
      <c r="D43" s="547"/>
      <c r="E43" s="547"/>
      <c r="F43" s="547"/>
      <c r="H43" s="494"/>
      <c r="I43" s="494"/>
      <c r="J43" s="494"/>
    </row>
    <row r="44" spans="1:10">
      <c r="A44" s="210"/>
      <c r="B44" s="211" t="s">
        <v>169</v>
      </c>
      <c r="C44" s="417"/>
      <c r="D44" s="417"/>
      <c r="E44" s="434"/>
      <c r="F44" s="434"/>
    </row>
    <row r="45" spans="1:10" ht="15.75" thickBot="1">
      <c r="A45" s="210"/>
      <c r="B45" s="211"/>
      <c r="C45" s="417"/>
      <c r="D45" s="417"/>
      <c r="E45" s="434"/>
      <c r="F45" s="434"/>
    </row>
    <row r="46" spans="1:10" s="686" customFormat="1" ht="82.5" customHeight="1" thickBot="1">
      <c r="A46" s="684"/>
      <c r="B46" s="685" t="s">
        <v>15</v>
      </c>
      <c r="C46" s="682" t="s">
        <v>185</v>
      </c>
      <c r="D46" s="682" t="s">
        <v>186</v>
      </c>
      <c r="E46" s="683" t="s">
        <v>209</v>
      </c>
    </row>
    <row r="47" spans="1:10" s="101" customFormat="1">
      <c r="A47" s="680"/>
      <c r="B47" s="748"/>
      <c r="C47" s="751"/>
      <c r="D47" s="751"/>
      <c r="E47" s="751"/>
    </row>
    <row r="48" spans="1:10" s="101" customFormat="1">
      <c r="A48" s="680"/>
      <c r="B48" s="749"/>
      <c r="C48" s="752"/>
      <c r="D48" s="752"/>
      <c r="E48" s="752"/>
    </row>
    <row r="49" spans="1:22" s="101" customFormat="1">
      <c r="A49" s="680"/>
      <c r="B49" s="749"/>
      <c r="C49" s="752"/>
      <c r="D49" s="752"/>
      <c r="E49" s="752"/>
    </row>
    <row r="50" spans="1:22" s="101" customFormat="1">
      <c r="A50" s="680"/>
      <c r="B50" s="749"/>
      <c r="C50" s="752"/>
      <c r="D50" s="752"/>
      <c r="E50" s="752"/>
    </row>
    <row r="51" spans="1:22" s="101" customFormat="1">
      <c r="A51" s="680"/>
      <c r="B51" s="749"/>
      <c r="C51" s="752"/>
      <c r="D51" s="752"/>
      <c r="E51" s="752"/>
    </row>
    <row r="52" spans="1:22" s="101" customFormat="1">
      <c r="A52" s="680"/>
      <c r="B52" s="749"/>
      <c r="C52" s="752"/>
      <c r="D52" s="752"/>
      <c r="E52" s="752"/>
    </row>
    <row r="53" spans="1:22" s="101" customFormat="1">
      <c r="A53" s="680"/>
      <c r="B53" s="749"/>
      <c r="C53" s="752"/>
      <c r="D53" s="752"/>
      <c r="E53" s="752"/>
    </row>
    <row r="54" spans="1:22" s="101" customFormat="1">
      <c r="A54" s="680"/>
      <c r="B54" s="749"/>
      <c r="C54" s="752"/>
      <c r="D54" s="752"/>
      <c r="E54" s="752"/>
    </row>
    <row r="55" spans="1:22" s="101" customFormat="1">
      <c r="A55" s="680"/>
      <c r="B55" s="749"/>
      <c r="C55" s="752"/>
      <c r="D55" s="752"/>
      <c r="E55" s="752"/>
    </row>
    <row r="56" spans="1:22" s="221" customFormat="1" ht="15" customHeight="1" thickBot="1">
      <c r="A56" s="387"/>
      <c r="B56" s="750"/>
      <c r="C56" s="753"/>
      <c r="D56" s="753"/>
      <c r="E56" s="753"/>
    </row>
    <row r="57" spans="1:22">
      <c r="A57" s="210"/>
      <c r="B57" s="211"/>
      <c r="C57" s="417"/>
      <c r="D57" s="417"/>
      <c r="E57" s="434"/>
      <c r="F57" s="434"/>
    </row>
    <row r="58" spans="1:22" ht="42" customHeight="1">
      <c r="A58" s="210"/>
      <c r="B58" s="982" t="s">
        <v>187</v>
      </c>
      <c r="C58" s="982"/>
      <c r="D58" s="982"/>
      <c r="E58" s="982"/>
      <c r="F58" s="982"/>
      <c r="G58" s="982"/>
      <c r="H58" s="982"/>
      <c r="I58" s="982"/>
      <c r="J58" s="982"/>
      <c r="K58" s="982"/>
      <c r="L58" s="982"/>
      <c r="M58" s="395"/>
      <c r="N58" s="395"/>
      <c r="O58" s="395"/>
      <c r="P58" s="395"/>
      <c r="Q58" s="395"/>
      <c r="R58" s="395"/>
      <c r="S58" s="395"/>
      <c r="T58" s="395"/>
      <c r="U58" s="395"/>
      <c r="V58" s="286"/>
    </row>
    <row r="59" spans="1:22" ht="15.75" thickBot="1"/>
    <row r="60" spans="1:22" s="687" customFormat="1" ht="66.75" customHeight="1" thickBot="1">
      <c r="B60" s="681" t="s">
        <v>15</v>
      </c>
      <c r="C60" s="688" t="s">
        <v>180</v>
      </c>
      <c r="D60" s="688" t="s">
        <v>194</v>
      </c>
      <c r="E60" s="689" t="s">
        <v>195</v>
      </c>
    </row>
    <row r="61" spans="1:22" s="19" customFormat="1">
      <c r="B61" s="754"/>
      <c r="C61" s="757"/>
      <c r="D61" s="757"/>
      <c r="E61" s="757"/>
    </row>
    <row r="62" spans="1:22" s="19" customFormat="1">
      <c r="B62" s="755"/>
      <c r="C62" s="758"/>
      <c r="D62" s="758"/>
      <c r="E62" s="758"/>
    </row>
    <row r="63" spans="1:22" s="19" customFormat="1">
      <c r="B63" s="755"/>
      <c r="C63" s="758"/>
      <c r="D63" s="758"/>
      <c r="E63" s="758"/>
    </row>
    <row r="64" spans="1:22" s="19" customFormat="1">
      <c r="B64" s="755"/>
      <c r="C64" s="758"/>
      <c r="D64" s="758"/>
      <c r="E64" s="758"/>
    </row>
    <row r="65" spans="1:20" s="19" customFormat="1">
      <c r="B65" s="755"/>
      <c r="C65" s="758"/>
      <c r="D65" s="758"/>
      <c r="E65" s="758"/>
    </row>
    <row r="66" spans="1:20" s="19" customFormat="1">
      <c r="B66" s="755"/>
      <c r="C66" s="758"/>
      <c r="D66" s="758"/>
      <c r="E66" s="758"/>
    </row>
    <row r="67" spans="1:20" s="19" customFormat="1">
      <c r="B67" s="755"/>
      <c r="C67" s="758"/>
      <c r="D67" s="758"/>
      <c r="E67" s="758"/>
    </row>
    <row r="68" spans="1:20" s="19" customFormat="1">
      <c r="B68" s="755"/>
      <c r="C68" s="758"/>
      <c r="D68" s="758"/>
      <c r="E68" s="758"/>
    </row>
    <row r="69" spans="1:20" s="19" customFormat="1">
      <c r="B69" s="755"/>
      <c r="C69" s="758"/>
      <c r="D69" s="758"/>
      <c r="E69" s="758"/>
    </row>
    <row r="70" spans="1:20" s="19" customFormat="1" ht="15.75" thickBot="1">
      <c r="B70" s="756"/>
      <c r="C70" s="759"/>
      <c r="D70" s="759"/>
      <c r="E70" s="759"/>
    </row>
    <row r="71" spans="1:20">
      <c r="B71" s="222"/>
      <c r="C71" s="222"/>
      <c r="D71" s="222"/>
      <c r="E71" s="222"/>
      <c r="F71" s="222"/>
      <c r="G71" s="435"/>
      <c r="H71" s="435"/>
      <c r="I71" s="435"/>
      <c r="J71" s="435"/>
      <c r="K71" s="435"/>
      <c r="L71" s="435"/>
      <c r="M71" s="362"/>
      <c r="N71" s="362"/>
      <c r="O71" s="362"/>
    </row>
    <row r="72" spans="1:20" ht="14.25" customHeight="1">
      <c r="B72" s="205" t="s">
        <v>130</v>
      </c>
      <c r="C72" s="205"/>
      <c r="D72" s="208"/>
      <c r="E72" s="208"/>
      <c r="F72" s="208"/>
      <c r="G72" s="208"/>
      <c r="H72" s="208"/>
      <c r="I72" s="208"/>
      <c r="J72" s="208"/>
      <c r="K72" s="208"/>
      <c r="L72" s="208"/>
      <c r="M72" s="208"/>
      <c r="N72" s="208"/>
      <c r="O72" s="208"/>
      <c r="P72" s="208"/>
      <c r="Q72" s="208"/>
      <c r="R72" s="208"/>
      <c r="S72" s="208"/>
      <c r="T72" s="208"/>
    </row>
    <row r="73" spans="1:20" ht="15.75" thickBot="1">
      <c r="B73" s="205"/>
      <c r="C73" s="205"/>
      <c r="D73" s="208"/>
      <c r="E73" s="208"/>
      <c r="F73" s="208"/>
      <c r="G73" s="208"/>
      <c r="H73" s="208"/>
      <c r="I73" s="208"/>
      <c r="J73" s="208"/>
      <c r="K73" s="208"/>
      <c r="L73" s="208"/>
      <c r="M73" s="208"/>
      <c r="N73" s="208"/>
      <c r="O73" s="208"/>
      <c r="P73" s="208"/>
      <c r="Q73" s="208"/>
      <c r="R73" s="208"/>
      <c r="S73" s="208"/>
      <c r="T73" s="208"/>
    </row>
    <row r="74" spans="1:20" ht="200.1" customHeight="1" thickBot="1">
      <c r="B74" s="983"/>
      <c r="C74" s="984"/>
      <c r="D74" s="984"/>
      <c r="E74" s="985"/>
      <c r="F74" s="693"/>
      <c r="G74" s="693"/>
      <c r="H74" s="693"/>
      <c r="I74" s="693"/>
      <c r="J74" s="693"/>
      <c r="K74" s="693"/>
      <c r="L74" s="693"/>
      <c r="M74" s="208"/>
      <c r="N74" s="208"/>
      <c r="O74" s="208"/>
    </row>
    <row r="75" spans="1:20">
      <c r="B75" s="436"/>
    </row>
    <row r="76" spans="1:20">
      <c r="A76" s="210"/>
      <c r="B76" s="211" t="s">
        <v>171</v>
      </c>
      <c r="M76" s="434"/>
      <c r="N76" s="434"/>
      <c r="O76" s="434"/>
    </row>
    <row r="77" spans="1:20" ht="15.75" thickBot="1">
      <c r="B77" s="437"/>
      <c r="R77" s="434"/>
      <c r="S77" s="434"/>
      <c r="T77" s="434"/>
    </row>
    <row r="78" spans="1:20" s="743" customFormat="1" ht="77.25" thickBot="1">
      <c r="B78" s="744" t="s">
        <v>15</v>
      </c>
      <c r="C78" s="744" t="s">
        <v>188</v>
      </c>
      <c r="D78" s="744" t="s">
        <v>189</v>
      </c>
      <c r="E78" s="745" t="s">
        <v>190</v>
      </c>
      <c r="F78" s="760" t="s">
        <v>191</v>
      </c>
      <c r="G78" s="745" t="s">
        <v>1012</v>
      </c>
    </row>
    <row r="79" spans="1:20" ht="18" customHeight="1">
      <c r="B79" s="761"/>
      <c r="C79" s="751"/>
      <c r="D79" s="751"/>
      <c r="E79" s="751"/>
      <c r="F79" s="751"/>
      <c r="G79" s="751"/>
      <c r="R79" s="434"/>
      <c r="S79" s="434"/>
      <c r="T79" s="434"/>
    </row>
    <row r="80" spans="1:20" ht="18" customHeight="1">
      <c r="B80" s="762"/>
      <c r="C80" s="752"/>
      <c r="D80" s="752"/>
      <c r="E80" s="752"/>
      <c r="F80" s="752"/>
      <c r="G80" s="752"/>
      <c r="R80" s="434"/>
      <c r="S80" s="434"/>
      <c r="T80" s="434"/>
    </row>
    <row r="81" spans="1:20" ht="18" customHeight="1">
      <c r="B81" s="762"/>
      <c r="C81" s="752"/>
      <c r="D81" s="752"/>
      <c r="E81" s="752"/>
      <c r="F81" s="752"/>
      <c r="G81" s="752"/>
      <c r="R81" s="434"/>
      <c r="S81" s="434"/>
      <c r="T81" s="434"/>
    </row>
    <row r="82" spans="1:20" ht="18" customHeight="1">
      <c r="B82" s="762"/>
      <c r="C82" s="752"/>
      <c r="D82" s="752"/>
      <c r="E82" s="752"/>
      <c r="F82" s="752"/>
      <c r="G82" s="752"/>
      <c r="R82" s="434"/>
      <c r="S82" s="434"/>
      <c r="T82" s="434"/>
    </row>
    <row r="83" spans="1:20" ht="18" customHeight="1">
      <c r="B83" s="762"/>
      <c r="C83" s="752"/>
      <c r="D83" s="752"/>
      <c r="E83" s="752"/>
      <c r="F83" s="752"/>
      <c r="G83" s="752"/>
      <c r="R83" s="434"/>
      <c r="S83" s="434"/>
      <c r="T83" s="434"/>
    </row>
    <row r="84" spans="1:20" ht="18" customHeight="1">
      <c r="B84" s="762"/>
      <c r="C84" s="752"/>
      <c r="D84" s="752"/>
      <c r="E84" s="752"/>
      <c r="F84" s="752"/>
      <c r="G84" s="752"/>
      <c r="R84" s="434"/>
      <c r="S84" s="434"/>
      <c r="T84" s="434"/>
    </row>
    <row r="85" spans="1:20" ht="18" customHeight="1">
      <c r="B85" s="762"/>
      <c r="C85" s="752"/>
      <c r="D85" s="752"/>
      <c r="E85" s="752"/>
      <c r="F85" s="752"/>
      <c r="G85" s="752"/>
      <c r="R85" s="434"/>
      <c r="S85" s="434"/>
      <c r="T85" s="434"/>
    </row>
    <row r="86" spans="1:20" ht="18" customHeight="1">
      <c r="B86" s="762"/>
      <c r="C86" s="752"/>
      <c r="D86" s="752"/>
      <c r="E86" s="752"/>
      <c r="F86" s="752"/>
      <c r="G86" s="752"/>
      <c r="R86" s="434"/>
      <c r="S86" s="434"/>
      <c r="T86" s="434"/>
    </row>
    <row r="87" spans="1:20" ht="18" customHeight="1">
      <c r="B87" s="762"/>
      <c r="C87" s="752"/>
      <c r="D87" s="752"/>
      <c r="E87" s="752"/>
      <c r="F87" s="752"/>
      <c r="G87" s="752"/>
      <c r="R87" s="434"/>
      <c r="S87" s="434"/>
      <c r="T87" s="434"/>
    </row>
    <row r="88" spans="1:20" ht="15.75" thickBot="1">
      <c r="B88" s="763"/>
      <c r="C88" s="764"/>
      <c r="D88" s="764"/>
      <c r="E88" s="764"/>
      <c r="F88" s="764"/>
      <c r="G88" s="764"/>
      <c r="R88" s="434"/>
      <c r="S88" s="434"/>
      <c r="T88" s="434"/>
    </row>
    <row r="89" spans="1:20">
      <c r="B89" s="437"/>
      <c r="R89" s="434"/>
      <c r="S89" s="434"/>
      <c r="T89" s="434"/>
    </row>
    <row r="90" spans="1:20" ht="14.25" customHeight="1">
      <c r="B90" s="205" t="s">
        <v>130</v>
      </c>
      <c r="C90" s="205"/>
      <c r="D90" s="208"/>
      <c r="E90" s="208"/>
      <c r="F90" s="208"/>
      <c r="G90" s="208"/>
      <c r="H90" s="208"/>
      <c r="I90" s="208"/>
      <c r="J90" s="208"/>
      <c r="K90" s="208"/>
      <c r="L90" s="208"/>
      <c r="M90" s="208"/>
      <c r="N90" s="208"/>
      <c r="O90" s="208"/>
      <c r="P90" s="208"/>
      <c r="Q90" s="208"/>
      <c r="R90" s="208"/>
      <c r="S90" s="208"/>
      <c r="T90" s="208"/>
    </row>
    <row r="91" spans="1:20" ht="15.75" thickBot="1">
      <c r="B91" s="205"/>
      <c r="C91" s="205"/>
      <c r="D91" s="208"/>
      <c r="E91" s="208"/>
      <c r="F91" s="208"/>
      <c r="G91" s="208"/>
      <c r="H91" s="208"/>
      <c r="I91" s="208"/>
      <c r="J91" s="208"/>
      <c r="K91" s="208"/>
      <c r="L91" s="208"/>
      <c r="M91" s="208"/>
      <c r="N91" s="208"/>
      <c r="O91" s="208"/>
      <c r="P91" s="208"/>
      <c r="Q91" s="208"/>
      <c r="R91" s="208"/>
      <c r="S91" s="208"/>
      <c r="T91" s="208"/>
    </row>
    <row r="92" spans="1:20" ht="200.1" customHeight="1" thickBot="1">
      <c r="B92" s="983"/>
      <c r="C92" s="984"/>
      <c r="D92" s="984"/>
      <c r="E92" s="985"/>
      <c r="F92" s="693"/>
      <c r="G92" s="693"/>
      <c r="H92" s="693"/>
      <c r="I92" s="693"/>
      <c r="J92" s="693"/>
      <c r="K92" s="693"/>
      <c r="L92" s="693"/>
    </row>
    <row r="93" spans="1:20">
      <c r="B93" s="208"/>
      <c r="C93" s="208"/>
      <c r="D93" s="208"/>
    </row>
    <row r="94" spans="1:20">
      <c r="A94" s="210"/>
      <c r="B94" s="438" t="s">
        <v>213</v>
      </c>
    </row>
    <row r="95" spans="1:20" ht="15.75" thickBot="1">
      <c r="A95" s="210"/>
      <c r="B95" s="438"/>
    </row>
    <row r="96" spans="1:20" ht="73.5" customHeight="1" thickBot="1">
      <c r="B96" s="765" t="s">
        <v>15</v>
      </c>
      <c r="C96" s="689" t="s">
        <v>193</v>
      </c>
      <c r="D96" s="689" t="s">
        <v>192</v>
      </c>
      <c r="E96" s="689" t="s">
        <v>1012</v>
      </c>
    </row>
    <row r="97" spans="1:12">
      <c r="B97" s="751"/>
      <c r="C97" s="751"/>
      <c r="D97" s="751"/>
      <c r="E97" s="751"/>
    </row>
    <row r="98" spans="1:12">
      <c r="B98" s="752"/>
      <c r="C98" s="752"/>
      <c r="D98" s="752"/>
      <c r="E98" s="752"/>
    </row>
    <row r="99" spans="1:12">
      <c r="B99" s="752"/>
      <c r="C99" s="752"/>
      <c r="D99" s="752"/>
      <c r="E99" s="752"/>
    </row>
    <row r="100" spans="1:12">
      <c r="B100" s="752"/>
      <c r="C100" s="752"/>
      <c r="D100" s="752"/>
      <c r="E100" s="752"/>
    </row>
    <row r="101" spans="1:12">
      <c r="B101" s="752"/>
      <c r="C101" s="752"/>
      <c r="D101" s="752"/>
      <c r="E101" s="752"/>
    </row>
    <row r="102" spans="1:12">
      <c r="B102" s="752"/>
      <c r="C102" s="752"/>
      <c r="D102" s="752"/>
      <c r="E102" s="752"/>
    </row>
    <row r="103" spans="1:12">
      <c r="B103" s="752"/>
      <c r="C103" s="752"/>
      <c r="D103" s="752"/>
      <c r="E103" s="752"/>
    </row>
    <row r="104" spans="1:12">
      <c r="B104" s="752"/>
      <c r="C104" s="752"/>
      <c r="D104" s="752"/>
      <c r="E104" s="752"/>
    </row>
    <row r="105" spans="1:12" ht="15.75" thickBot="1">
      <c r="B105" s="764"/>
      <c r="C105" s="764"/>
      <c r="D105" s="764"/>
      <c r="E105" s="764"/>
    </row>
    <row r="107" spans="1:12">
      <c r="B107" s="205" t="s">
        <v>130</v>
      </c>
      <c r="C107" s="205"/>
      <c r="D107" s="208"/>
      <c r="E107" s="208"/>
      <c r="F107" s="208"/>
      <c r="G107" s="208"/>
      <c r="H107" s="208"/>
      <c r="I107" s="208"/>
      <c r="J107" s="208"/>
      <c r="K107" s="208"/>
      <c r="L107" s="208"/>
    </row>
    <row r="108" spans="1:12" ht="15.75" thickBot="1">
      <c r="B108" s="205"/>
      <c r="C108" s="205"/>
      <c r="D108" s="208"/>
      <c r="E108" s="208"/>
      <c r="F108" s="208"/>
      <c r="G108" s="208"/>
      <c r="H108" s="208"/>
      <c r="I108" s="208"/>
      <c r="J108" s="208"/>
      <c r="K108" s="208"/>
      <c r="L108" s="208"/>
    </row>
    <row r="109" spans="1:12" ht="200.1" customHeight="1" thickBot="1">
      <c r="B109" s="1431"/>
      <c r="C109" s="984"/>
      <c r="D109" s="984"/>
      <c r="E109" s="985"/>
      <c r="F109" s="693"/>
      <c r="G109" s="746"/>
      <c r="H109" s="746"/>
      <c r="I109" s="746"/>
      <c r="J109" s="693"/>
      <c r="K109" s="746"/>
      <c r="L109" s="746"/>
    </row>
    <row r="111" spans="1:12">
      <c r="A111" s="210"/>
      <c r="B111" s="412" t="s">
        <v>890</v>
      </c>
      <c r="C111" s="408"/>
      <c r="D111" s="241"/>
      <c r="E111" s="241"/>
      <c r="F111" s="241"/>
      <c r="G111" s="418"/>
      <c r="H111" s="418"/>
      <c r="I111" s="418"/>
      <c r="J111" s="418"/>
      <c r="K111" s="418"/>
      <c r="L111" s="418"/>
    </row>
    <row r="112" spans="1:12">
      <c r="B112" s="412"/>
      <c r="C112" s="408"/>
      <c r="D112" s="241"/>
      <c r="E112" s="241"/>
      <c r="F112" s="241"/>
      <c r="G112" s="418"/>
      <c r="H112" s="418"/>
      <c r="I112" s="418"/>
      <c r="J112" s="418"/>
      <c r="K112" s="418"/>
      <c r="L112" s="418"/>
    </row>
    <row r="113" spans="2:14">
      <c r="B113" s="241" t="s">
        <v>136</v>
      </c>
      <c r="C113" s="395"/>
      <c r="D113" s="395"/>
      <c r="E113" s="395"/>
      <c r="F113" s="395"/>
      <c r="G113" s="395"/>
      <c r="H113" s="395"/>
      <c r="I113" s="395"/>
      <c r="J113" s="418"/>
      <c r="K113" s="418"/>
      <c r="L113" s="418"/>
    </row>
    <row r="114" spans="2:14" ht="15.75" thickBot="1">
      <c r="B114" s="241"/>
      <c r="C114" s="408"/>
      <c r="D114" s="241"/>
      <c r="E114" s="241"/>
      <c r="F114" s="241"/>
      <c r="G114" s="241"/>
      <c r="H114" s="241"/>
      <c r="I114" s="241"/>
      <c r="J114" s="418"/>
      <c r="K114" s="418"/>
      <c r="L114" s="418"/>
    </row>
    <row r="115" spans="2:14" ht="15.75" customHeight="1" thickBot="1">
      <c r="B115" s="1427" t="s">
        <v>212</v>
      </c>
      <c r="C115" s="1428"/>
      <c r="D115" s="1218" t="s">
        <v>889</v>
      </c>
      <c r="E115" s="1060"/>
      <c r="F115" s="1061" t="s">
        <v>41</v>
      </c>
      <c r="G115" s="1061"/>
      <c r="H115" s="1061"/>
      <c r="I115" s="1061"/>
      <c r="J115" s="1061" t="s">
        <v>159</v>
      </c>
      <c r="K115" s="1061"/>
      <c r="L115" s="1061"/>
      <c r="M115" s="1061"/>
      <c r="N115" s="1077"/>
    </row>
    <row r="116" spans="2:14">
      <c r="B116" s="1429"/>
      <c r="C116" s="1430"/>
      <c r="D116" s="1220"/>
      <c r="E116" s="1070"/>
      <c r="F116" s="1425"/>
      <c r="G116" s="1425"/>
      <c r="H116" s="1425"/>
      <c r="I116" s="1425"/>
      <c r="J116" s="1425"/>
      <c r="K116" s="1425"/>
      <c r="L116" s="1425"/>
      <c r="M116" s="1425"/>
      <c r="N116" s="1426"/>
    </row>
    <row r="117" spans="2:14">
      <c r="B117" s="1240"/>
      <c r="C117" s="1052"/>
      <c r="D117" s="1111"/>
      <c r="E117" s="1112"/>
      <c r="F117" s="1109"/>
      <c r="G117" s="1109"/>
      <c r="H117" s="1109"/>
      <c r="I117" s="1109"/>
      <c r="J117" s="1109"/>
      <c r="K117" s="1109"/>
      <c r="L117" s="1109"/>
      <c r="M117" s="1109"/>
      <c r="N117" s="1110"/>
    </row>
    <row r="118" spans="2:14">
      <c r="B118" s="1240"/>
      <c r="C118" s="1052"/>
      <c r="D118" s="1111"/>
      <c r="E118" s="1112"/>
      <c r="F118" s="1109"/>
      <c r="G118" s="1109"/>
      <c r="H118" s="1109"/>
      <c r="I118" s="1109"/>
      <c r="J118" s="1109"/>
      <c r="K118" s="1109"/>
      <c r="L118" s="1109"/>
      <c r="M118" s="1109"/>
      <c r="N118" s="1110"/>
    </row>
    <row r="119" spans="2:14">
      <c r="B119" s="1240"/>
      <c r="C119" s="1052"/>
      <c r="D119" s="1111"/>
      <c r="E119" s="1112"/>
      <c r="F119" s="1109"/>
      <c r="G119" s="1109"/>
      <c r="H119" s="1109"/>
      <c r="I119" s="1109"/>
      <c r="J119" s="1109"/>
      <c r="K119" s="1109"/>
      <c r="L119" s="1109"/>
      <c r="M119" s="1109"/>
      <c r="N119" s="1110"/>
    </row>
    <row r="120" spans="2:14">
      <c r="B120" s="1240"/>
      <c r="C120" s="1052"/>
      <c r="D120" s="1111"/>
      <c r="E120" s="1112"/>
      <c r="F120" s="1109"/>
      <c r="G120" s="1109"/>
      <c r="H120" s="1109"/>
      <c r="I120" s="1109"/>
      <c r="J120" s="1109"/>
      <c r="K120" s="1109"/>
      <c r="L120" s="1109"/>
      <c r="M120" s="1109"/>
      <c r="N120" s="1110"/>
    </row>
    <row r="121" spans="2:14">
      <c r="B121" s="1240"/>
      <c r="C121" s="1052"/>
      <c r="D121" s="1111"/>
      <c r="E121" s="1112"/>
      <c r="F121" s="1109"/>
      <c r="G121" s="1109"/>
      <c r="H121" s="1109"/>
      <c r="I121" s="1109"/>
      <c r="J121" s="1109"/>
      <c r="K121" s="1109"/>
      <c r="L121" s="1109"/>
      <c r="M121" s="1109"/>
      <c r="N121" s="1110"/>
    </row>
    <row r="122" spans="2:14">
      <c r="B122" s="1240"/>
      <c r="C122" s="1052"/>
      <c r="D122" s="1111"/>
      <c r="E122" s="1112"/>
      <c r="F122" s="1109"/>
      <c r="G122" s="1109"/>
      <c r="H122" s="1109"/>
      <c r="I122" s="1109"/>
      <c r="J122" s="1109"/>
      <c r="K122" s="1109"/>
      <c r="L122" s="1109"/>
      <c r="M122" s="1109"/>
      <c r="N122" s="1110"/>
    </row>
    <row r="123" spans="2:14">
      <c r="B123" s="1240"/>
      <c r="C123" s="1052"/>
      <c r="D123" s="1111"/>
      <c r="E123" s="1112"/>
      <c r="F123" s="1109"/>
      <c r="G123" s="1109"/>
      <c r="H123" s="1109"/>
      <c r="I123" s="1109"/>
      <c r="J123" s="1109"/>
      <c r="K123" s="1109"/>
      <c r="L123" s="1109"/>
      <c r="M123" s="1109"/>
      <c r="N123" s="1110"/>
    </row>
    <row r="124" spans="2:14">
      <c r="B124" s="1240"/>
      <c r="C124" s="1052"/>
      <c r="D124" s="1111"/>
      <c r="E124" s="1112"/>
      <c r="F124" s="1109"/>
      <c r="G124" s="1109"/>
      <c r="H124" s="1109"/>
      <c r="I124" s="1109"/>
      <c r="J124" s="1109"/>
      <c r="K124" s="1109"/>
      <c r="L124" s="1109"/>
      <c r="M124" s="1109"/>
      <c r="N124" s="1110"/>
    </row>
    <row r="125" spans="2:14">
      <c r="B125" s="1240"/>
      <c r="C125" s="1052"/>
      <c r="D125" s="1111"/>
      <c r="E125" s="1112"/>
      <c r="F125" s="1109"/>
      <c r="G125" s="1109"/>
      <c r="H125" s="1109"/>
      <c r="I125" s="1109"/>
      <c r="J125" s="1109"/>
      <c r="K125" s="1109"/>
      <c r="L125" s="1109"/>
      <c r="M125" s="1109"/>
      <c r="N125" s="1110"/>
    </row>
    <row r="126" spans="2:14">
      <c r="B126" s="1240"/>
      <c r="C126" s="1052"/>
      <c r="D126" s="1111"/>
      <c r="E126" s="1112"/>
      <c r="F126" s="1109"/>
      <c r="G126" s="1109"/>
      <c r="H126" s="1109"/>
      <c r="I126" s="1109"/>
      <c r="J126" s="1109"/>
      <c r="K126" s="1109"/>
      <c r="L126" s="1109"/>
      <c r="M126" s="1109"/>
      <c r="N126" s="1110"/>
    </row>
    <row r="127" spans="2:14">
      <c r="B127" s="1240"/>
      <c r="C127" s="1052"/>
      <c r="D127" s="1111"/>
      <c r="E127" s="1112"/>
      <c r="F127" s="1109"/>
      <c r="G127" s="1109"/>
      <c r="H127" s="1109"/>
      <c r="I127" s="1109"/>
      <c r="J127" s="1109"/>
      <c r="K127" s="1109"/>
      <c r="L127" s="1109"/>
      <c r="M127" s="1109"/>
      <c r="N127" s="1110"/>
    </row>
    <row r="128" spans="2:14">
      <c r="B128" s="1240"/>
      <c r="C128" s="1052"/>
      <c r="D128" s="1111"/>
      <c r="E128" s="1112"/>
      <c r="F128" s="1109"/>
      <c r="G128" s="1109"/>
      <c r="H128" s="1109"/>
      <c r="I128" s="1109"/>
      <c r="J128" s="1109"/>
      <c r="K128" s="1109"/>
      <c r="L128" s="1109"/>
      <c r="M128" s="1109"/>
      <c r="N128" s="1110"/>
    </row>
    <row r="129" spans="1:14">
      <c r="B129" s="1240"/>
      <c r="C129" s="1052"/>
      <c r="D129" s="1111"/>
      <c r="E129" s="1112"/>
      <c r="F129" s="1109"/>
      <c r="G129" s="1109"/>
      <c r="H129" s="1109"/>
      <c r="I129" s="1109"/>
      <c r="J129" s="1109"/>
      <c r="K129" s="1109"/>
      <c r="L129" s="1109"/>
      <c r="M129" s="1109"/>
      <c r="N129" s="1110"/>
    </row>
    <row r="130" spans="1:14">
      <c r="B130" s="1240"/>
      <c r="C130" s="1052"/>
      <c r="D130" s="1111"/>
      <c r="E130" s="1112"/>
      <c r="F130" s="1109"/>
      <c r="G130" s="1109"/>
      <c r="H130" s="1109"/>
      <c r="I130" s="1109"/>
      <c r="J130" s="1109"/>
      <c r="K130" s="1109"/>
      <c r="L130" s="1109"/>
      <c r="M130" s="1109"/>
      <c r="N130" s="1110"/>
    </row>
    <row r="131" spans="1:14" ht="15.75" thickBot="1">
      <c r="B131" s="1303"/>
      <c r="C131" s="1304"/>
      <c r="D131" s="1157"/>
      <c r="E131" s="1158"/>
      <c r="F131" s="1133"/>
      <c r="G131" s="1133"/>
      <c r="H131" s="1133"/>
      <c r="I131" s="1133"/>
      <c r="J131" s="1133"/>
      <c r="K131" s="1133"/>
      <c r="L131" s="1133"/>
      <c r="M131" s="1133"/>
      <c r="N131" s="1134"/>
    </row>
    <row r="133" spans="1:14">
      <c r="A133" s="210"/>
      <c r="B133" s="421" t="s">
        <v>146</v>
      </c>
      <c r="C133" s="394"/>
      <c r="D133" s="394"/>
      <c r="E133" s="394"/>
      <c r="F133" s="394"/>
      <c r="G133" s="394"/>
      <c r="H133" s="418"/>
      <c r="I133" s="418"/>
      <c r="J133" s="418"/>
      <c r="K133" s="418"/>
      <c r="L133" s="418"/>
    </row>
    <row r="134" spans="1:14" ht="10.5" customHeight="1">
      <c r="B134" s="421"/>
      <c r="C134" s="394"/>
      <c r="D134" s="394"/>
      <c r="E134" s="394"/>
      <c r="F134" s="394"/>
      <c r="G134" s="394"/>
      <c r="H134" s="418"/>
      <c r="I134" s="418"/>
      <c r="J134" s="418"/>
      <c r="K134" s="418"/>
      <c r="L134" s="418"/>
    </row>
    <row r="135" spans="1:14" ht="39.75" customHeight="1">
      <c r="B135" s="241" t="s">
        <v>155</v>
      </c>
      <c r="C135" s="431"/>
      <c r="D135" s="394"/>
      <c r="E135" s="394"/>
      <c r="F135" s="286"/>
      <c r="G135" s="286"/>
      <c r="H135" s="982" t="s">
        <v>156</v>
      </c>
      <c r="I135" s="982"/>
      <c r="J135" s="982"/>
      <c r="K135" s="982"/>
      <c r="L135" s="982"/>
    </row>
    <row r="136" spans="1:14" ht="15.75" thickBot="1">
      <c r="B136" s="205"/>
      <c r="C136" s="215"/>
    </row>
    <row r="137" spans="1:14" ht="15.75" thickBot="1">
      <c r="B137" s="1434" t="s">
        <v>91</v>
      </c>
      <c r="C137" s="1435"/>
      <c r="D137" s="1435"/>
      <c r="E137" s="1435" t="s">
        <v>139</v>
      </c>
      <c r="F137" s="1436"/>
      <c r="G137" s="375"/>
      <c r="H137" s="1245" t="s">
        <v>160</v>
      </c>
      <c r="I137" s="1242"/>
      <c r="J137" s="1242"/>
      <c r="K137" s="1242" t="s">
        <v>139</v>
      </c>
      <c r="L137" s="1244"/>
    </row>
    <row r="138" spans="1:14">
      <c r="B138" s="1293" t="s">
        <v>301</v>
      </c>
      <c r="C138" s="1294"/>
      <c r="D138" s="1294"/>
      <c r="E138" s="1432" t="s">
        <v>684</v>
      </c>
      <c r="F138" s="1433"/>
      <c r="G138" s="280"/>
      <c r="H138" s="1149"/>
      <c r="I138" s="1151"/>
      <c r="J138" s="1151"/>
      <c r="K138" s="1151"/>
      <c r="L138" s="1156"/>
    </row>
    <row r="139" spans="1:14">
      <c r="B139" s="1285" t="s">
        <v>302</v>
      </c>
      <c r="C139" s="1114"/>
      <c r="D139" s="1114"/>
      <c r="E139" s="1438">
        <v>1000</v>
      </c>
      <c r="F139" s="1302"/>
      <c r="G139" s="280"/>
      <c r="H139" s="1041"/>
      <c r="I139" s="1043"/>
      <c r="J139" s="1043"/>
      <c r="K139" s="1043"/>
      <c r="L139" s="1113"/>
    </row>
    <row r="140" spans="1:14">
      <c r="B140" s="1285" t="s">
        <v>303</v>
      </c>
      <c r="C140" s="1114"/>
      <c r="D140" s="1114"/>
      <c r="E140" s="1438">
        <v>1000</v>
      </c>
      <c r="F140" s="1302"/>
      <c r="G140" s="280"/>
      <c r="H140" s="1041"/>
      <c r="I140" s="1043"/>
      <c r="J140" s="1043"/>
      <c r="K140" s="1043"/>
      <c r="L140" s="1113"/>
    </row>
    <row r="141" spans="1:14">
      <c r="B141" s="1285" t="s">
        <v>304</v>
      </c>
      <c r="C141" s="1114"/>
      <c r="D141" s="1114"/>
      <c r="E141" s="1438">
        <v>1000</v>
      </c>
      <c r="F141" s="1302"/>
      <c r="G141" s="280"/>
      <c r="H141" s="1041"/>
      <c r="I141" s="1043"/>
      <c r="J141" s="1043"/>
      <c r="K141" s="1043"/>
      <c r="L141" s="1113"/>
    </row>
    <row r="142" spans="1:14" ht="15.75" thickBot="1">
      <c r="B142" s="1287" t="s">
        <v>305</v>
      </c>
      <c r="C142" s="1288"/>
      <c r="D142" s="1288"/>
      <c r="E142" s="1440">
        <v>1000</v>
      </c>
      <c r="F142" s="1441"/>
      <c r="G142" s="393"/>
      <c r="H142" s="1041"/>
      <c r="I142" s="1043"/>
      <c r="J142" s="1043"/>
      <c r="K142" s="1043"/>
      <c r="L142" s="1113"/>
    </row>
    <row r="143" spans="1:14">
      <c r="B143" s="379"/>
      <c r="C143" s="379"/>
      <c r="D143" s="379"/>
      <c r="E143" s="439"/>
      <c r="F143" s="262"/>
      <c r="G143" s="393"/>
      <c r="H143" s="1041"/>
      <c r="I143" s="1043"/>
      <c r="J143" s="1043"/>
      <c r="K143" s="1043"/>
      <c r="L143" s="1113"/>
    </row>
    <row r="144" spans="1:14">
      <c r="B144" s="379"/>
      <c r="C144" s="379"/>
      <c r="D144" s="379"/>
      <c r="E144" s="439"/>
      <c r="F144" s="262"/>
      <c r="G144" s="393"/>
      <c r="H144" s="1041"/>
      <c r="I144" s="1043"/>
      <c r="J144" s="1043"/>
      <c r="K144" s="1043"/>
      <c r="L144" s="1113"/>
    </row>
    <row r="145" spans="1:12">
      <c r="B145" s="379"/>
      <c r="C145" s="379"/>
      <c r="D145" s="379"/>
      <c r="E145" s="439"/>
      <c r="F145" s="262"/>
      <c r="G145" s="393"/>
      <c r="H145" s="1041"/>
      <c r="I145" s="1043"/>
      <c r="J145" s="1043"/>
      <c r="K145" s="1043"/>
      <c r="L145" s="1113"/>
    </row>
    <row r="146" spans="1:12">
      <c r="B146" s="379"/>
      <c r="C146" s="379"/>
      <c r="D146" s="379"/>
      <c r="E146" s="439"/>
      <c r="F146" s="262"/>
      <c r="G146" s="393"/>
      <c r="H146" s="1041"/>
      <c r="I146" s="1043"/>
      <c r="J146" s="1043"/>
      <c r="K146" s="1043"/>
      <c r="L146" s="1113"/>
    </row>
    <row r="147" spans="1:12" ht="15.75" thickBot="1">
      <c r="B147" s="379"/>
      <c r="C147" s="379"/>
      <c r="D147" s="379"/>
      <c r="E147" s="439"/>
      <c r="F147" s="262"/>
      <c r="G147" s="393"/>
      <c r="H147" s="1046"/>
      <c r="I147" s="1048"/>
      <c r="J147" s="1048"/>
      <c r="K147" s="1048"/>
      <c r="L147" s="1159"/>
    </row>
    <row r="149" spans="1:12">
      <c r="A149" s="269"/>
      <c r="B149" s="440" t="s">
        <v>143</v>
      </c>
      <c r="C149" s="415"/>
      <c r="D149" s="415"/>
      <c r="E149" s="394"/>
      <c r="F149" s="394"/>
      <c r="G149" s="394"/>
      <c r="H149" s="430"/>
      <c r="I149" s="430"/>
      <c r="J149" s="430"/>
      <c r="K149" s="430"/>
      <c r="L149" s="430"/>
    </row>
    <row r="150" spans="1:12">
      <c r="A150" s="411"/>
      <c r="B150" s="432"/>
      <c r="C150" s="394"/>
      <c r="D150" s="394"/>
      <c r="E150" s="394"/>
      <c r="F150" s="394"/>
      <c r="G150" s="394"/>
      <c r="H150" s="430"/>
      <c r="I150" s="430"/>
      <c r="J150" s="430"/>
      <c r="K150" s="430"/>
      <c r="L150" s="430"/>
    </row>
    <row r="151" spans="1:12">
      <c r="A151" s="411"/>
      <c r="B151" s="241" t="s">
        <v>149</v>
      </c>
      <c r="C151" s="394"/>
      <c r="D151" s="394"/>
      <c r="E151" s="395"/>
      <c r="F151" s="395"/>
      <c r="G151" s="987"/>
      <c r="H151" s="987"/>
      <c r="I151" s="987"/>
      <c r="J151" s="987"/>
      <c r="K151" s="987"/>
      <c r="L151" s="987"/>
    </row>
    <row r="152" spans="1:12">
      <c r="A152" s="411"/>
      <c r="B152" s="378"/>
      <c r="D152" s="340"/>
      <c r="F152" s="286"/>
      <c r="G152" s="274"/>
      <c r="H152" s="274"/>
      <c r="I152" s="274"/>
      <c r="J152" s="266"/>
      <c r="K152" s="266"/>
      <c r="L152" s="266"/>
    </row>
    <row r="153" spans="1:12">
      <c r="A153" s="411"/>
      <c r="B153" s="304" t="s">
        <v>300</v>
      </c>
      <c r="C153" s="319"/>
      <c r="D153" s="319"/>
      <c r="E153" s="319"/>
      <c r="F153" s="319"/>
      <c r="G153" s="1162"/>
      <c r="H153" s="1162"/>
      <c r="I153" s="1162"/>
      <c r="J153" s="441"/>
      <c r="K153" s="441"/>
      <c r="L153" s="441"/>
    </row>
    <row r="154" spans="1:12" ht="15.75" thickBot="1">
      <c r="A154" s="411"/>
      <c r="B154" s="374"/>
      <c r="G154" s="390"/>
      <c r="H154" s="266"/>
      <c r="I154" s="266"/>
      <c r="J154" s="266"/>
      <c r="K154" s="266"/>
      <c r="L154" s="266"/>
    </row>
    <row r="155" spans="1:12">
      <c r="A155" s="411"/>
      <c r="B155" s="1293" t="s">
        <v>301</v>
      </c>
      <c r="C155" s="1294"/>
      <c r="D155" s="1295"/>
      <c r="G155" s="1439"/>
      <c r="H155" s="1439"/>
      <c r="I155" s="1439"/>
      <c r="J155" s="1439"/>
      <c r="K155" s="1439"/>
      <c r="L155" s="1439"/>
    </row>
    <row r="156" spans="1:12">
      <c r="A156" s="411"/>
      <c r="B156" s="1285" t="s">
        <v>302</v>
      </c>
      <c r="C156" s="1114"/>
      <c r="D156" s="1286"/>
      <c r="G156" s="1437"/>
      <c r="H156" s="1437"/>
      <c r="I156" s="1439"/>
      <c r="J156" s="1439"/>
      <c r="K156" s="1439"/>
      <c r="L156" s="1439"/>
    </row>
    <row r="157" spans="1:12">
      <c r="A157" s="411"/>
      <c r="B157" s="1285" t="s">
        <v>303</v>
      </c>
      <c r="C157" s="1114"/>
      <c r="D157" s="1286"/>
      <c r="G157" s="1437"/>
      <c r="H157" s="1437"/>
      <c r="I157" s="1439"/>
      <c r="J157" s="1439"/>
      <c r="K157" s="1439"/>
      <c r="L157" s="1439"/>
    </row>
    <row r="158" spans="1:12">
      <c r="A158" s="411"/>
      <c r="B158" s="1285" t="s">
        <v>304</v>
      </c>
      <c r="C158" s="1114"/>
      <c r="D158" s="1286"/>
      <c r="G158" s="1437"/>
      <c r="H158" s="1437"/>
      <c r="I158" s="1439"/>
      <c r="J158" s="1439"/>
      <c r="K158" s="1439"/>
      <c r="L158" s="1439"/>
    </row>
    <row r="159" spans="1:12" ht="15.75" thickBot="1">
      <c r="A159" s="411"/>
      <c r="B159" s="1316" t="s">
        <v>305</v>
      </c>
      <c r="C159" s="1317"/>
      <c r="D159" s="1318"/>
      <c r="G159" s="1437"/>
      <c r="H159" s="1437"/>
      <c r="I159" s="1439"/>
      <c r="J159" s="1439"/>
      <c r="K159" s="1439"/>
      <c r="L159" s="1439"/>
    </row>
    <row r="160" spans="1:12">
      <c r="A160" s="411"/>
      <c r="B160" s="378"/>
      <c r="G160" s="1437"/>
      <c r="H160" s="1437"/>
      <c r="I160" s="1439"/>
      <c r="J160" s="1439"/>
      <c r="K160" s="1439"/>
      <c r="L160" s="1439"/>
    </row>
    <row r="161" spans="1:12">
      <c r="A161" s="411"/>
      <c r="G161" s="1437"/>
      <c r="H161" s="1437"/>
      <c r="I161" s="1439"/>
      <c r="J161" s="1439"/>
      <c r="K161" s="1439"/>
      <c r="L161" s="1439"/>
    </row>
    <row r="162" spans="1:12">
      <c r="A162" s="411"/>
      <c r="G162" s="266"/>
      <c r="H162" s="266"/>
      <c r="I162" s="266"/>
      <c r="J162" s="266"/>
      <c r="K162" s="266"/>
      <c r="L162" s="266"/>
    </row>
    <row r="163" spans="1:12">
      <c r="A163" s="411"/>
    </row>
    <row r="164" spans="1:12">
      <c r="A164" s="411"/>
    </row>
    <row r="165" spans="1:12">
      <c r="A165" s="411"/>
    </row>
    <row r="166" spans="1:12">
      <c r="A166" s="411"/>
    </row>
    <row r="167" spans="1:12">
      <c r="A167" s="411"/>
    </row>
    <row r="168" spans="1:12">
      <c r="A168" s="411"/>
    </row>
    <row r="169" spans="1:12">
      <c r="A169" s="411"/>
    </row>
    <row r="170" spans="1:12">
      <c r="A170" s="411"/>
    </row>
    <row r="171" spans="1:12">
      <c r="A171" s="411"/>
    </row>
    <row r="172" spans="1:12">
      <c r="A172" s="411"/>
    </row>
    <row r="173" spans="1:12">
      <c r="A173" s="411"/>
    </row>
    <row r="174" spans="1:12">
      <c r="A174" s="411"/>
    </row>
    <row r="175" spans="1:12">
      <c r="A175" s="411"/>
    </row>
    <row r="176" spans="1:12">
      <c r="A176" s="411"/>
    </row>
    <row r="177" spans="1:1">
      <c r="A177" s="411"/>
    </row>
    <row r="178" spans="1:1">
      <c r="A178" s="411"/>
    </row>
    <row r="179" spans="1:1">
      <c r="A179" s="411"/>
    </row>
    <row r="180" spans="1:1">
      <c r="A180" s="411"/>
    </row>
    <row r="181" spans="1:1">
      <c r="A181" s="411"/>
    </row>
  </sheetData>
  <sheetProtection formatCells="0" formatColumns="0" formatRows="0"/>
  <customSheetViews>
    <customSheetView guid="{B6007CFB-3D06-43CC-8EB0-042D40129E35}" scale="80" showGridLines="0">
      <selection activeCell="P17" sqref="P17"/>
      <rowBreaks count="1" manualBreakCount="1">
        <brk id="40" max="16383" man="1"/>
      </rowBreaks>
      <pageMargins left="0" right="0" top="1.1417322834645669" bottom="0" header="0" footer="0"/>
      <pageSetup paperSize="9" scale="60" fitToHeight="2" orientation="portrait" r:id="rId1"/>
    </customSheetView>
  </customSheetViews>
  <mergeCells count="191">
    <mergeCell ref="G151:L151"/>
    <mergeCell ref="B74:E74"/>
    <mergeCell ref="B140:D140"/>
    <mergeCell ref="H143:J143"/>
    <mergeCell ref="K143:L143"/>
    <mergeCell ref="B117:C117"/>
    <mergeCell ref="B142:D142"/>
    <mergeCell ref="E142:F142"/>
    <mergeCell ref="H142:J142"/>
    <mergeCell ref="K142:L142"/>
    <mergeCell ref="K139:L139"/>
    <mergeCell ref="F131:I131"/>
    <mergeCell ref="E140:F140"/>
    <mergeCell ref="H140:J140"/>
    <mergeCell ref="K140:L140"/>
    <mergeCell ref="B141:D141"/>
    <mergeCell ref="E141:F141"/>
    <mergeCell ref="H141:J141"/>
    <mergeCell ref="K141:L141"/>
    <mergeCell ref="B130:C130"/>
    <mergeCell ref="B131:C131"/>
    <mergeCell ref="F129:I129"/>
    <mergeCell ref="J129:N129"/>
    <mergeCell ref="D130:E130"/>
    <mergeCell ref="G160:H160"/>
    <mergeCell ref="I160:J160"/>
    <mergeCell ref="K160:L160"/>
    <mergeCell ref="G161:H161"/>
    <mergeCell ref="I161:J161"/>
    <mergeCell ref="K161:L161"/>
    <mergeCell ref="K159:L159"/>
    <mergeCell ref="K155:L155"/>
    <mergeCell ref="K156:L156"/>
    <mergeCell ref="G157:H157"/>
    <mergeCell ref="I157:J157"/>
    <mergeCell ref="K157:L157"/>
    <mergeCell ref="G156:H156"/>
    <mergeCell ref="I156:J156"/>
    <mergeCell ref="B159:D159"/>
    <mergeCell ref="G159:H159"/>
    <mergeCell ref="B139:D139"/>
    <mergeCell ref="E139:F139"/>
    <mergeCell ref="H139:J139"/>
    <mergeCell ref="H144:J144"/>
    <mergeCell ref="K144:L144"/>
    <mergeCell ref="K145:L145"/>
    <mergeCell ref="H146:J146"/>
    <mergeCell ref="K146:L146"/>
    <mergeCell ref="H147:J147"/>
    <mergeCell ref="B158:D158"/>
    <mergeCell ref="G158:H158"/>
    <mergeCell ref="I158:J158"/>
    <mergeCell ref="K158:L158"/>
    <mergeCell ref="I159:J159"/>
    <mergeCell ref="G153:I153"/>
    <mergeCell ref="B155:D155"/>
    <mergeCell ref="G155:H155"/>
    <mergeCell ref="I155:J155"/>
    <mergeCell ref="B157:D157"/>
    <mergeCell ref="B156:D156"/>
    <mergeCell ref="K147:L147"/>
    <mergeCell ref="H145:J145"/>
    <mergeCell ref="D125:E125"/>
    <mergeCell ref="F125:I125"/>
    <mergeCell ref="J125:N125"/>
    <mergeCell ref="B125:C125"/>
    <mergeCell ref="B126:C126"/>
    <mergeCell ref="J123:N123"/>
    <mergeCell ref="B127:C127"/>
    <mergeCell ref="D126:E126"/>
    <mergeCell ref="F126:I126"/>
    <mergeCell ref="J126:N126"/>
    <mergeCell ref="D127:E127"/>
    <mergeCell ref="F127:I127"/>
    <mergeCell ref="J127:N127"/>
    <mergeCell ref="B138:D138"/>
    <mergeCell ref="E138:F138"/>
    <mergeCell ref="H138:J138"/>
    <mergeCell ref="K138:L138"/>
    <mergeCell ref="H135:L135"/>
    <mergeCell ref="B128:C128"/>
    <mergeCell ref="B129:C129"/>
    <mergeCell ref="F128:I128"/>
    <mergeCell ref="D131:E131"/>
    <mergeCell ref="J131:N131"/>
    <mergeCell ref="B137:D137"/>
    <mergeCell ref="E137:F137"/>
    <mergeCell ref="H137:J137"/>
    <mergeCell ref="K137:L137"/>
    <mergeCell ref="F130:I130"/>
    <mergeCell ref="J130:N130"/>
    <mergeCell ref="D128:E128"/>
    <mergeCell ref="J128:N128"/>
    <mergeCell ref="D129:E129"/>
    <mergeCell ref="B58:L58"/>
    <mergeCell ref="F119:I119"/>
    <mergeCell ref="D115:E115"/>
    <mergeCell ref="F115:I115"/>
    <mergeCell ref="J115:N115"/>
    <mergeCell ref="D116:E116"/>
    <mergeCell ref="F116:I116"/>
    <mergeCell ref="J116:N116"/>
    <mergeCell ref="J117:N117"/>
    <mergeCell ref="D117:E117"/>
    <mergeCell ref="F117:I117"/>
    <mergeCell ref="B118:C118"/>
    <mergeCell ref="B119:C119"/>
    <mergeCell ref="B115:C115"/>
    <mergeCell ref="B116:C116"/>
    <mergeCell ref="B92:E92"/>
    <mergeCell ref="B109:E109"/>
    <mergeCell ref="J118:N118"/>
    <mergeCell ref="D119:E119"/>
    <mergeCell ref="D118:E118"/>
    <mergeCell ref="F118:I118"/>
    <mergeCell ref="J119:N119"/>
    <mergeCell ref="B122:C122"/>
    <mergeCell ref="B123:C123"/>
    <mergeCell ref="B124:C124"/>
    <mergeCell ref="B120:C120"/>
    <mergeCell ref="D121:E121"/>
    <mergeCell ref="F121:I121"/>
    <mergeCell ref="J121:N121"/>
    <mergeCell ref="D120:E120"/>
    <mergeCell ref="F120:I120"/>
    <mergeCell ref="J120:N120"/>
    <mergeCell ref="B121:C121"/>
    <mergeCell ref="D122:E122"/>
    <mergeCell ref="F122:I122"/>
    <mergeCell ref="J122:N122"/>
    <mergeCell ref="D123:E123"/>
    <mergeCell ref="F123:I123"/>
    <mergeCell ref="D124:E124"/>
    <mergeCell ref="F124:I124"/>
    <mergeCell ref="J124:N124"/>
    <mergeCell ref="D5:E5"/>
    <mergeCell ref="F5:H5"/>
    <mergeCell ref="I5:J5"/>
    <mergeCell ref="D6:E6"/>
    <mergeCell ref="F6:H6"/>
    <mergeCell ref="I6:J6"/>
    <mergeCell ref="D7:E7"/>
    <mergeCell ref="F7:H7"/>
    <mergeCell ref="I7:J7"/>
    <mergeCell ref="D8:E8"/>
    <mergeCell ref="F8:H8"/>
    <mergeCell ref="I8:J8"/>
    <mergeCell ref="D9:E9"/>
    <mergeCell ref="F9:H9"/>
    <mergeCell ref="I9:J9"/>
    <mergeCell ref="D10:E10"/>
    <mergeCell ref="F10:H10"/>
    <mergeCell ref="I10:J10"/>
    <mergeCell ref="D11:E11"/>
    <mergeCell ref="F11:H11"/>
    <mergeCell ref="I11:J11"/>
    <mergeCell ref="D12:E12"/>
    <mergeCell ref="F12:H12"/>
    <mergeCell ref="I12:J12"/>
    <mergeCell ref="D13:E13"/>
    <mergeCell ref="F13:H13"/>
    <mergeCell ref="I13:J13"/>
    <mergeCell ref="D14:E14"/>
    <mergeCell ref="F14:H14"/>
    <mergeCell ref="I14:J14"/>
    <mergeCell ref="D15:E15"/>
    <mergeCell ref="F15:H15"/>
    <mergeCell ref="I15:J15"/>
    <mergeCell ref="D16:E16"/>
    <mergeCell ref="F16:H16"/>
    <mergeCell ref="I16:J16"/>
    <mergeCell ref="D17:E17"/>
    <mergeCell ref="F17:H17"/>
    <mergeCell ref="I17:J17"/>
    <mergeCell ref="D18:E18"/>
    <mergeCell ref="F18:H18"/>
    <mergeCell ref="I18:J18"/>
    <mergeCell ref="D19:E19"/>
    <mergeCell ref="F19:H19"/>
    <mergeCell ref="I19:J19"/>
    <mergeCell ref="B24:J24"/>
    <mergeCell ref="B32:J32"/>
    <mergeCell ref="D20:E20"/>
    <mergeCell ref="F20:H20"/>
    <mergeCell ref="I20:J20"/>
    <mergeCell ref="D21:E21"/>
    <mergeCell ref="F21:H21"/>
    <mergeCell ref="I21:J21"/>
    <mergeCell ref="D22:E22"/>
    <mergeCell ref="F22:H22"/>
    <mergeCell ref="I22:J22"/>
  </mergeCells>
  <dataValidations count="3">
    <dataValidation type="list" allowBlank="1" showInputMessage="1" showErrorMessage="1" sqref="B116:C131">
      <formula1>"All, Death In Retirement, Death in Deferment, Death in Service"</formula1>
    </dataValidation>
    <dataValidation type="list" allowBlank="1" showInputMessage="1" showErrorMessage="1" sqref="D116:E131">
      <formula1>"Validation, Error, Warning"</formula1>
    </dataValidation>
    <dataValidation type="list" allowBlank="1" showInputMessage="1" showErrorMessage="1" sqref="D33:F43">
      <formula1>"Final aSlary, Money Purchase, Hybrid"</formula1>
    </dataValidation>
  </dataValidations>
  <hyperlinks>
    <hyperlink ref="B28" location="D_Errors_Warnings" display="Scheme Specific Validations, Errors &amp; Warnings"/>
    <hyperlink ref="B29" location="D_Letter" display="Letters"/>
    <hyperlink ref="B30" location="D_Writeback" display="Fields to be posted to the Database"/>
    <hyperlink ref="B27" location="Death_in_Deferment" display="Death in Deferment"/>
    <hyperlink ref="B25" location="Death_in_Retirement" display="Death in Retirement"/>
    <hyperlink ref="B26" location="Death_in_Service" display="Death in Service"/>
    <hyperlink ref="B34" location="Contracted_Out" display="Contracted Out"/>
    <hyperlink ref="B35" location="NRA" display="NRA"/>
    <hyperlink ref="B36" location="Pensionable_Salary" display="Pensionable Salary "/>
    <hyperlink ref="B37" location="Career_Average_Revalued_Earnings__CARE" display="Career Average Revalued Earnings (CARE)"/>
    <hyperlink ref="B38" location="Final_Pensionable_Salary" display="Final Pensionable Salary "/>
    <hyperlink ref="B39" location="Pensionable_Service" display="Pensionable Service "/>
    <hyperlink ref="B40" location="Part_Time" display="Part Time"/>
    <hyperlink ref="B41" location="Revaluation" display="Revaluation"/>
    <hyperlink ref="B42" location="Escalation" display="Escalation"/>
    <hyperlink ref="G33" location="Historic_Benefits" display="Historic Benefits"/>
    <hyperlink ref="G34" location="AVCs" display="AVCs"/>
    <hyperlink ref="G35" location="DC" display="DC"/>
    <hyperlink ref="G36" location="Additional_Cash" display="Additional Cash"/>
    <hyperlink ref="G37" location="Spouse_Dependants_Benefits" display="Spouse/Dependants Benefits"/>
    <hyperlink ref="G38" location="Death_Lump_Sums" display="Death Lump Sums"/>
    <hyperlink ref="G39" location="Children_s_Benefits" display="Children's Benefits"/>
    <hyperlink ref="G40" location="Trivial_Commutation" display="Trivial Commutation"/>
    <hyperlink ref="G41" location="Refund_of_Contribution_Calculations" display="Refund of Contribution Calculations"/>
    <hyperlink ref="B33" location="Scheme_Categories" display="Scheme Categories"/>
  </hyperlinks>
  <pageMargins left="0" right="0" top="1.1417322834645669" bottom="0" header="0" footer="0"/>
  <pageSetup paperSize="9" scale="60" fitToHeight="2" orientation="portrait" r:id="rId2"/>
  <rowBreaks count="1" manualBreakCount="1">
    <brk id="110" max="16383" man="1"/>
  </rowBreaks>
  <legacyDrawing r:id="rId3"/>
</worksheet>
</file>

<file path=xl/worksheets/sheet9.xml><?xml version="1.0" encoding="utf-8"?>
<worksheet xmlns="http://schemas.openxmlformats.org/spreadsheetml/2006/main" xmlns:r="http://schemas.openxmlformats.org/officeDocument/2006/relationships">
  <sheetPr codeName="Sheet10"/>
  <dimension ref="A1:Z226"/>
  <sheetViews>
    <sheetView showGridLines="0" topLeftCell="A28" zoomScale="80" zoomScaleNormal="80" zoomScaleSheetLayoutView="90" workbookViewId="0">
      <selection activeCell="B46" sqref="B46"/>
    </sheetView>
  </sheetViews>
  <sheetFormatPr defaultRowHeight="15"/>
  <cols>
    <col min="1" max="1" width="4" style="394" bestFit="1" customWidth="1"/>
    <col min="2" max="2" width="28.140625" style="394" customWidth="1"/>
    <col min="3" max="6" width="11.7109375" style="394" customWidth="1"/>
    <col min="7" max="7" width="28" style="394" customWidth="1"/>
    <col min="8" max="8" width="18.7109375" style="394" customWidth="1"/>
    <col min="9" max="15" width="11.7109375" style="394" customWidth="1"/>
    <col min="16" max="26" width="15.5703125" style="394" customWidth="1"/>
    <col min="27" max="16384" width="9.140625" style="394"/>
  </cols>
  <sheetData>
    <row r="1" spans="1:10" s="241" customFormat="1" ht="18.75">
      <c r="A1" s="323"/>
      <c r="B1" s="323" t="s">
        <v>214</v>
      </c>
      <c r="C1" s="408"/>
    </row>
    <row r="2" spans="1:10" s="241" customFormat="1" ht="15" customHeight="1">
      <c r="A2" s="323"/>
      <c r="B2" s="323"/>
      <c r="C2" s="408"/>
    </row>
    <row r="3" spans="1:10" s="241" customFormat="1" ht="15" customHeight="1">
      <c r="A3" s="323"/>
      <c r="B3" s="11" t="s">
        <v>121</v>
      </c>
      <c r="C3" s="209"/>
      <c r="D3" s="18"/>
      <c r="E3" s="18"/>
      <c r="F3" s="18"/>
      <c r="G3" s="356"/>
      <c r="H3" s="18"/>
      <c r="I3" s="18"/>
      <c r="J3" s="18"/>
    </row>
    <row r="4" spans="1:10" s="241" customFormat="1" ht="15" customHeight="1" thickBot="1">
      <c r="A4" s="323"/>
      <c r="B4" s="204"/>
      <c r="C4" s="209"/>
      <c r="D4" s="18"/>
      <c r="E4" s="18"/>
      <c r="F4" s="18"/>
      <c r="G4" s="356"/>
      <c r="H4" s="18"/>
      <c r="I4" s="18"/>
      <c r="J4" s="18"/>
    </row>
    <row r="5" spans="1:10" s="241" customFormat="1" ht="15" customHeight="1" thickBot="1">
      <c r="A5" s="323"/>
      <c r="B5" s="487" t="s">
        <v>94</v>
      </c>
      <c r="C5" s="488" t="s">
        <v>122</v>
      </c>
      <c r="D5" s="999" t="s">
        <v>163</v>
      </c>
      <c r="E5" s="999"/>
      <c r="F5" s="999" t="s">
        <v>123</v>
      </c>
      <c r="G5" s="999"/>
      <c r="H5" s="999"/>
      <c r="I5" s="1028" t="s">
        <v>738</v>
      </c>
      <c r="J5" s="1029"/>
    </row>
    <row r="6" spans="1:10" s="241" customFormat="1" ht="15" customHeight="1">
      <c r="A6" s="323"/>
      <c r="B6" s="489"/>
      <c r="C6" s="490"/>
      <c r="D6" s="1000"/>
      <c r="E6" s="1000"/>
      <c r="F6" s="1000"/>
      <c r="G6" s="1000"/>
      <c r="H6" s="1000"/>
      <c r="I6" s="997"/>
      <c r="J6" s="998"/>
    </row>
    <row r="7" spans="1:10" s="241" customFormat="1" ht="15" customHeight="1">
      <c r="A7" s="323"/>
      <c r="B7" s="491"/>
      <c r="C7" s="468"/>
      <c r="D7" s="1022"/>
      <c r="E7" s="1022"/>
      <c r="F7" s="1022"/>
      <c r="G7" s="1022"/>
      <c r="H7" s="1022"/>
      <c r="I7" s="1023"/>
      <c r="J7" s="1024"/>
    </row>
    <row r="8" spans="1:10" s="241" customFormat="1" ht="15" customHeight="1">
      <c r="A8" s="323"/>
      <c r="B8" s="491"/>
      <c r="C8" s="468"/>
      <c r="D8" s="1022"/>
      <c r="E8" s="1022"/>
      <c r="F8" s="1022"/>
      <c r="G8" s="1022"/>
      <c r="H8" s="1022"/>
      <c r="I8" s="1023"/>
      <c r="J8" s="1024"/>
    </row>
    <row r="9" spans="1:10" s="241" customFormat="1" ht="15" customHeight="1">
      <c r="A9" s="323"/>
      <c r="B9" s="491"/>
      <c r="C9" s="468"/>
      <c r="D9" s="1022"/>
      <c r="E9" s="1022"/>
      <c r="F9" s="1022"/>
      <c r="G9" s="1022"/>
      <c r="H9" s="1022"/>
      <c r="I9" s="1023"/>
      <c r="J9" s="1024"/>
    </row>
    <row r="10" spans="1:10" s="241" customFormat="1" ht="15" customHeight="1">
      <c r="A10" s="323"/>
      <c r="B10" s="491"/>
      <c r="C10" s="468"/>
      <c r="D10" s="1022"/>
      <c r="E10" s="1022"/>
      <c r="F10" s="1022"/>
      <c r="G10" s="1022"/>
      <c r="H10" s="1022"/>
      <c r="I10" s="1023"/>
      <c r="J10" s="1024"/>
    </row>
    <row r="11" spans="1:10" s="241" customFormat="1" ht="15" customHeight="1">
      <c r="A11" s="323"/>
      <c r="B11" s="491"/>
      <c r="C11" s="468"/>
      <c r="D11" s="1022"/>
      <c r="E11" s="1022"/>
      <c r="F11" s="1022"/>
      <c r="G11" s="1022"/>
      <c r="H11" s="1022"/>
      <c r="I11" s="1023"/>
      <c r="J11" s="1024"/>
    </row>
    <row r="12" spans="1:10" s="241" customFormat="1" ht="15" customHeight="1">
      <c r="A12" s="323"/>
      <c r="B12" s="491"/>
      <c r="C12" s="468"/>
      <c r="D12" s="1022"/>
      <c r="E12" s="1022"/>
      <c r="F12" s="1022"/>
      <c r="G12" s="1022"/>
      <c r="H12" s="1022"/>
      <c r="I12" s="1023"/>
      <c r="J12" s="1024"/>
    </row>
    <row r="13" spans="1:10" s="241" customFormat="1" ht="15" customHeight="1">
      <c r="A13" s="323"/>
      <c r="B13" s="491"/>
      <c r="C13" s="468"/>
      <c r="D13" s="1022"/>
      <c r="E13" s="1022"/>
      <c r="F13" s="1022"/>
      <c r="G13" s="1022"/>
      <c r="H13" s="1022"/>
      <c r="I13" s="1023"/>
      <c r="J13" s="1024"/>
    </row>
    <row r="14" spans="1:10" s="241" customFormat="1" ht="15" customHeight="1">
      <c r="A14" s="323"/>
      <c r="B14" s="491"/>
      <c r="C14" s="468"/>
      <c r="D14" s="1022"/>
      <c r="E14" s="1022"/>
      <c r="F14" s="1022"/>
      <c r="G14" s="1022"/>
      <c r="H14" s="1022"/>
      <c r="I14" s="1023"/>
      <c r="J14" s="1024"/>
    </row>
    <row r="15" spans="1:10" s="241" customFormat="1" ht="15" customHeight="1">
      <c r="A15" s="323"/>
      <c r="B15" s="491"/>
      <c r="C15" s="468"/>
      <c r="D15" s="1022"/>
      <c r="E15" s="1022"/>
      <c r="F15" s="1022"/>
      <c r="G15" s="1022"/>
      <c r="H15" s="1022"/>
      <c r="I15" s="1023"/>
      <c r="J15" s="1024"/>
    </row>
    <row r="16" spans="1:10" s="241" customFormat="1" ht="15" customHeight="1">
      <c r="A16" s="323"/>
      <c r="B16" s="491"/>
      <c r="C16" s="468"/>
      <c r="D16" s="1022"/>
      <c r="E16" s="1022"/>
      <c r="F16" s="1022"/>
      <c r="G16" s="1022"/>
      <c r="H16" s="1022"/>
      <c r="I16" s="1023"/>
      <c r="J16" s="1024"/>
    </row>
    <row r="17" spans="1:10" s="241" customFormat="1" ht="15" customHeight="1">
      <c r="A17" s="323"/>
      <c r="B17" s="491"/>
      <c r="C17" s="468"/>
      <c r="D17" s="1022"/>
      <c r="E17" s="1022"/>
      <c r="F17" s="1022"/>
      <c r="G17" s="1022"/>
      <c r="H17" s="1022"/>
      <c r="I17" s="1023"/>
      <c r="J17" s="1024"/>
    </row>
    <row r="18" spans="1:10" s="241" customFormat="1" ht="15" customHeight="1">
      <c r="A18" s="323"/>
      <c r="B18" s="491"/>
      <c r="C18" s="468"/>
      <c r="D18" s="1022"/>
      <c r="E18" s="1022"/>
      <c r="F18" s="1022"/>
      <c r="G18" s="1022"/>
      <c r="H18" s="1022"/>
      <c r="I18" s="1023"/>
      <c r="J18" s="1024"/>
    </row>
    <row r="19" spans="1:10" s="241" customFormat="1" ht="15" customHeight="1">
      <c r="A19" s="323"/>
      <c r="B19" s="491"/>
      <c r="C19" s="468"/>
      <c r="D19" s="1022"/>
      <c r="E19" s="1022"/>
      <c r="F19" s="1022"/>
      <c r="G19" s="1022"/>
      <c r="H19" s="1022"/>
      <c r="I19" s="1023"/>
      <c r="J19" s="1024"/>
    </row>
    <row r="20" spans="1:10" s="241" customFormat="1" ht="15" customHeight="1">
      <c r="A20" s="323"/>
      <c r="B20" s="491"/>
      <c r="C20" s="468"/>
      <c r="D20" s="1022"/>
      <c r="E20" s="1022"/>
      <c r="F20" s="1022"/>
      <c r="G20" s="1022"/>
      <c r="H20" s="1022"/>
      <c r="I20" s="1023"/>
      <c r="J20" s="1024"/>
    </row>
    <row r="21" spans="1:10" s="241" customFormat="1" ht="15" customHeight="1">
      <c r="A21" s="323"/>
      <c r="B21" s="491"/>
      <c r="C21" s="468"/>
      <c r="D21" s="1022"/>
      <c r="E21" s="1022"/>
      <c r="F21" s="1022"/>
      <c r="G21" s="1022"/>
      <c r="H21" s="1022"/>
      <c r="I21" s="1023"/>
      <c r="J21" s="1024"/>
    </row>
    <row r="22" spans="1:10" s="241" customFormat="1" ht="15" customHeight="1" thickBot="1">
      <c r="A22" s="323"/>
      <c r="B22" s="492"/>
      <c r="C22" s="470"/>
      <c r="D22" s="1025"/>
      <c r="E22" s="1025"/>
      <c r="F22" s="1025"/>
      <c r="G22" s="1025"/>
      <c r="H22" s="1025"/>
      <c r="I22" s="1026"/>
      <c r="J22" s="1027"/>
    </row>
    <row r="23" spans="1:10" s="497" customFormat="1" ht="15" customHeight="1">
      <c r="A23" s="561"/>
      <c r="B23" s="493"/>
      <c r="C23" s="467"/>
      <c r="D23" s="494"/>
      <c r="E23" s="494"/>
      <c r="F23" s="494"/>
      <c r="G23" s="494"/>
      <c r="H23" s="494"/>
      <c r="I23" s="494"/>
      <c r="J23" s="494"/>
    </row>
    <row r="24" spans="1:10" s="497" customFormat="1" ht="15" customHeight="1">
      <c r="A24" s="561"/>
      <c r="B24" s="982" t="s">
        <v>879</v>
      </c>
      <c r="C24" s="982"/>
      <c r="D24" s="982"/>
      <c r="E24" s="982"/>
      <c r="F24" s="982"/>
      <c r="G24" s="982"/>
      <c r="H24" s="982"/>
      <c r="I24" s="982"/>
      <c r="J24" s="982"/>
    </row>
    <row r="25" spans="1:10" s="497" customFormat="1" ht="12.75">
      <c r="A25" s="419"/>
      <c r="B25" s="562" t="s">
        <v>878</v>
      </c>
      <c r="C25" s="503"/>
      <c r="D25" s="503"/>
      <c r="E25" s="503"/>
      <c r="F25" s="503"/>
      <c r="G25" s="503"/>
      <c r="H25" s="503"/>
      <c r="I25" s="503"/>
      <c r="J25" s="503"/>
    </row>
    <row r="26" spans="1:10" s="497" customFormat="1" ht="12.75">
      <c r="A26" s="419"/>
      <c r="B26" s="562" t="s">
        <v>202</v>
      </c>
      <c r="C26" s="503"/>
      <c r="D26" s="503"/>
      <c r="E26" s="503"/>
      <c r="F26" s="503"/>
      <c r="G26" s="503"/>
      <c r="H26" s="503"/>
      <c r="I26" s="503"/>
      <c r="J26" s="503"/>
    </row>
    <row r="27" spans="1:10" s="497" customFormat="1" ht="12.75">
      <c r="A27" s="419"/>
      <c r="B27" s="562" t="s">
        <v>582</v>
      </c>
      <c r="C27" s="503"/>
      <c r="D27" s="503"/>
      <c r="E27" s="503"/>
      <c r="F27" s="503"/>
      <c r="G27" s="503"/>
      <c r="H27" s="503"/>
      <c r="I27" s="503"/>
      <c r="J27" s="503"/>
    </row>
    <row r="28" spans="1:10" s="497" customFormat="1" ht="12.75">
      <c r="A28" s="419"/>
      <c r="B28" s="562" t="s">
        <v>203</v>
      </c>
      <c r="C28" s="503"/>
      <c r="D28" s="503"/>
      <c r="E28" s="503"/>
      <c r="F28" s="503"/>
      <c r="G28" s="503"/>
      <c r="H28" s="503"/>
      <c r="I28" s="503"/>
      <c r="J28" s="503"/>
    </row>
    <row r="29" spans="1:10" s="497" customFormat="1" ht="12.75">
      <c r="A29" s="419"/>
      <c r="B29" s="551" t="s">
        <v>205</v>
      </c>
      <c r="C29" s="503"/>
      <c r="D29" s="503"/>
      <c r="E29" s="503"/>
      <c r="F29" s="503"/>
      <c r="G29" s="503"/>
      <c r="H29" s="503"/>
      <c r="I29" s="503"/>
      <c r="J29" s="503"/>
    </row>
    <row r="30" spans="1:10" s="497" customFormat="1" ht="15" customHeight="1">
      <c r="A30" s="561"/>
      <c r="B30" s="551"/>
      <c r="C30" s="503"/>
      <c r="D30" s="503"/>
      <c r="E30" s="503"/>
      <c r="F30" s="503"/>
      <c r="G30" s="503"/>
      <c r="H30" s="503"/>
      <c r="I30" s="503"/>
      <c r="J30" s="503"/>
    </row>
    <row r="31" spans="1:10" s="497" customFormat="1" ht="15" customHeight="1">
      <c r="A31" s="561"/>
      <c r="B31" s="1442" t="s">
        <v>870</v>
      </c>
      <c r="C31" s="1442"/>
      <c r="D31" s="1442"/>
      <c r="E31" s="1442"/>
      <c r="F31" s="1442"/>
      <c r="G31" s="1442"/>
      <c r="H31" s="1442"/>
      <c r="I31" s="1442"/>
      <c r="J31" s="1442"/>
    </row>
    <row r="32" spans="1:10" s="497" customFormat="1" ht="15" customHeight="1">
      <c r="A32" s="561"/>
      <c r="B32" s="553" t="s">
        <v>133</v>
      </c>
      <c r="C32" s="546"/>
      <c r="D32" s="547"/>
      <c r="E32" s="547"/>
      <c r="F32" s="547"/>
      <c r="G32" s="549"/>
      <c r="H32" s="226"/>
      <c r="I32" s="325"/>
      <c r="J32" s="325"/>
    </row>
    <row r="33" spans="1:26" s="241" customFormat="1" ht="15" customHeight="1">
      <c r="A33" s="323"/>
      <c r="B33" s="323"/>
      <c r="C33" s="408"/>
    </row>
    <row r="34" spans="1:26" s="241" customFormat="1">
      <c r="A34" s="411"/>
      <c r="B34" s="412" t="s">
        <v>878</v>
      </c>
      <c r="C34" s="408"/>
      <c r="D34" s="394"/>
      <c r="E34" s="394"/>
      <c r="F34" s="394"/>
      <c r="G34" s="394"/>
      <c r="H34" s="394"/>
      <c r="I34" s="394"/>
      <c r="J34" s="394"/>
      <c r="K34" s="394"/>
      <c r="L34" s="394"/>
      <c r="M34" s="394"/>
      <c r="N34" s="394"/>
    </row>
    <row r="35" spans="1:26" ht="15.75" thickBot="1"/>
    <row r="36" spans="1:26" ht="15.75" customHeight="1" thickBot="1">
      <c r="B36" s="1505" t="s">
        <v>575</v>
      </c>
      <c r="C36" s="1506"/>
      <c r="D36" s="1506"/>
      <c r="E36" s="1506"/>
      <c r="F36" s="1506"/>
      <c r="G36" s="1513"/>
      <c r="H36" s="1514"/>
      <c r="I36" s="1514"/>
      <c r="J36" s="1514"/>
      <c r="K36" s="1514"/>
      <c r="L36" s="1515"/>
    </row>
    <row r="37" spans="1:26" ht="15.75" thickBot="1"/>
    <row r="38" spans="1:26">
      <c r="B38" s="1510" t="s">
        <v>576</v>
      </c>
      <c r="C38" s="1501"/>
      <c r="D38" s="1501"/>
      <c r="E38" s="1501" t="s">
        <v>577</v>
      </c>
      <c r="F38" s="1501"/>
      <c r="G38" s="1507" t="s">
        <v>37</v>
      </c>
      <c r="H38" s="1507"/>
      <c r="I38" s="1507"/>
      <c r="J38" s="1507"/>
      <c r="K38" s="1507"/>
      <c r="L38" s="1508"/>
    </row>
    <row r="39" spans="1:26">
      <c r="B39" s="1511"/>
      <c r="C39" s="1498"/>
      <c r="D39" s="1498"/>
      <c r="E39" s="1512"/>
      <c r="F39" s="1446"/>
      <c r="G39" s="1446"/>
      <c r="H39" s="1446"/>
      <c r="I39" s="1446"/>
      <c r="J39" s="1446"/>
      <c r="K39" s="1446"/>
      <c r="L39" s="1509"/>
    </row>
    <row r="40" spans="1:26">
      <c r="B40" s="1511"/>
      <c r="C40" s="1498"/>
      <c r="D40" s="1498"/>
      <c r="E40" s="1446"/>
      <c r="F40" s="1446"/>
      <c r="G40" s="1446"/>
      <c r="H40" s="1446"/>
      <c r="I40" s="1446"/>
      <c r="J40" s="1446"/>
      <c r="K40" s="1446"/>
      <c r="L40" s="1509"/>
    </row>
    <row r="41" spans="1:26">
      <c r="B41" s="1511"/>
      <c r="C41" s="1498"/>
      <c r="D41" s="1498"/>
      <c r="E41" s="1446"/>
      <c r="F41" s="1446"/>
      <c r="G41" s="1446"/>
      <c r="H41" s="1446"/>
      <c r="I41" s="1446"/>
      <c r="J41" s="1446"/>
      <c r="K41" s="1446"/>
      <c r="L41" s="1509"/>
    </row>
    <row r="42" spans="1:26">
      <c r="B42" s="1511"/>
      <c r="C42" s="1498"/>
      <c r="D42" s="1498"/>
      <c r="E42" s="1446"/>
      <c r="F42" s="1446"/>
      <c r="G42" s="1446"/>
      <c r="H42" s="1446"/>
      <c r="I42" s="1446"/>
      <c r="J42" s="1446"/>
      <c r="K42" s="1446"/>
      <c r="L42" s="1509"/>
    </row>
    <row r="43" spans="1:26" ht="15.75" thickBot="1">
      <c r="B43" s="1517"/>
      <c r="C43" s="1481"/>
      <c r="D43" s="1481"/>
      <c r="E43" s="1450"/>
      <c r="F43" s="1450"/>
      <c r="G43" s="1450"/>
      <c r="H43" s="1450"/>
      <c r="I43" s="1450"/>
      <c r="J43" s="1450"/>
      <c r="K43" s="1450"/>
      <c r="L43" s="1516"/>
    </row>
    <row r="44" spans="1:26">
      <c r="B44" s="442"/>
      <c r="C44" s="442"/>
      <c r="D44" s="442"/>
      <c r="E44" s="443"/>
      <c r="F44" s="443"/>
      <c r="G44" s="444"/>
      <c r="H44" s="444"/>
      <c r="I44" s="444"/>
      <c r="J44" s="444"/>
      <c r="K44" s="444"/>
      <c r="L44" s="444"/>
      <c r="M44" s="444"/>
      <c r="N44" s="444"/>
    </row>
    <row r="45" spans="1:26" ht="15.75" thickBot="1">
      <c r="A45" s="445"/>
      <c r="B45" s="446" t="s">
        <v>202</v>
      </c>
      <c r="C45" s="430"/>
      <c r="D45" s="430"/>
      <c r="E45" s="430"/>
      <c r="F45" s="430"/>
      <c r="G45" s="430"/>
      <c r="H45" s="430"/>
      <c r="I45" s="430"/>
      <c r="J45" s="430"/>
      <c r="K45" s="430"/>
      <c r="L45" s="430"/>
      <c r="M45" s="430"/>
      <c r="N45" s="430"/>
    </row>
    <row r="46" spans="1:26" s="733" customFormat="1" ht="87" customHeight="1" thickBot="1">
      <c r="A46" s="732"/>
      <c r="B46" s="734" t="s">
        <v>15</v>
      </c>
      <c r="C46" s="736" t="s">
        <v>201</v>
      </c>
      <c r="D46" s="736" t="s">
        <v>579</v>
      </c>
      <c r="E46" s="736" t="s">
        <v>621</v>
      </c>
      <c r="F46" s="736" t="s">
        <v>619</v>
      </c>
      <c r="G46" s="736" t="s">
        <v>673</v>
      </c>
      <c r="H46" s="736" t="s">
        <v>580</v>
      </c>
      <c r="I46" s="736" t="s">
        <v>581</v>
      </c>
      <c r="J46" s="736" t="s">
        <v>583</v>
      </c>
      <c r="K46" s="736" t="s">
        <v>584</v>
      </c>
      <c r="L46" s="736" t="s">
        <v>585</v>
      </c>
      <c r="M46" s="736" t="s">
        <v>586</v>
      </c>
      <c r="N46" s="736" t="s">
        <v>587</v>
      </c>
      <c r="O46" s="736" t="s">
        <v>588</v>
      </c>
      <c r="P46" s="736" t="s">
        <v>589</v>
      </c>
      <c r="Q46" s="736" t="s">
        <v>590</v>
      </c>
      <c r="R46" s="735" t="s">
        <v>591</v>
      </c>
      <c r="S46" s="736" t="s">
        <v>589</v>
      </c>
      <c r="T46" s="736" t="s">
        <v>590</v>
      </c>
      <c r="U46" s="736" t="s">
        <v>591</v>
      </c>
      <c r="V46" s="736" t="s">
        <v>592</v>
      </c>
      <c r="W46" s="736" t="s">
        <v>204</v>
      </c>
      <c r="X46" s="736" t="s">
        <v>204</v>
      </c>
      <c r="Y46" s="736" t="s">
        <v>593</v>
      </c>
      <c r="Z46" s="941" t="s">
        <v>594</v>
      </c>
    </row>
    <row r="47" spans="1:26">
      <c r="A47" s="430"/>
      <c r="B47" s="737"/>
      <c r="C47" s="929"/>
      <c r="D47" s="929"/>
      <c r="E47" s="929"/>
      <c r="F47" s="929"/>
      <c r="G47" s="929"/>
      <c r="H47" s="929"/>
      <c r="I47" s="929"/>
      <c r="J47" s="929"/>
      <c r="K47" s="929"/>
      <c r="L47" s="929"/>
      <c r="M47" s="932"/>
      <c r="N47" s="935"/>
      <c r="O47" s="935"/>
      <c r="P47" s="935"/>
      <c r="Q47" s="935"/>
      <c r="R47" s="938"/>
      <c r="S47" s="935"/>
      <c r="T47" s="935"/>
      <c r="U47" s="935"/>
      <c r="V47" s="935"/>
      <c r="W47" s="935"/>
      <c r="X47" s="935"/>
      <c r="Y47" s="935"/>
      <c r="Z47" s="738"/>
    </row>
    <row r="48" spans="1:26">
      <c r="A48" s="430"/>
      <c r="B48" s="739"/>
      <c r="C48" s="930"/>
      <c r="D48" s="930"/>
      <c r="E48" s="930"/>
      <c r="F48" s="930"/>
      <c r="G48" s="930"/>
      <c r="H48" s="930"/>
      <c r="I48" s="930"/>
      <c r="J48" s="930"/>
      <c r="K48" s="930"/>
      <c r="L48" s="930"/>
      <c r="M48" s="933"/>
      <c r="N48" s="936"/>
      <c r="O48" s="936"/>
      <c r="P48" s="936"/>
      <c r="Q48" s="936"/>
      <c r="R48" s="939"/>
      <c r="S48" s="936"/>
      <c r="T48" s="936"/>
      <c r="U48" s="936"/>
      <c r="V48" s="936"/>
      <c r="W48" s="936"/>
      <c r="X48" s="936"/>
      <c r="Y48" s="936"/>
      <c r="Z48" s="740"/>
    </row>
    <row r="49" spans="1:26">
      <c r="A49" s="430"/>
      <c r="B49" s="739"/>
      <c r="C49" s="930"/>
      <c r="D49" s="930"/>
      <c r="E49" s="930"/>
      <c r="F49" s="930"/>
      <c r="G49" s="930"/>
      <c r="H49" s="930"/>
      <c r="I49" s="930"/>
      <c r="J49" s="930"/>
      <c r="K49" s="930"/>
      <c r="L49" s="930"/>
      <c r="M49" s="933"/>
      <c r="N49" s="936"/>
      <c r="O49" s="936"/>
      <c r="P49" s="936"/>
      <c r="Q49" s="936"/>
      <c r="R49" s="939"/>
      <c r="S49" s="936"/>
      <c r="T49" s="936"/>
      <c r="U49" s="936"/>
      <c r="V49" s="936"/>
      <c r="W49" s="936"/>
      <c r="X49" s="936"/>
      <c r="Y49" s="936"/>
      <c r="Z49" s="740"/>
    </row>
    <row r="50" spans="1:26">
      <c r="A50" s="430"/>
      <c r="B50" s="739"/>
      <c r="C50" s="930"/>
      <c r="D50" s="930"/>
      <c r="E50" s="930"/>
      <c r="F50" s="930"/>
      <c r="G50" s="930"/>
      <c r="H50" s="930"/>
      <c r="I50" s="930"/>
      <c r="J50" s="930"/>
      <c r="K50" s="930"/>
      <c r="L50" s="930"/>
      <c r="M50" s="933"/>
      <c r="N50" s="936"/>
      <c r="O50" s="936"/>
      <c r="P50" s="936"/>
      <c r="Q50" s="936"/>
      <c r="R50" s="939"/>
      <c r="S50" s="936"/>
      <c r="T50" s="936"/>
      <c r="U50" s="936"/>
      <c r="V50" s="936"/>
      <c r="W50" s="936"/>
      <c r="X50" s="936"/>
      <c r="Y50" s="936"/>
      <c r="Z50" s="740"/>
    </row>
    <row r="51" spans="1:26">
      <c r="A51" s="430"/>
      <c r="B51" s="739"/>
      <c r="C51" s="930"/>
      <c r="D51" s="930"/>
      <c r="E51" s="930"/>
      <c r="F51" s="930"/>
      <c r="G51" s="930"/>
      <c r="H51" s="930"/>
      <c r="I51" s="930"/>
      <c r="J51" s="930"/>
      <c r="K51" s="930"/>
      <c r="L51" s="930"/>
      <c r="M51" s="933"/>
      <c r="N51" s="936"/>
      <c r="O51" s="936"/>
      <c r="P51" s="936"/>
      <c r="Q51" s="936"/>
      <c r="R51" s="939"/>
      <c r="S51" s="936"/>
      <c r="T51" s="936"/>
      <c r="U51" s="936"/>
      <c r="V51" s="936"/>
      <c r="W51" s="936"/>
      <c r="X51" s="936"/>
      <c r="Y51" s="936"/>
      <c r="Z51" s="740"/>
    </row>
    <row r="52" spans="1:26">
      <c r="A52" s="430"/>
      <c r="B52" s="739"/>
      <c r="C52" s="930"/>
      <c r="D52" s="930"/>
      <c r="E52" s="930"/>
      <c r="F52" s="930"/>
      <c r="G52" s="930"/>
      <c r="H52" s="930"/>
      <c r="I52" s="930"/>
      <c r="J52" s="930"/>
      <c r="K52" s="930"/>
      <c r="L52" s="930"/>
      <c r="M52" s="933"/>
      <c r="N52" s="936"/>
      <c r="O52" s="936"/>
      <c r="P52" s="936"/>
      <c r="Q52" s="936"/>
      <c r="R52" s="939"/>
      <c r="S52" s="936"/>
      <c r="T52" s="936"/>
      <c r="U52" s="936"/>
      <c r="V52" s="936"/>
      <c r="W52" s="936"/>
      <c r="X52" s="936"/>
      <c r="Y52" s="936"/>
      <c r="Z52" s="740"/>
    </row>
    <row r="53" spans="1:26">
      <c r="A53" s="430"/>
      <c r="B53" s="739"/>
      <c r="C53" s="930"/>
      <c r="D53" s="930"/>
      <c r="E53" s="930"/>
      <c r="F53" s="930"/>
      <c r="G53" s="930"/>
      <c r="H53" s="930"/>
      <c r="I53" s="930"/>
      <c r="J53" s="930"/>
      <c r="K53" s="930"/>
      <c r="L53" s="930"/>
      <c r="M53" s="933"/>
      <c r="N53" s="936"/>
      <c r="O53" s="936"/>
      <c r="P53" s="936"/>
      <c r="Q53" s="936"/>
      <c r="R53" s="939"/>
      <c r="S53" s="936"/>
      <c r="T53" s="936"/>
      <c r="U53" s="936"/>
      <c r="V53" s="936"/>
      <c r="W53" s="936"/>
      <c r="X53" s="936"/>
      <c r="Y53" s="936"/>
      <c r="Z53" s="740"/>
    </row>
    <row r="54" spans="1:26">
      <c r="A54" s="430"/>
      <c r="B54" s="739"/>
      <c r="C54" s="930"/>
      <c r="D54" s="930"/>
      <c r="E54" s="930"/>
      <c r="F54" s="930"/>
      <c r="G54" s="930"/>
      <c r="H54" s="930"/>
      <c r="I54" s="930"/>
      <c r="J54" s="930"/>
      <c r="K54" s="930"/>
      <c r="L54" s="930"/>
      <c r="M54" s="933"/>
      <c r="N54" s="936"/>
      <c r="O54" s="936"/>
      <c r="P54" s="936"/>
      <c r="Q54" s="936"/>
      <c r="R54" s="939"/>
      <c r="S54" s="936"/>
      <c r="T54" s="936"/>
      <c r="U54" s="936"/>
      <c r="V54" s="936"/>
      <c r="W54" s="936"/>
      <c r="X54" s="936"/>
      <c r="Y54" s="936"/>
      <c r="Z54" s="740"/>
    </row>
    <row r="55" spans="1:26">
      <c r="A55" s="430"/>
      <c r="B55" s="739"/>
      <c r="C55" s="930"/>
      <c r="D55" s="930"/>
      <c r="E55" s="930"/>
      <c r="F55" s="930"/>
      <c r="G55" s="930"/>
      <c r="H55" s="930"/>
      <c r="I55" s="930"/>
      <c r="J55" s="930"/>
      <c r="K55" s="930"/>
      <c r="L55" s="930"/>
      <c r="M55" s="933"/>
      <c r="N55" s="936"/>
      <c r="O55" s="936"/>
      <c r="P55" s="936"/>
      <c r="Q55" s="936"/>
      <c r="R55" s="939"/>
      <c r="S55" s="936"/>
      <c r="T55" s="936"/>
      <c r="U55" s="936"/>
      <c r="V55" s="936"/>
      <c r="W55" s="936"/>
      <c r="X55" s="936"/>
      <c r="Y55" s="936"/>
      <c r="Z55" s="740"/>
    </row>
    <row r="56" spans="1:26" ht="15.75" thickBot="1">
      <c r="A56" s="430"/>
      <c r="B56" s="741"/>
      <c r="C56" s="931"/>
      <c r="D56" s="931"/>
      <c r="E56" s="931"/>
      <c r="F56" s="931"/>
      <c r="G56" s="931"/>
      <c r="H56" s="931"/>
      <c r="I56" s="931"/>
      <c r="J56" s="931"/>
      <c r="K56" s="931"/>
      <c r="L56" s="931"/>
      <c r="M56" s="934"/>
      <c r="N56" s="937"/>
      <c r="O56" s="937"/>
      <c r="P56" s="937"/>
      <c r="Q56" s="937"/>
      <c r="R56" s="940"/>
      <c r="S56" s="937"/>
      <c r="T56" s="937"/>
      <c r="U56" s="937"/>
      <c r="V56" s="937"/>
      <c r="W56" s="937"/>
      <c r="X56" s="937"/>
      <c r="Y56" s="937"/>
      <c r="Z56" s="742"/>
    </row>
    <row r="57" spans="1:26">
      <c r="A57" s="430"/>
      <c r="B57" s="447"/>
      <c r="C57" s="447"/>
      <c r="D57" s="447"/>
      <c r="E57" s="447"/>
      <c r="F57" s="447"/>
      <c r="G57" s="447"/>
      <c r="H57" s="447"/>
      <c r="I57" s="447"/>
      <c r="J57" s="447"/>
      <c r="K57" s="447"/>
      <c r="L57" s="447"/>
      <c r="M57" s="448"/>
      <c r="N57" s="430"/>
    </row>
    <row r="58" spans="1:26">
      <c r="A58" s="430"/>
      <c r="B58" s="447" t="s">
        <v>130</v>
      </c>
      <c r="C58" s="447"/>
      <c r="D58" s="447"/>
      <c r="E58" s="447"/>
      <c r="F58" s="447"/>
      <c r="G58" s="447"/>
      <c r="H58" s="447"/>
      <c r="I58" s="447"/>
      <c r="J58" s="447"/>
      <c r="K58" s="447"/>
      <c r="L58" s="447"/>
      <c r="M58" s="448"/>
      <c r="N58" s="430"/>
    </row>
    <row r="59" spans="1:26" ht="15.75" thickBot="1">
      <c r="A59" s="430"/>
      <c r="B59" s="447"/>
      <c r="C59" s="447"/>
      <c r="D59" s="447"/>
      <c r="E59" s="447"/>
      <c r="F59" s="447"/>
      <c r="G59" s="447"/>
      <c r="H59" s="447"/>
      <c r="I59" s="447"/>
      <c r="J59" s="447"/>
      <c r="K59" s="447"/>
      <c r="L59" s="447"/>
      <c r="M59" s="448"/>
      <c r="N59" s="430"/>
    </row>
    <row r="60" spans="1:26" ht="144.75" customHeight="1" thickBot="1">
      <c r="A60" s="430"/>
      <c r="B60" s="729"/>
      <c r="C60" s="730"/>
      <c r="D60" s="730"/>
      <c r="E60" s="730"/>
      <c r="F60" s="730"/>
      <c r="G60" s="730"/>
      <c r="H60" s="730"/>
      <c r="I60" s="730"/>
      <c r="J60" s="730"/>
      <c r="K60" s="730"/>
      <c r="L60" s="731"/>
      <c r="M60" s="430"/>
      <c r="N60" s="430"/>
    </row>
    <row r="61" spans="1:26">
      <c r="A61" s="445"/>
      <c r="B61" s="446"/>
      <c r="C61" s="430"/>
      <c r="D61" s="430"/>
      <c r="E61" s="430"/>
      <c r="F61" s="430"/>
      <c r="G61" s="430"/>
      <c r="H61" s="430"/>
      <c r="I61" s="430"/>
      <c r="J61" s="430"/>
      <c r="K61" s="430"/>
      <c r="L61" s="430"/>
      <c r="M61" s="430"/>
      <c r="N61" s="430"/>
    </row>
    <row r="62" spans="1:26" s="430" customFormat="1" ht="10.5" customHeight="1">
      <c r="B62" s="450"/>
      <c r="C62" s="447"/>
      <c r="D62" s="447"/>
      <c r="E62" s="447"/>
      <c r="F62" s="448"/>
      <c r="G62" s="448"/>
      <c r="H62" s="448"/>
      <c r="I62" s="448"/>
      <c r="J62" s="448"/>
      <c r="K62" s="448"/>
    </row>
    <row r="63" spans="1:26" s="430" customFormat="1" ht="9" customHeight="1">
      <c r="B63" s="451"/>
      <c r="C63" s="449"/>
      <c r="D63" s="449"/>
      <c r="E63" s="449"/>
      <c r="F63" s="448"/>
      <c r="G63" s="448"/>
      <c r="H63" s="448"/>
      <c r="I63" s="448"/>
      <c r="J63" s="448"/>
      <c r="K63" s="448"/>
      <c r="L63" s="448"/>
    </row>
    <row r="64" spans="1:26" s="430" customFormat="1" ht="17.25" customHeight="1">
      <c r="B64" s="450" t="s">
        <v>196</v>
      </c>
      <c r="C64" s="449"/>
      <c r="D64" s="449"/>
      <c r="E64" s="449"/>
      <c r="F64" s="448"/>
      <c r="G64" s="448"/>
      <c r="H64" s="448"/>
      <c r="I64" s="448"/>
      <c r="J64" s="448"/>
      <c r="K64" s="448"/>
      <c r="L64" s="448"/>
    </row>
    <row r="65" spans="2:13" s="430" customFormat="1" ht="39.75" customHeight="1">
      <c r="B65" s="1500" t="s">
        <v>632</v>
      </c>
      <c r="C65" s="1500"/>
      <c r="D65" s="1500"/>
      <c r="E65" s="1500"/>
      <c r="F65" s="1500"/>
      <c r="G65" s="1500"/>
      <c r="H65" s="1500"/>
      <c r="I65" s="1500"/>
      <c r="J65" s="1500"/>
      <c r="K65" s="1500"/>
      <c r="L65" s="1500"/>
    </row>
    <row r="66" spans="2:13" s="430" customFormat="1" ht="15" customHeight="1" thickBot="1">
      <c r="B66" s="451"/>
      <c r="C66" s="449"/>
      <c r="D66" s="449"/>
      <c r="E66" s="449"/>
      <c r="F66" s="448"/>
      <c r="G66" s="452"/>
      <c r="H66" s="452"/>
      <c r="I66" s="452"/>
      <c r="J66" s="448"/>
      <c r="K66" s="448"/>
      <c r="L66" s="448"/>
    </row>
    <row r="67" spans="2:13" s="430" customFormat="1">
      <c r="B67" s="453" t="s">
        <v>595</v>
      </c>
      <c r="C67" s="1501" t="s">
        <v>114</v>
      </c>
      <c r="D67" s="1501"/>
      <c r="E67" s="1502"/>
      <c r="G67" s="1503"/>
      <c r="H67" s="1503"/>
      <c r="I67" s="1503"/>
      <c r="J67" s="448"/>
      <c r="K67" s="448"/>
    </row>
    <row r="68" spans="2:13" s="430" customFormat="1" ht="12.75" customHeight="1">
      <c r="B68" s="454">
        <v>1</v>
      </c>
      <c r="C68" s="1498"/>
      <c r="D68" s="1498"/>
      <c r="E68" s="1499"/>
      <c r="G68" s="1504"/>
      <c r="H68" s="1504"/>
      <c r="I68" s="1504"/>
      <c r="J68" s="448"/>
      <c r="K68" s="448"/>
    </row>
    <row r="69" spans="2:13" s="430" customFormat="1" ht="12.75" customHeight="1">
      <c r="B69" s="454">
        <v>2</v>
      </c>
      <c r="C69" s="1498"/>
      <c r="D69" s="1498"/>
      <c r="E69" s="1499"/>
      <c r="G69" s="1504"/>
      <c r="H69" s="1504"/>
      <c r="I69" s="1504"/>
      <c r="J69" s="448"/>
      <c r="K69" s="448"/>
    </row>
    <row r="70" spans="2:13" s="430" customFormat="1" ht="12.75" customHeight="1">
      <c r="B70" s="454">
        <v>3</v>
      </c>
      <c r="C70" s="1498"/>
      <c r="D70" s="1498"/>
      <c r="E70" s="1499"/>
      <c r="G70" s="1504"/>
      <c r="H70" s="1504"/>
      <c r="I70" s="1504"/>
      <c r="J70" s="448"/>
      <c r="K70" s="448"/>
    </row>
    <row r="71" spans="2:13" s="430" customFormat="1" ht="12.75" customHeight="1">
      <c r="B71" s="454">
        <v>4</v>
      </c>
      <c r="C71" s="1498"/>
      <c r="D71" s="1498"/>
      <c r="E71" s="1499"/>
      <c r="I71" s="448"/>
      <c r="J71" s="448"/>
      <c r="K71" s="448"/>
      <c r="M71" s="448"/>
    </row>
    <row r="72" spans="2:13" s="430" customFormat="1" ht="12.75" customHeight="1">
      <c r="B72" s="454">
        <v>5</v>
      </c>
      <c r="C72" s="1498"/>
      <c r="D72" s="1498"/>
      <c r="E72" s="1499"/>
      <c r="I72" s="448"/>
      <c r="J72" s="448"/>
      <c r="K72" s="448"/>
      <c r="M72" s="448"/>
    </row>
    <row r="73" spans="2:13" s="430" customFormat="1" ht="12.75" customHeight="1">
      <c r="B73" s="454">
        <v>6</v>
      </c>
      <c r="C73" s="1498"/>
      <c r="D73" s="1498"/>
      <c r="E73" s="1499"/>
      <c r="I73" s="448"/>
      <c r="J73" s="448"/>
      <c r="K73" s="448"/>
      <c r="M73" s="448"/>
    </row>
    <row r="74" spans="2:13" s="430" customFormat="1" ht="12.75" customHeight="1">
      <c r="B74" s="454">
        <v>7</v>
      </c>
      <c r="C74" s="1498"/>
      <c r="D74" s="1498"/>
      <c r="E74" s="1499"/>
      <c r="I74" s="448"/>
      <c r="J74" s="448"/>
      <c r="K74" s="448"/>
      <c r="M74" s="448"/>
    </row>
    <row r="75" spans="2:13" s="430" customFormat="1" ht="12.75" customHeight="1">
      <c r="B75" s="454">
        <v>8</v>
      </c>
      <c r="C75" s="1498"/>
      <c r="D75" s="1498"/>
      <c r="E75" s="1499"/>
      <c r="I75" s="448"/>
      <c r="J75" s="448"/>
      <c r="K75" s="448"/>
      <c r="M75" s="448"/>
    </row>
    <row r="76" spans="2:13" s="430" customFormat="1" ht="12.75" customHeight="1">
      <c r="B76" s="454">
        <v>9</v>
      </c>
      <c r="C76" s="1498"/>
      <c r="D76" s="1498"/>
      <c r="E76" s="1499"/>
      <c r="I76" s="448"/>
      <c r="J76" s="448"/>
      <c r="K76" s="448"/>
      <c r="M76" s="448"/>
    </row>
    <row r="77" spans="2:13" s="430" customFormat="1" ht="12.75" customHeight="1">
      <c r="B77" s="454">
        <v>10</v>
      </c>
      <c r="C77" s="1498"/>
      <c r="D77" s="1498"/>
      <c r="E77" s="1499"/>
      <c r="I77" s="448"/>
      <c r="J77" s="448"/>
      <c r="K77" s="448"/>
      <c r="M77" s="448"/>
    </row>
    <row r="78" spans="2:13" s="430" customFormat="1" ht="12.75" customHeight="1">
      <c r="B78" s="454">
        <v>11</v>
      </c>
      <c r="C78" s="1498"/>
      <c r="D78" s="1498"/>
      <c r="E78" s="1499"/>
      <c r="I78" s="448"/>
      <c r="J78" s="448"/>
      <c r="K78" s="448"/>
      <c r="M78" s="448"/>
    </row>
    <row r="79" spans="2:13" s="430" customFormat="1" ht="12.75" customHeight="1" thickBot="1">
      <c r="B79" s="455">
        <v>12</v>
      </c>
      <c r="C79" s="1481"/>
      <c r="D79" s="1481"/>
      <c r="E79" s="1482"/>
      <c r="I79" s="448"/>
      <c r="J79" s="448"/>
      <c r="K79" s="448"/>
      <c r="M79" s="448"/>
    </row>
    <row r="80" spans="2:13" s="430" customFormat="1" ht="15" customHeight="1">
      <c r="B80" s="451"/>
      <c r="C80" s="449"/>
      <c r="D80" s="449"/>
      <c r="E80" s="449"/>
      <c r="F80" s="448"/>
      <c r="G80" s="448"/>
      <c r="H80" s="448"/>
      <c r="I80" s="448"/>
      <c r="J80" s="448"/>
      <c r="K80" s="448"/>
      <c r="L80" s="448"/>
      <c r="M80" s="448"/>
    </row>
    <row r="81" spans="1:16" s="430" customFormat="1" ht="15" customHeight="1">
      <c r="B81" s="449" t="s">
        <v>130</v>
      </c>
      <c r="C81" s="449"/>
      <c r="D81" s="447"/>
      <c r="E81" s="447"/>
      <c r="F81" s="447"/>
      <c r="G81" s="447"/>
      <c r="H81" s="447"/>
      <c r="I81" s="447"/>
      <c r="J81" s="447"/>
      <c r="K81" s="447"/>
      <c r="L81" s="447"/>
      <c r="M81" s="448"/>
    </row>
    <row r="82" spans="1:16" s="430" customFormat="1" ht="15.75" thickBot="1">
      <c r="B82" s="449"/>
      <c r="C82" s="449"/>
      <c r="D82" s="447"/>
      <c r="E82" s="447"/>
      <c r="F82" s="447"/>
      <c r="G82" s="447"/>
      <c r="H82" s="447"/>
      <c r="I82" s="447"/>
      <c r="J82" s="447"/>
      <c r="K82" s="447"/>
      <c r="L82" s="447"/>
      <c r="M82" s="448"/>
    </row>
    <row r="83" spans="1:16" s="430" customFormat="1" ht="200.1" customHeight="1" thickBot="1">
      <c r="B83" s="1483"/>
      <c r="C83" s="1484"/>
      <c r="D83" s="1484"/>
      <c r="E83" s="1484"/>
      <c r="F83" s="1484"/>
      <c r="G83" s="1484"/>
      <c r="H83" s="1484"/>
      <c r="I83" s="1484"/>
      <c r="J83" s="1484"/>
      <c r="K83" s="1484"/>
      <c r="L83" s="1485"/>
      <c r="M83" s="448"/>
    </row>
    <row r="84" spans="1:16" s="430" customFormat="1">
      <c r="B84" s="456"/>
      <c r="C84" s="449"/>
      <c r="D84" s="449"/>
      <c r="E84" s="449"/>
      <c r="F84" s="448"/>
      <c r="G84" s="448"/>
      <c r="H84" s="448"/>
      <c r="I84" s="448"/>
      <c r="J84" s="448"/>
      <c r="K84" s="448"/>
      <c r="L84" s="448"/>
    </row>
    <row r="85" spans="1:16" s="430" customFormat="1">
      <c r="A85" s="445"/>
      <c r="B85" s="457" t="s">
        <v>205</v>
      </c>
      <c r="C85" s="449"/>
      <c r="D85" s="449"/>
      <c r="E85" s="449"/>
      <c r="F85" s="448"/>
      <c r="G85" s="448"/>
      <c r="H85" s="448"/>
      <c r="I85" s="448"/>
      <c r="J85" s="448"/>
      <c r="K85" s="448"/>
      <c r="L85" s="448"/>
    </row>
    <row r="86" spans="1:16" s="430" customFormat="1">
      <c r="A86" s="458"/>
      <c r="B86" s="457"/>
      <c r="C86" s="449"/>
      <c r="D86" s="449"/>
      <c r="E86" s="449"/>
      <c r="F86" s="448"/>
      <c r="G86" s="448"/>
      <c r="H86" s="448"/>
      <c r="I86" s="448"/>
      <c r="J86" s="448"/>
      <c r="K86" s="448"/>
      <c r="L86" s="448"/>
    </row>
    <row r="87" spans="1:16" s="430" customFormat="1" ht="30" customHeight="1">
      <c r="B87" s="1496" t="s">
        <v>670</v>
      </c>
      <c r="C87" s="1496"/>
      <c r="D87" s="1496"/>
      <c r="E87" s="1496"/>
      <c r="F87" s="1496"/>
      <c r="G87" s="1496"/>
      <c r="H87" s="1496"/>
      <c r="I87" s="1496"/>
      <c r="J87" s="1496"/>
      <c r="K87" s="1496"/>
      <c r="L87" s="1496"/>
      <c r="M87" s="1496"/>
      <c r="N87" s="1496"/>
      <c r="O87" s="1496"/>
      <c r="P87" s="1496"/>
    </row>
    <row r="88" spans="1:16" s="430" customFormat="1" ht="15.75" thickBot="1">
      <c r="B88" s="451"/>
      <c r="C88" s="449"/>
      <c r="D88" s="449"/>
      <c r="E88" s="449"/>
      <c r="F88" s="448"/>
      <c r="G88" s="448"/>
      <c r="H88" s="448"/>
      <c r="I88" s="448"/>
      <c r="J88" s="448"/>
      <c r="K88" s="448"/>
      <c r="L88" s="448"/>
    </row>
    <row r="89" spans="1:16" s="430" customFormat="1" ht="15.75" customHeight="1" thickBot="1">
      <c r="B89" s="1469" t="s">
        <v>671</v>
      </c>
      <c r="C89" s="1470"/>
      <c r="D89" s="1471"/>
      <c r="E89" s="1486" t="s">
        <v>114</v>
      </c>
      <c r="F89" s="1487"/>
      <c r="G89" s="1487"/>
      <c r="H89" s="1487" t="s">
        <v>197</v>
      </c>
      <c r="I89" s="1487"/>
      <c r="J89" s="1487"/>
      <c r="K89" s="1487" t="s">
        <v>596</v>
      </c>
      <c r="L89" s="1487"/>
      <c r="M89" s="1487" t="s">
        <v>198</v>
      </c>
      <c r="N89" s="1488"/>
    </row>
    <row r="90" spans="1:16" s="430" customFormat="1">
      <c r="B90" s="1454" t="str">
        <f>IF(B39="","",B39)</f>
        <v/>
      </c>
      <c r="C90" s="1455"/>
      <c r="D90" s="1455"/>
      <c r="E90" s="1489"/>
      <c r="F90" s="1490"/>
      <c r="G90" s="1490"/>
      <c r="H90" s="1491"/>
      <c r="I90" s="1492"/>
      <c r="J90" s="1492"/>
      <c r="K90" s="1493"/>
      <c r="L90" s="1493"/>
      <c r="M90" s="1494"/>
      <c r="N90" s="1495"/>
    </row>
    <row r="91" spans="1:16" s="430" customFormat="1">
      <c r="B91" s="1457"/>
      <c r="C91" s="1458"/>
      <c r="D91" s="1458"/>
      <c r="E91" s="1445"/>
      <c r="F91" s="1446"/>
      <c r="G91" s="1446"/>
      <c r="H91" s="1447"/>
      <c r="I91" s="1448"/>
      <c r="J91" s="1448"/>
      <c r="K91" s="1443"/>
      <c r="L91" s="1443"/>
      <c r="M91" s="1479"/>
      <c r="N91" s="1480"/>
    </row>
    <row r="92" spans="1:16" s="430" customFormat="1">
      <c r="B92" s="1457"/>
      <c r="C92" s="1458"/>
      <c r="D92" s="1458"/>
      <c r="E92" s="1445"/>
      <c r="F92" s="1446"/>
      <c r="G92" s="1446"/>
      <c r="H92" s="1447"/>
      <c r="I92" s="1448"/>
      <c r="J92" s="1448"/>
      <c r="K92" s="1443"/>
      <c r="L92" s="1443"/>
      <c r="M92" s="1497"/>
      <c r="N92" s="1480"/>
    </row>
    <row r="93" spans="1:16" s="430" customFormat="1">
      <c r="B93" s="1457"/>
      <c r="C93" s="1458"/>
      <c r="D93" s="1458"/>
      <c r="E93" s="1445"/>
      <c r="F93" s="1446"/>
      <c r="G93" s="1446"/>
      <c r="H93" s="1447"/>
      <c r="I93" s="1448"/>
      <c r="J93" s="1448"/>
      <c r="K93" s="1443"/>
      <c r="L93" s="1443"/>
      <c r="M93" s="1479"/>
      <c r="N93" s="1480"/>
    </row>
    <row r="94" spans="1:16" s="430" customFormat="1">
      <c r="B94" s="1457"/>
      <c r="C94" s="1458"/>
      <c r="D94" s="1458"/>
      <c r="E94" s="1445"/>
      <c r="F94" s="1446"/>
      <c r="G94" s="1446"/>
      <c r="H94" s="1447"/>
      <c r="I94" s="1448"/>
      <c r="J94" s="1448"/>
      <c r="K94" s="1443"/>
      <c r="L94" s="1443"/>
      <c r="M94" s="1479"/>
      <c r="N94" s="1480"/>
    </row>
    <row r="95" spans="1:16" s="430" customFormat="1">
      <c r="B95" s="1457"/>
      <c r="C95" s="1458"/>
      <c r="D95" s="1458"/>
      <c r="E95" s="1445"/>
      <c r="F95" s="1446"/>
      <c r="G95" s="1446"/>
      <c r="H95" s="1447"/>
      <c r="I95" s="1448"/>
      <c r="J95" s="1448"/>
      <c r="K95" s="1443"/>
      <c r="L95" s="1443"/>
      <c r="M95" s="1479"/>
      <c r="N95" s="1480"/>
      <c r="P95" s="448"/>
    </row>
    <row r="96" spans="1:16" s="430" customFormat="1">
      <c r="B96" s="1457"/>
      <c r="C96" s="1458"/>
      <c r="D96" s="1458"/>
      <c r="E96" s="1445"/>
      <c r="F96" s="1446"/>
      <c r="G96" s="1446"/>
      <c r="H96" s="1447"/>
      <c r="I96" s="1448"/>
      <c r="J96" s="1448"/>
      <c r="K96" s="1443"/>
      <c r="L96" s="1443"/>
      <c r="M96" s="1479"/>
      <c r="N96" s="1480"/>
    </row>
    <row r="97" spans="2:16" s="430" customFormat="1">
      <c r="B97" s="1457"/>
      <c r="C97" s="1458"/>
      <c r="D97" s="1458"/>
      <c r="E97" s="1445"/>
      <c r="F97" s="1446"/>
      <c r="G97" s="1446"/>
      <c r="H97" s="1447"/>
      <c r="I97" s="1448"/>
      <c r="J97" s="1448"/>
      <c r="K97" s="1443"/>
      <c r="L97" s="1443"/>
      <c r="M97" s="1479"/>
      <c r="N97" s="1480"/>
    </row>
    <row r="98" spans="2:16" s="430" customFormat="1">
      <c r="B98" s="1457"/>
      <c r="C98" s="1458"/>
      <c r="D98" s="1458"/>
      <c r="E98" s="1445"/>
      <c r="F98" s="1446"/>
      <c r="G98" s="1446"/>
      <c r="H98" s="1448"/>
      <c r="I98" s="1448"/>
      <c r="J98" s="1448"/>
      <c r="K98" s="1443"/>
      <c r="L98" s="1443"/>
      <c r="M98" s="1479"/>
      <c r="N98" s="1480"/>
    </row>
    <row r="99" spans="2:16" s="430" customFormat="1">
      <c r="B99" s="1457"/>
      <c r="C99" s="1458"/>
      <c r="D99" s="1458"/>
      <c r="E99" s="1445"/>
      <c r="F99" s="1446"/>
      <c r="G99" s="1446"/>
      <c r="H99" s="1447"/>
      <c r="I99" s="1448"/>
      <c r="J99" s="1448"/>
      <c r="K99" s="1443"/>
      <c r="L99" s="1443"/>
      <c r="M99" s="1479"/>
      <c r="N99" s="1480"/>
      <c r="P99" s="448"/>
    </row>
    <row r="100" spans="2:16" s="430" customFormat="1">
      <c r="B100" s="1457"/>
      <c r="C100" s="1458"/>
      <c r="D100" s="1458"/>
      <c r="E100" s="1445"/>
      <c r="F100" s="1446"/>
      <c r="G100" s="1446"/>
      <c r="H100" s="1447"/>
      <c r="I100" s="1448"/>
      <c r="J100" s="1448"/>
      <c r="K100" s="1443"/>
      <c r="L100" s="1443"/>
      <c r="M100" s="1479"/>
      <c r="N100" s="1480"/>
      <c r="P100" s="448"/>
    </row>
    <row r="101" spans="2:16" s="430" customFormat="1">
      <c r="B101" s="1457"/>
      <c r="C101" s="1458"/>
      <c r="D101" s="1458"/>
      <c r="E101" s="1445"/>
      <c r="F101" s="1446"/>
      <c r="G101" s="1446"/>
      <c r="H101" s="1448"/>
      <c r="I101" s="1448"/>
      <c r="J101" s="1448"/>
      <c r="K101" s="1443"/>
      <c r="L101" s="1443"/>
      <c r="M101" s="1479"/>
      <c r="N101" s="1480"/>
      <c r="P101" s="448"/>
    </row>
    <row r="102" spans="2:16" s="430" customFormat="1">
      <c r="B102" s="1457"/>
      <c r="C102" s="1458"/>
      <c r="D102" s="1458"/>
      <c r="E102" s="1445"/>
      <c r="F102" s="1446"/>
      <c r="G102" s="1446"/>
      <c r="H102" s="1448"/>
      <c r="I102" s="1448"/>
      <c r="J102" s="1448"/>
      <c r="K102" s="1443"/>
      <c r="L102" s="1443"/>
      <c r="M102" s="1479"/>
      <c r="N102" s="1480"/>
      <c r="P102" s="448"/>
    </row>
    <row r="103" spans="2:16" s="430" customFormat="1">
      <c r="B103" s="1457"/>
      <c r="C103" s="1458"/>
      <c r="D103" s="1458"/>
      <c r="E103" s="1445"/>
      <c r="F103" s="1446"/>
      <c r="G103" s="1446"/>
      <c r="H103" s="1448"/>
      <c r="I103" s="1448"/>
      <c r="J103" s="1448"/>
      <c r="K103" s="1443"/>
      <c r="L103" s="1443"/>
      <c r="M103" s="1479"/>
      <c r="N103" s="1480"/>
      <c r="P103" s="448"/>
    </row>
    <row r="104" spans="2:16" s="430" customFormat="1">
      <c r="B104" s="1457"/>
      <c r="C104" s="1458"/>
      <c r="D104" s="1458"/>
      <c r="E104" s="1445"/>
      <c r="F104" s="1446"/>
      <c r="G104" s="1446"/>
      <c r="H104" s="1448"/>
      <c r="I104" s="1448"/>
      <c r="J104" s="1448"/>
      <c r="K104" s="1443"/>
      <c r="L104" s="1443"/>
      <c r="M104" s="1479"/>
      <c r="N104" s="1480"/>
      <c r="P104" s="448"/>
    </row>
    <row r="105" spans="2:16" s="430" customFormat="1">
      <c r="B105" s="1457"/>
      <c r="C105" s="1458"/>
      <c r="D105" s="1458"/>
      <c r="E105" s="1445"/>
      <c r="F105" s="1446"/>
      <c r="G105" s="1446"/>
      <c r="H105" s="1448"/>
      <c r="I105" s="1448"/>
      <c r="J105" s="1448"/>
      <c r="K105" s="1443"/>
      <c r="L105" s="1443"/>
      <c r="M105" s="1479"/>
      <c r="N105" s="1480"/>
      <c r="P105" s="448"/>
    </row>
    <row r="106" spans="2:16" s="430" customFormat="1">
      <c r="B106" s="1457"/>
      <c r="C106" s="1458"/>
      <c r="D106" s="1458"/>
      <c r="E106" s="1445"/>
      <c r="F106" s="1446"/>
      <c r="G106" s="1446"/>
      <c r="H106" s="1448"/>
      <c r="I106" s="1448"/>
      <c r="J106" s="1448"/>
      <c r="K106" s="1443"/>
      <c r="L106" s="1443"/>
      <c r="M106" s="1479"/>
      <c r="N106" s="1480"/>
      <c r="P106" s="448"/>
    </row>
    <row r="107" spans="2:16" s="430" customFormat="1">
      <c r="B107" s="1457"/>
      <c r="C107" s="1458"/>
      <c r="D107" s="1458"/>
      <c r="E107" s="1445"/>
      <c r="F107" s="1446"/>
      <c r="G107" s="1446"/>
      <c r="H107" s="1448"/>
      <c r="I107" s="1448"/>
      <c r="J107" s="1448"/>
      <c r="K107" s="1443"/>
      <c r="L107" s="1443"/>
      <c r="M107" s="1479"/>
      <c r="N107" s="1480"/>
      <c r="P107" s="448"/>
    </row>
    <row r="108" spans="2:16" s="430" customFormat="1">
      <c r="B108" s="1457"/>
      <c r="C108" s="1458"/>
      <c r="D108" s="1458"/>
      <c r="E108" s="1445"/>
      <c r="F108" s="1446"/>
      <c r="G108" s="1446"/>
      <c r="H108" s="1448"/>
      <c r="I108" s="1448"/>
      <c r="J108" s="1448"/>
      <c r="K108" s="1443"/>
      <c r="L108" s="1443"/>
      <c r="M108" s="1479"/>
      <c r="N108" s="1480"/>
      <c r="P108" s="448"/>
    </row>
    <row r="109" spans="2:16" s="430" customFormat="1">
      <c r="B109" s="1457"/>
      <c r="C109" s="1458"/>
      <c r="D109" s="1458"/>
      <c r="E109" s="1445"/>
      <c r="F109" s="1446"/>
      <c r="G109" s="1446"/>
      <c r="H109" s="1448"/>
      <c r="I109" s="1448"/>
      <c r="J109" s="1448"/>
      <c r="K109" s="1443"/>
      <c r="L109" s="1443"/>
      <c r="M109" s="1479"/>
      <c r="N109" s="1480"/>
      <c r="P109" s="448"/>
    </row>
    <row r="110" spans="2:16" s="430" customFormat="1">
      <c r="B110" s="1457"/>
      <c r="C110" s="1458"/>
      <c r="D110" s="1458"/>
      <c r="E110" s="1445"/>
      <c r="F110" s="1446"/>
      <c r="G110" s="1446"/>
      <c r="H110" s="1448"/>
      <c r="I110" s="1448"/>
      <c r="J110" s="1448"/>
      <c r="K110" s="1443"/>
      <c r="L110" s="1443"/>
      <c r="M110" s="1479"/>
      <c r="N110" s="1480"/>
      <c r="P110" s="448"/>
    </row>
    <row r="111" spans="2:16" s="430" customFormat="1">
      <c r="B111" s="1457"/>
      <c r="C111" s="1458"/>
      <c r="D111" s="1458"/>
      <c r="E111" s="1445"/>
      <c r="F111" s="1446"/>
      <c r="G111" s="1446"/>
      <c r="H111" s="1448"/>
      <c r="I111" s="1448"/>
      <c r="J111" s="1448"/>
      <c r="K111" s="1443"/>
      <c r="L111" s="1443"/>
      <c r="M111" s="1479"/>
      <c r="N111" s="1480"/>
      <c r="P111" s="448"/>
    </row>
    <row r="112" spans="2:16" s="430" customFormat="1">
      <c r="B112" s="1457"/>
      <c r="C112" s="1458"/>
      <c r="D112" s="1458"/>
      <c r="E112" s="1445"/>
      <c r="F112" s="1446"/>
      <c r="G112" s="1446"/>
      <c r="H112" s="1448"/>
      <c r="I112" s="1448"/>
      <c r="J112" s="1448"/>
      <c r="K112" s="1443"/>
      <c r="L112" s="1443"/>
      <c r="M112" s="1479"/>
      <c r="N112" s="1480"/>
      <c r="P112" s="448"/>
    </row>
    <row r="113" spans="2:16" s="430" customFormat="1">
      <c r="B113" s="1457"/>
      <c r="C113" s="1458"/>
      <c r="D113" s="1458"/>
      <c r="E113" s="1445"/>
      <c r="F113" s="1446"/>
      <c r="G113" s="1446"/>
      <c r="H113" s="1447"/>
      <c r="I113" s="1448"/>
      <c r="J113" s="1448"/>
      <c r="K113" s="1443"/>
      <c r="L113" s="1443"/>
      <c r="M113" s="1479"/>
      <c r="N113" s="1480"/>
      <c r="P113" s="448"/>
    </row>
    <row r="114" spans="2:16" s="430" customFormat="1" ht="15.75" thickBot="1">
      <c r="B114" s="1460"/>
      <c r="C114" s="1461"/>
      <c r="D114" s="1461"/>
      <c r="E114" s="1449"/>
      <c r="F114" s="1450"/>
      <c r="G114" s="1450"/>
      <c r="H114" s="1451"/>
      <c r="I114" s="1451"/>
      <c r="J114" s="1451"/>
      <c r="K114" s="1452"/>
      <c r="L114" s="1452"/>
      <c r="M114" s="1475"/>
      <c r="N114" s="1476"/>
      <c r="P114" s="448"/>
    </row>
    <row r="115" spans="2:16" s="430" customFormat="1" ht="15.75" thickBot="1">
      <c r="B115" s="451"/>
      <c r="C115" s="449"/>
      <c r="D115" s="449"/>
      <c r="E115" s="449"/>
      <c r="F115" s="448"/>
      <c r="G115" s="448"/>
      <c r="H115" s="459"/>
      <c r="I115" s="448"/>
      <c r="J115" s="448"/>
      <c r="K115" s="448"/>
      <c r="L115" s="448"/>
      <c r="M115" s="448"/>
    </row>
    <row r="116" spans="2:16" s="430" customFormat="1" ht="15.75" customHeight="1" thickBot="1">
      <c r="B116" s="1469" t="s">
        <v>671</v>
      </c>
      <c r="C116" s="1470"/>
      <c r="D116" s="1471"/>
      <c r="E116" s="1472" t="s">
        <v>114</v>
      </c>
      <c r="F116" s="1473"/>
      <c r="G116" s="1473"/>
      <c r="H116" s="1473" t="s">
        <v>197</v>
      </c>
      <c r="I116" s="1473"/>
      <c r="J116" s="1473"/>
      <c r="K116" s="1473" t="s">
        <v>596</v>
      </c>
      <c r="L116" s="1473"/>
      <c r="M116" s="1473" t="s">
        <v>198</v>
      </c>
      <c r="N116" s="1474"/>
    </row>
    <row r="117" spans="2:16" s="430" customFormat="1">
      <c r="B117" s="1454" t="str">
        <f>IF(B40="","",B40)</f>
        <v/>
      </c>
      <c r="C117" s="1455"/>
      <c r="D117" s="1456"/>
      <c r="E117" s="1463"/>
      <c r="F117" s="1464"/>
      <c r="G117" s="1464"/>
      <c r="H117" s="1465"/>
      <c r="I117" s="1466"/>
      <c r="J117" s="1466"/>
      <c r="K117" s="1467"/>
      <c r="L117" s="1467"/>
      <c r="M117" s="1477"/>
      <c r="N117" s="1478"/>
    </row>
    <row r="118" spans="2:16" s="430" customFormat="1">
      <c r="B118" s="1457"/>
      <c r="C118" s="1458"/>
      <c r="D118" s="1459"/>
      <c r="E118" s="1445"/>
      <c r="F118" s="1446"/>
      <c r="G118" s="1446"/>
      <c r="H118" s="1447"/>
      <c r="I118" s="1448"/>
      <c r="J118" s="1448"/>
      <c r="K118" s="1443"/>
      <c r="L118" s="1443"/>
      <c r="M118" s="1479"/>
      <c r="N118" s="1480"/>
    </row>
    <row r="119" spans="2:16" s="430" customFormat="1" ht="15" customHeight="1">
      <c r="B119" s="1457"/>
      <c r="C119" s="1458"/>
      <c r="D119" s="1459"/>
      <c r="E119" s="1445"/>
      <c r="F119" s="1446"/>
      <c r="G119" s="1446"/>
      <c r="H119" s="1447"/>
      <c r="I119" s="1448"/>
      <c r="J119" s="1448"/>
      <c r="K119" s="1443"/>
      <c r="L119" s="1443"/>
      <c r="M119" s="1479"/>
      <c r="N119" s="1480"/>
    </row>
    <row r="120" spans="2:16" s="430" customFormat="1">
      <c r="B120" s="1457"/>
      <c r="C120" s="1458"/>
      <c r="D120" s="1459"/>
      <c r="E120" s="1445"/>
      <c r="F120" s="1446"/>
      <c r="G120" s="1446"/>
      <c r="H120" s="1447"/>
      <c r="I120" s="1448"/>
      <c r="J120" s="1448"/>
      <c r="K120" s="1443"/>
      <c r="L120" s="1443"/>
      <c r="M120" s="1479"/>
      <c r="N120" s="1480"/>
    </row>
    <row r="121" spans="2:16" s="430" customFormat="1">
      <c r="B121" s="1457"/>
      <c r="C121" s="1458"/>
      <c r="D121" s="1459"/>
      <c r="E121" s="1445"/>
      <c r="F121" s="1446"/>
      <c r="G121" s="1446"/>
      <c r="H121" s="1447"/>
      <c r="I121" s="1448"/>
      <c r="J121" s="1448"/>
      <c r="K121" s="1443"/>
      <c r="L121" s="1443"/>
      <c r="M121" s="1479"/>
      <c r="N121" s="1480"/>
    </row>
    <row r="122" spans="2:16" s="430" customFormat="1">
      <c r="B122" s="1457"/>
      <c r="C122" s="1458"/>
      <c r="D122" s="1459"/>
      <c r="E122" s="1445"/>
      <c r="F122" s="1446"/>
      <c r="G122" s="1446"/>
      <c r="H122" s="1447"/>
      <c r="I122" s="1448"/>
      <c r="J122" s="1448"/>
      <c r="K122" s="1443"/>
      <c r="L122" s="1443"/>
      <c r="M122" s="1479"/>
      <c r="N122" s="1480"/>
    </row>
    <row r="123" spans="2:16" s="430" customFormat="1">
      <c r="B123" s="1457"/>
      <c r="C123" s="1458"/>
      <c r="D123" s="1459"/>
      <c r="E123" s="1445"/>
      <c r="F123" s="1446"/>
      <c r="G123" s="1446"/>
      <c r="H123" s="1447"/>
      <c r="I123" s="1448"/>
      <c r="J123" s="1448"/>
      <c r="K123" s="1443"/>
      <c r="L123" s="1443"/>
      <c r="M123" s="1479"/>
      <c r="N123" s="1480"/>
    </row>
    <row r="124" spans="2:16" s="430" customFormat="1">
      <c r="B124" s="1457"/>
      <c r="C124" s="1458"/>
      <c r="D124" s="1459"/>
      <c r="E124" s="1445"/>
      <c r="F124" s="1446"/>
      <c r="G124" s="1446"/>
      <c r="H124" s="1447"/>
      <c r="I124" s="1448"/>
      <c r="J124" s="1448"/>
      <c r="K124" s="1443"/>
      <c r="L124" s="1443"/>
      <c r="M124" s="1479"/>
      <c r="N124" s="1480"/>
    </row>
    <row r="125" spans="2:16" s="430" customFormat="1">
      <c r="B125" s="1457"/>
      <c r="C125" s="1458"/>
      <c r="D125" s="1459"/>
      <c r="E125" s="1445"/>
      <c r="F125" s="1446"/>
      <c r="G125" s="1446"/>
      <c r="H125" s="1448"/>
      <c r="I125" s="1448"/>
      <c r="J125" s="1448"/>
      <c r="K125" s="1443"/>
      <c r="L125" s="1443"/>
      <c r="M125" s="1479"/>
      <c r="N125" s="1480"/>
    </row>
    <row r="126" spans="2:16" s="430" customFormat="1">
      <c r="B126" s="1457"/>
      <c r="C126" s="1458"/>
      <c r="D126" s="1459"/>
      <c r="E126" s="1445"/>
      <c r="F126" s="1446"/>
      <c r="G126" s="1446"/>
      <c r="H126" s="1447"/>
      <c r="I126" s="1448"/>
      <c r="J126" s="1448"/>
      <c r="K126" s="1443"/>
      <c r="L126" s="1443"/>
      <c r="M126" s="1479"/>
      <c r="N126" s="1480"/>
    </row>
    <row r="127" spans="2:16" s="430" customFormat="1">
      <c r="B127" s="1457"/>
      <c r="C127" s="1458"/>
      <c r="D127" s="1459"/>
      <c r="E127" s="1445"/>
      <c r="F127" s="1446"/>
      <c r="G127" s="1446"/>
      <c r="H127" s="1447"/>
      <c r="I127" s="1448"/>
      <c r="J127" s="1448"/>
      <c r="K127" s="1443"/>
      <c r="L127" s="1443"/>
      <c r="M127" s="1479"/>
      <c r="N127" s="1480"/>
    </row>
    <row r="128" spans="2:16" s="430" customFormat="1">
      <c r="B128" s="1457"/>
      <c r="C128" s="1458"/>
      <c r="D128" s="1459"/>
      <c r="E128" s="1445"/>
      <c r="F128" s="1446"/>
      <c r="G128" s="1446"/>
      <c r="H128" s="1448"/>
      <c r="I128" s="1448"/>
      <c r="J128" s="1448"/>
      <c r="K128" s="1443"/>
      <c r="L128" s="1443"/>
      <c r="M128" s="1479"/>
      <c r="N128" s="1480"/>
    </row>
    <row r="129" spans="2:14" s="430" customFormat="1">
      <c r="B129" s="1457"/>
      <c r="C129" s="1458"/>
      <c r="D129" s="1459"/>
      <c r="E129" s="1445"/>
      <c r="F129" s="1446"/>
      <c r="G129" s="1446"/>
      <c r="H129" s="1448"/>
      <c r="I129" s="1448"/>
      <c r="J129" s="1448"/>
      <c r="K129" s="1443"/>
      <c r="L129" s="1443"/>
      <c r="M129" s="1479"/>
      <c r="N129" s="1480"/>
    </row>
    <row r="130" spans="2:14" s="430" customFormat="1">
      <c r="B130" s="1457"/>
      <c r="C130" s="1458"/>
      <c r="D130" s="1459"/>
      <c r="E130" s="1445"/>
      <c r="F130" s="1446"/>
      <c r="G130" s="1446"/>
      <c r="H130" s="1448"/>
      <c r="I130" s="1448"/>
      <c r="J130" s="1448"/>
      <c r="K130" s="1443"/>
      <c r="L130" s="1443"/>
      <c r="M130" s="1479"/>
      <c r="N130" s="1480"/>
    </row>
    <row r="131" spans="2:14" s="430" customFormat="1">
      <c r="B131" s="1457"/>
      <c r="C131" s="1458"/>
      <c r="D131" s="1459"/>
      <c r="E131" s="1445"/>
      <c r="F131" s="1446"/>
      <c r="G131" s="1446"/>
      <c r="H131" s="1448"/>
      <c r="I131" s="1448"/>
      <c r="J131" s="1448"/>
      <c r="K131" s="1443"/>
      <c r="L131" s="1443"/>
      <c r="M131" s="1479"/>
      <c r="N131" s="1480"/>
    </row>
    <row r="132" spans="2:14" s="430" customFormat="1">
      <c r="B132" s="1457"/>
      <c r="C132" s="1458"/>
      <c r="D132" s="1459"/>
      <c r="E132" s="1445"/>
      <c r="F132" s="1446"/>
      <c r="G132" s="1446"/>
      <c r="H132" s="1448"/>
      <c r="I132" s="1448"/>
      <c r="J132" s="1448"/>
      <c r="K132" s="1443"/>
      <c r="L132" s="1443"/>
      <c r="M132" s="1479"/>
      <c r="N132" s="1480"/>
    </row>
    <row r="133" spans="2:14" s="430" customFormat="1">
      <c r="B133" s="1457"/>
      <c r="C133" s="1458"/>
      <c r="D133" s="1459"/>
      <c r="E133" s="1445"/>
      <c r="F133" s="1446"/>
      <c r="G133" s="1446"/>
      <c r="H133" s="1448"/>
      <c r="I133" s="1448"/>
      <c r="J133" s="1448"/>
      <c r="K133" s="1443"/>
      <c r="L133" s="1443"/>
      <c r="M133" s="1479"/>
      <c r="N133" s="1480"/>
    </row>
    <row r="134" spans="2:14" s="430" customFormat="1">
      <c r="B134" s="1457"/>
      <c r="C134" s="1458"/>
      <c r="D134" s="1459"/>
      <c r="E134" s="1445"/>
      <c r="F134" s="1446"/>
      <c r="G134" s="1446"/>
      <c r="H134" s="1448"/>
      <c r="I134" s="1448"/>
      <c r="J134" s="1448"/>
      <c r="K134" s="1443"/>
      <c r="L134" s="1443"/>
      <c r="M134" s="1479"/>
      <c r="N134" s="1480"/>
    </row>
    <row r="135" spans="2:14" s="430" customFormat="1">
      <c r="B135" s="1457"/>
      <c r="C135" s="1458"/>
      <c r="D135" s="1459"/>
      <c r="E135" s="1445"/>
      <c r="F135" s="1446"/>
      <c r="G135" s="1446"/>
      <c r="H135" s="1448"/>
      <c r="I135" s="1448"/>
      <c r="J135" s="1448"/>
      <c r="K135" s="1443"/>
      <c r="L135" s="1443"/>
      <c r="M135" s="1479"/>
      <c r="N135" s="1480"/>
    </row>
    <row r="136" spans="2:14" s="430" customFormat="1">
      <c r="B136" s="1457"/>
      <c r="C136" s="1458"/>
      <c r="D136" s="1459"/>
      <c r="E136" s="1445"/>
      <c r="F136" s="1446"/>
      <c r="G136" s="1446"/>
      <c r="H136" s="1448"/>
      <c r="I136" s="1448"/>
      <c r="J136" s="1448"/>
      <c r="K136" s="1443"/>
      <c r="L136" s="1443"/>
      <c r="M136" s="1479"/>
      <c r="N136" s="1480"/>
    </row>
    <row r="137" spans="2:14" s="430" customFormat="1">
      <c r="B137" s="1457"/>
      <c r="C137" s="1458"/>
      <c r="D137" s="1459"/>
      <c r="E137" s="1445"/>
      <c r="F137" s="1446"/>
      <c r="G137" s="1446"/>
      <c r="H137" s="1448"/>
      <c r="I137" s="1448"/>
      <c r="J137" s="1448"/>
      <c r="K137" s="1443"/>
      <c r="L137" s="1443"/>
      <c r="M137" s="1479"/>
      <c r="N137" s="1480"/>
    </row>
    <row r="138" spans="2:14" s="430" customFormat="1">
      <c r="B138" s="1457"/>
      <c r="C138" s="1458"/>
      <c r="D138" s="1459"/>
      <c r="E138" s="1445"/>
      <c r="F138" s="1446"/>
      <c r="G138" s="1446"/>
      <c r="H138" s="1448"/>
      <c r="I138" s="1448"/>
      <c r="J138" s="1448"/>
      <c r="K138" s="1443"/>
      <c r="L138" s="1443"/>
      <c r="M138" s="1479"/>
      <c r="N138" s="1480"/>
    </row>
    <row r="139" spans="2:14" s="430" customFormat="1">
      <c r="B139" s="1457"/>
      <c r="C139" s="1458"/>
      <c r="D139" s="1459"/>
      <c r="E139" s="1445"/>
      <c r="F139" s="1446"/>
      <c r="G139" s="1446"/>
      <c r="H139" s="1448"/>
      <c r="I139" s="1448"/>
      <c r="J139" s="1448"/>
      <c r="K139" s="1443"/>
      <c r="L139" s="1443"/>
      <c r="M139" s="1479"/>
      <c r="N139" s="1480"/>
    </row>
    <row r="140" spans="2:14" s="430" customFormat="1">
      <c r="B140" s="1457"/>
      <c r="C140" s="1458"/>
      <c r="D140" s="1459"/>
      <c r="E140" s="1445"/>
      <c r="F140" s="1446"/>
      <c r="G140" s="1446"/>
      <c r="H140" s="1447"/>
      <c r="I140" s="1448"/>
      <c r="J140" s="1448"/>
      <c r="K140" s="1443"/>
      <c r="L140" s="1443"/>
      <c r="M140" s="1479"/>
      <c r="N140" s="1480"/>
    </row>
    <row r="141" spans="2:14" s="430" customFormat="1" ht="15.75" thickBot="1">
      <c r="B141" s="1460"/>
      <c r="C141" s="1461"/>
      <c r="D141" s="1462"/>
      <c r="E141" s="1449"/>
      <c r="F141" s="1450"/>
      <c r="G141" s="1450"/>
      <c r="H141" s="1451"/>
      <c r="I141" s="1451"/>
      <c r="J141" s="1451"/>
      <c r="K141" s="1452"/>
      <c r="L141" s="1452"/>
      <c r="M141" s="1475"/>
      <c r="N141" s="1476"/>
    </row>
    <row r="142" spans="2:14" s="430" customFormat="1" ht="15.75" thickBot="1"/>
    <row r="143" spans="2:14" s="430" customFormat="1" ht="15.75" customHeight="1" thickBot="1">
      <c r="B143" s="1469" t="s">
        <v>671</v>
      </c>
      <c r="C143" s="1470"/>
      <c r="D143" s="1471"/>
      <c r="E143" s="1472" t="s">
        <v>114</v>
      </c>
      <c r="F143" s="1473"/>
      <c r="G143" s="1473"/>
      <c r="H143" s="1473" t="s">
        <v>197</v>
      </c>
      <c r="I143" s="1473"/>
      <c r="J143" s="1473"/>
      <c r="K143" s="1473" t="s">
        <v>596</v>
      </c>
      <c r="L143" s="1473"/>
      <c r="M143" s="1473" t="s">
        <v>198</v>
      </c>
      <c r="N143" s="1474"/>
    </row>
    <row r="144" spans="2:14" s="430" customFormat="1">
      <c r="B144" s="1454" t="str">
        <f>IF(B41="","",B41)</f>
        <v/>
      </c>
      <c r="C144" s="1455"/>
      <c r="D144" s="1456"/>
      <c r="E144" s="1463"/>
      <c r="F144" s="1464"/>
      <c r="G144" s="1464"/>
      <c r="H144" s="1465"/>
      <c r="I144" s="1466"/>
      <c r="J144" s="1466"/>
      <c r="K144" s="1467"/>
      <c r="L144" s="1467"/>
      <c r="M144" s="1477"/>
      <c r="N144" s="1478"/>
    </row>
    <row r="145" spans="2:14" s="430" customFormat="1">
      <c r="B145" s="1457"/>
      <c r="C145" s="1458"/>
      <c r="D145" s="1459"/>
      <c r="E145" s="1445"/>
      <c r="F145" s="1446"/>
      <c r="G145" s="1446"/>
      <c r="H145" s="1447"/>
      <c r="I145" s="1448"/>
      <c r="J145" s="1448"/>
      <c r="K145" s="1443"/>
      <c r="L145" s="1443"/>
      <c r="M145" s="1479"/>
      <c r="N145" s="1480"/>
    </row>
    <row r="146" spans="2:14" s="430" customFormat="1">
      <c r="B146" s="1457"/>
      <c r="C146" s="1458"/>
      <c r="D146" s="1459"/>
      <c r="E146" s="1445"/>
      <c r="F146" s="1446"/>
      <c r="G146" s="1446"/>
      <c r="H146" s="1447"/>
      <c r="I146" s="1448"/>
      <c r="J146" s="1448"/>
      <c r="K146" s="1443"/>
      <c r="L146" s="1443"/>
      <c r="M146" s="1479"/>
      <c r="N146" s="1480"/>
    </row>
    <row r="147" spans="2:14" s="430" customFormat="1">
      <c r="B147" s="1457"/>
      <c r="C147" s="1458"/>
      <c r="D147" s="1459"/>
      <c r="E147" s="1445"/>
      <c r="F147" s="1446"/>
      <c r="G147" s="1446"/>
      <c r="H147" s="1447"/>
      <c r="I147" s="1448"/>
      <c r="J147" s="1448"/>
      <c r="K147" s="1443"/>
      <c r="L147" s="1443"/>
      <c r="M147" s="1479"/>
      <c r="N147" s="1480"/>
    </row>
    <row r="148" spans="2:14" s="430" customFormat="1">
      <c r="B148" s="1457"/>
      <c r="C148" s="1458"/>
      <c r="D148" s="1459"/>
      <c r="E148" s="1445"/>
      <c r="F148" s="1446"/>
      <c r="G148" s="1446"/>
      <c r="H148" s="1447"/>
      <c r="I148" s="1448"/>
      <c r="J148" s="1448"/>
      <c r="K148" s="1443"/>
      <c r="L148" s="1443"/>
      <c r="M148" s="1479"/>
      <c r="N148" s="1480"/>
    </row>
    <row r="149" spans="2:14" s="430" customFormat="1">
      <c r="B149" s="1457"/>
      <c r="C149" s="1458"/>
      <c r="D149" s="1459"/>
      <c r="E149" s="1445"/>
      <c r="F149" s="1446"/>
      <c r="G149" s="1446"/>
      <c r="H149" s="1447"/>
      <c r="I149" s="1448"/>
      <c r="J149" s="1448"/>
      <c r="K149" s="1443"/>
      <c r="L149" s="1443"/>
      <c r="M149" s="1479"/>
      <c r="N149" s="1480"/>
    </row>
    <row r="150" spans="2:14" s="430" customFormat="1">
      <c r="B150" s="1457"/>
      <c r="C150" s="1458"/>
      <c r="D150" s="1459"/>
      <c r="E150" s="1445"/>
      <c r="F150" s="1446"/>
      <c r="G150" s="1446"/>
      <c r="H150" s="1447"/>
      <c r="I150" s="1448"/>
      <c r="J150" s="1448"/>
      <c r="K150" s="1443"/>
      <c r="L150" s="1443"/>
      <c r="M150" s="1479"/>
      <c r="N150" s="1480"/>
    </row>
    <row r="151" spans="2:14" s="430" customFormat="1">
      <c r="B151" s="1457"/>
      <c r="C151" s="1458"/>
      <c r="D151" s="1459"/>
      <c r="E151" s="1445"/>
      <c r="F151" s="1446"/>
      <c r="G151" s="1446"/>
      <c r="H151" s="1447"/>
      <c r="I151" s="1448"/>
      <c r="J151" s="1448"/>
      <c r="K151" s="1443"/>
      <c r="L151" s="1443"/>
      <c r="M151" s="1479"/>
      <c r="N151" s="1480"/>
    </row>
    <row r="152" spans="2:14" s="430" customFormat="1">
      <c r="B152" s="1457"/>
      <c r="C152" s="1458"/>
      <c r="D152" s="1459"/>
      <c r="E152" s="1445"/>
      <c r="F152" s="1446"/>
      <c r="G152" s="1446"/>
      <c r="H152" s="1448"/>
      <c r="I152" s="1448"/>
      <c r="J152" s="1448"/>
      <c r="K152" s="1443"/>
      <c r="L152" s="1443"/>
      <c r="M152" s="1479"/>
      <c r="N152" s="1480"/>
    </row>
    <row r="153" spans="2:14" s="430" customFormat="1">
      <c r="B153" s="1457"/>
      <c r="C153" s="1458"/>
      <c r="D153" s="1459"/>
      <c r="E153" s="1445"/>
      <c r="F153" s="1446"/>
      <c r="G153" s="1446"/>
      <c r="H153" s="1447"/>
      <c r="I153" s="1448"/>
      <c r="J153" s="1448"/>
      <c r="K153" s="1443"/>
      <c r="L153" s="1443"/>
      <c r="M153" s="1479"/>
      <c r="N153" s="1480"/>
    </row>
    <row r="154" spans="2:14" s="430" customFormat="1">
      <c r="B154" s="1457"/>
      <c r="C154" s="1458"/>
      <c r="D154" s="1459"/>
      <c r="E154" s="1445"/>
      <c r="F154" s="1446"/>
      <c r="G154" s="1446"/>
      <c r="H154" s="1447"/>
      <c r="I154" s="1448"/>
      <c r="J154" s="1448"/>
      <c r="K154" s="1443"/>
      <c r="L154" s="1443"/>
      <c r="M154" s="1479"/>
      <c r="N154" s="1480"/>
    </row>
    <row r="155" spans="2:14" s="430" customFormat="1">
      <c r="B155" s="1457"/>
      <c r="C155" s="1458"/>
      <c r="D155" s="1459"/>
      <c r="E155" s="1445"/>
      <c r="F155" s="1446"/>
      <c r="G155" s="1446"/>
      <c r="H155" s="1448"/>
      <c r="I155" s="1448"/>
      <c r="J155" s="1448"/>
      <c r="K155" s="1443"/>
      <c r="L155" s="1443"/>
      <c r="M155" s="1479"/>
      <c r="N155" s="1480"/>
    </row>
    <row r="156" spans="2:14" s="430" customFormat="1">
      <c r="B156" s="1457"/>
      <c r="C156" s="1458"/>
      <c r="D156" s="1459"/>
      <c r="E156" s="1445"/>
      <c r="F156" s="1446"/>
      <c r="G156" s="1446"/>
      <c r="H156" s="1448"/>
      <c r="I156" s="1448"/>
      <c r="J156" s="1448"/>
      <c r="K156" s="1443"/>
      <c r="L156" s="1443"/>
      <c r="M156" s="1479"/>
      <c r="N156" s="1480"/>
    </row>
    <row r="157" spans="2:14" s="430" customFormat="1">
      <c r="B157" s="1457"/>
      <c r="C157" s="1458"/>
      <c r="D157" s="1459"/>
      <c r="E157" s="1445"/>
      <c r="F157" s="1446"/>
      <c r="G157" s="1446"/>
      <c r="H157" s="1448"/>
      <c r="I157" s="1448"/>
      <c r="J157" s="1448"/>
      <c r="K157" s="1443"/>
      <c r="L157" s="1443"/>
      <c r="M157" s="1479"/>
      <c r="N157" s="1480"/>
    </row>
    <row r="158" spans="2:14" s="430" customFormat="1">
      <c r="B158" s="1457"/>
      <c r="C158" s="1458"/>
      <c r="D158" s="1459"/>
      <c r="E158" s="1445"/>
      <c r="F158" s="1446"/>
      <c r="G158" s="1446"/>
      <c r="H158" s="1448"/>
      <c r="I158" s="1448"/>
      <c r="J158" s="1448"/>
      <c r="K158" s="1443"/>
      <c r="L158" s="1443"/>
      <c r="M158" s="1479"/>
      <c r="N158" s="1480"/>
    </row>
    <row r="159" spans="2:14" s="430" customFormat="1">
      <c r="B159" s="1457"/>
      <c r="C159" s="1458"/>
      <c r="D159" s="1459"/>
      <c r="E159" s="1445"/>
      <c r="F159" s="1446"/>
      <c r="G159" s="1446"/>
      <c r="H159" s="1448"/>
      <c r="I159" s="1448"/>
      <c r="J159" s="1448"/>
      <c r="K159" s="1443"/>
      <c r="L159" s="1443"/>
      <c r="M159" s="1479"/>
      <c r="N159" s="1480"/>
    </row>
    <row r="160" spans="2:14" s="430" customFormat="1">
      <c r="B160" s="1457"/>
      <c r="C160" s="1458"/>
      <c r="D160" s="1459"/>
      <c r="E160" s="1445"/>
      <c r="F160" s="1446"/>
      <c r="G160" s="1446"/>
      <c r="H160" s="1448"/>
      <c r="I160" s="1448"/>
      <c r="J160" s="1448"/>
      <c r="K160" s="1443"/>
      <c r="L160" s="1443"/>
      <c r="M160" s="1479"/>
      <c r="N160" s="1480"/>
    </row>
    <row r="161" spans="2:14" s="430" customFormat="1">
      <c r="B161" s="1457"/>
      <c r="C161" s="1458"/>
      <c r="D161" s="1459"/>
      <c r="E161" s="1445"/>
      <c r="F161" s="1446"/>
      <c r="G161" s="1446"/>
      <c r="H161" s="1448"/>
      <c r="I161" s="1448"/>
      <c r="J161" s="1448"/>
      <c r="K161" s="1443"/>
      <c r="L161" s="1443"/>
      <c r="M161" s="1479"/>
      <c r="N161" s="1480"/>
    </row>
    <row r="162" spans="2:14" s="430" customFormat="1">
      <c r="B162" s="1457"/>
      <c r="C162" s="1458"/>
      <c r="D162" s="1459"/>
      <c r="E162" s="1445"/>
      <c r="F162" s="1446"/>
      <c r="G162" s="1446"/>
      <c r="H162" s="1448"/>
      <c r="I162" s="1448"/>
      <c r="J162" s="1448"/>
      <c r="K162" s="1443"/>
      <c r="L162" s="1443"/>
      <c r="M162" s="1479"/>
      <c r="N162" s="1480"/>
    </row>
    <row r="163" spans="2:14" s="430" customFormat="1">
      <c r="B163" s="1457"/>
      <c r="C163" s="1458"/>
      <c r="D163" s="1459"/>
      <c r="E163" s="1445"/>
      <c r="F163" s="1446"/>
      <c r="G163" s="1446"/>
      <c r="H163" s="1448"/>
      <c r="I163" s="1448"/>
      <c r="J163" s="1448"/>
      <c r="K163" s="1443"/>
      <c r="L163" s="1443"/>
      <c r="M163" s="1479"/>
      <c r="N163" s="1480"/>
    </row>
    <row r="164" spans="2:14" s="430" customFormat="1">
      <c r="B164" s="1457"/>
      <c r="C164" s="1458"/>
      <c r="D164" s="1459"/>
      <c r="E164" s="1445"/>
      <c r="F164" s="1446"/>
      <c r="G164" s="1446"/>
      <c r="H164" s="1448"/>
      <c r="I164" s="1448"/>
      <c r="J164" s="1448"/>
      <c r="K164" s="1443"/>
      <c r="L164" s="1443"/>
      <c r="M164" s="1479"/>
      <c r="N164" s="1480"/>
    </row>
    <row r="165" spans="2:14" s="430" customFormat="1">
      <c r="B165" s="1457"/>
      <c r="C165" s="1458"/>
      <c r="D165" s="1459"/>
      <c r="E165" s="1445"/>
      <c r="F165" s="1446"/>
      <c r="G165" s="1446"/>
      <c r="H165" s="1448"/>
      <c r="I165" s="1448"/>
      <c r="J165" s="1448"/>
      <c r="K165" s="1443"/>
      <c r="L165" s="1443"/>
      <c r="M165" s="1479"/>
      <c r="N165" s="1480"/>
    </row>
    <row r="166" spans="2:14" s="430" customFormat="1">
      <c r="B166" s="1457"/>
      <c r="C166" s="1458"/>
      <c r="D166" s="1459"/>
      <c r="E166" s="1445"/>
      <c r="F166" s="1446"/>
      <c r="G166" s="1446"/>
      <c r="H166" s="1448"/>
      <c r="I166" s="1448"/>
      <c r="J166" s="1448"/>
      <c r="K166" s="1443"/>
      <c r="L166" s="1443"/>
      <c r="M166" s="1479"/>
      <c r="N166" s="1480"/>
    </row>
    <row r="167" spans="2:14" s="430" customFormat="1">
      <c r="B167" s="1457"/>
      <c r="C167" s="1458"/>
      <c r="D167" s="1459"/>
      <c r="E167" s="1445"/>
      <c r="F167" s="1446"/>
      <c r="G167" s="1446"/>
      <c r="H167" s="1447"/>
      <c r="I167" s="1448"/>
      <c r="J167" s="1448"/>
      <c r="K167" s="1443"/>
      <c r="L167" s="1443"/>
      <c r="M167" s="1479"/>
      <c r="N167" s="1480"/>
    </row>
    <row r="168" spans="2:14" s="430" customFormat="1" ht="15.75" thickBot="1">
      <c r="B168" s="1460"/>
      <c r="C168" s="1461"/>
      <c r="D168" s="1462"/>
      <c r="E168" s="1449"/>
      <c r="F168" s="1450"/>
      <c r="G168" s="1450"/>
      <c r="H168" s="1451"/>
      <c r="I168" s="1451"/>
      <c r="J168" s="1451"/>
      <c r="K168" s="1452"/>
      <c r="L168" s="1452"/>
      <c r="M168" s="1475"/>
      <c r="N168" s="1476"/>
    </row>
    <row r="169" spans="2:14" s="430" customFormat="1" ht="15.75" thickBot="1">
      <c r="B169" s="205"/>
      <c r="C169" s="205"/>
      <c r="D169" s="205"/>
      <c r="E169" s="205"/>
      <c r="F169" s="278"/>
      <c r="G169" s="278"/>
      <c r="H169" s="278"/>
      <c r="I169" s="278"/>
      <c r="J169" s="278"/>
      <c r="K169" s="278"/>
      <c r="L169" s="278"/>
      <c r="M169" s="278"/>
    </row>
    <row r="170" spans="2:14" s="430" customFormat="1" ht="15.75" customHeight="1" thickBot="1">
      <c r="B170" s="1469" t="s">
        <v>671</v>
      </c>
      <c r="C170" s="1470"/>
      <c r="D170" s="1471"/>
      <c r="E170" s="1472" t="s">
        <v>114</v>
      </c>
      <c r="F170" s="1473"/>
      <c r="G170" s="1473"/>
      <c r="H170" s="1473" t="s">
        <v>197</v>
      </c>
      <c r="I170" s="1473"/>
      <c r="J170" s="1473"/>
      <c r="K170" s="1473" t="s">
        <v>596</v>
      </c>
      <c r="L170" s="1473"/>
      <c r="M170" s="1473" t="s">
        <v>198</v>
      </c>
      <c r="N170" s="1474"/>
    </row>
    <row r="171" spans="2:14" s="430" customFormat="1">
      <c r="B171" s="1454" t="str">
        <f>IF(B42="","",B42)</f>
        <v/>
      </c>
      <c r="C171" s="1455"/>
      <c r="D171" s="1456"/>
      <c r="E171" s="1463"/>
      <c r="F171" s="1464"/>
      <c r="G171" s="1464"/>
      <c r="H171" s="1465"/>
      <c r="I171" s="1466"/>
      <c r="J171" s="1466"/>
      <c r="K171" s="1467"/>
      <c r="L171" s="1467"/>
      <c r="M171" s="1467"/>
      <c r="N171" s="1468"/>
    </row>
    <row r="172" spans="2:14" s="430" customFormat="1">
      <c r="B172" s="1457"/>
      <c r="C172" s="1458"/>
      <c r="D172" s="1459"/>
      <c r="E172" s="1445"/>
      <c r="F172" s="1446"/>
      <c r="G172" s="1446"/>
      <c r="H172" s="1447"/>
      <c r="I172" s="1448"/>
      <c r="J172" s="1448"/>
      <c r="K172" s="1443"/>
      <c r="L172" s="1443"/>
      <c r="M172" s="1443"/>
      <c r="N172" s="1444"/>
    </row>
    <row r="173" spans="2:14" s="430" customFormat="1">
      <c r="B173" s="1457"/>
      <c r="C173" s="1458"/>
      <c r="D173" s="1459"/>
      <c r="E173" s="1445"/>
      <c r="F173" s="1446"/>
      <c r="G173" s="1446"/>
      <c r="H173" s="1447"/>
      <c r="I173" s="1448"/>
      <c r="J173" s="1448"/>
      <c r="K173" s="1443"/>
      <c r="L173" s="1443"/>
      <c r="M173" s="1443"/>
      <c r="N173" s="1444"/>
    </row>
    <row r="174" spans="2:14" s="430" customFormat="1">
      <c r="B174" s="1457"/>
      <c r="C174" s="1458"/>
      <c r="D174" s="1459"/>
      <c r="E174" s="1445"/>
      <c r="F174" s="1446"/>
      <c r="G174" s="1446"/>
      <c r="H174" s="1447"/>
      <c r="I174" s="1448"/>
      <c r="J174" s="1448"/>
      <c r="K174" s="1443"/>
      <c r="L174" s="1443"/>
      <c r="M174" s="1443"/>
      <c r="N174" s="1444"/>
    </row>
    <row r="175" spans="2:14" s="430" customFormat="1">
      <c r="B175" s="1457"/>
      <c r="C175" s="1458"/>
      <c r="D175" s="1459"/>
      <c r="E175" s="1445"/>
      <c r="F175" s="1446"/>
      <c r="G175" s="1446"/>
      <c r="H175" s="1447"/>
      <c r="I175" s="1448"/>
      <c r="J175" s="1448"/>
      <c r="K175" s="1443"/>
      <c r="L175" s="1443"/>
      <c r="M175" s="1443"/>
      <c r="N175" s="1444"/>
    </row>
    <row r="176" spans="2:14" s="430" customFormat="1">
      <c r="B176" s="1457"/>
      <c r="C176" s="1458"/>
      <c r="D176" s="1459"/>
      <c r="E176" s="1445"/>
      <c r="F176" s="1446"/>
      <c r="G176" s="1446"/>
      <c r="H176" s="1447"/>
      <c r="I176" s="1448"/>
      <c r="J176" s="1448"/>
      <c r="K176" s="1443"/>
      <c r="L176" s="1443"/>
      <c r="M176" s="1443"/>
      <c r="N176" s="1444"/>
    </row>
    <row r="177" spans="2:14" s="430" customFormat="1">
      <c r="B177" s="1457"/>
      <c r="C177" s="1458"/>
      <c r="D177" s="1459"/>
      <c r="E177" s="1445"/>
      <c r="F177" s="1446"/>
      <c r="G177" s="1446"/>
      <c r="H177" s="1447"/>
      <c r="I177" s="1448"/>
      <c r="J177" s="1448"/>
      <c r="K177" s="1443"/>
      <c r="L177" s="1443"/>
      <c r="M177" s="1443"/>
      <c r="N177" s="1444"/>
    </row>
    <row r="178" spans="2:14" s="430" customFormat="1">
      <c r="B178" s="1457"/>
      <c r="C178" s="1458"/>
      <c r="D178" s="1459"/>
      <c r="E178" s="1445"/>
      <c r="F178" s="1446"/>
      <c r="G178" s="1446"/>
      <c r="H178" s="1447"/>
      <c r="I178" s="1448"/>
      <c r="J178" s="1448"/>
      <c r="K178" s="1443"/>
      <c r="L178" s="1443"/>
      <c r="M178" s="1443"/>
      <c r="N178" s="1444"/>
    </row>
    <row r="179" spans="2:14" s="430" customFormat="1">
      <c r="B179" s="1457"/>
      <c r="C179" s="1458"/>
      <c r="D179" s="1459"/>
      <c r="E179" s="1445"/>
      <c r="F179" s="1446"/>
      <c r="G179" s="1446"/>
      <c r="H179" s="1448"/>
      <c r="I179" s="1448"/>
      <c r="J179" s="1448"/>
      <c r="K179" s="1443"/>
      <c r="L179" s="1443"/>
      <c r="M179" s="1443"/>
      <c r="N179" s="1444"/>
    </row>
    <row r="180" spans="2:14" s="430" customFormat="1">
      <c r="B180" s="1457"/>
      <c r="C180" s="1458"/>
      <c r="D180" s="1459"/>
      <c r="E180" s="1445"/>
      <c r="F180" s="1446"/>
      <c r="G180" s="1446"/>
      <c r="H180" s="1447"/>
      <c r="I180" s="1448"/>
      <c r="J180" s="1448"/>
      <c r="K180" s="1443"/>
      <c r="L180" s="1443"/>
      <c r="M180" s="1443"/>
      <c r="N180" s="1444"/>
    </row>
    <row r="181" spans="2:14" s="430" customFormat="1">
      <c r="B181" s="1457"/>
      <c r="C181" s="1458"/>
      <c r="D181" s="1459"/>
      <c r="E181" s="1445"/>
      <c r="F181" s="1446"/>
      <c r="G181" s="1446"/>
      <c r="H181" s="1447"/>
      <c r="I181" s="1448"/>
      <c r="J181" s="1448"/>
      <c r="K181" s="1443"/>
      <c r="L181" s="1443"/>
      <c r="M181" s="1443"/>
      <c r="N181" s="1444"/>
    </row>
    <row r="182" spans="2:14" s="430" customFormat="1">
      <c r="B182" s="1457"/>
      <c r="C182" s="1458"/>
      <c r="D182" s="1459"/>
      <c r="E182" s="1445"/>
      <c r="F182" s="1446"/>
      <c r="G182" s="1446"/>
      <c r="H182" s="1448"/>
      <c r="I182" s="1448"/>
      <c r="J182" s="1448"/>
      <c r="K182" s="1443"/>
      <c r="L182" s="1443"/>
      <c r="M182" s="1443"/>
      <c r="N182" s="1444"/>
    </row>
    <row r="183" spans="2:14" s="430" customFormat="1">
      <c r="B183" s="1457"/>
      <c r="C183" s="1458"/>
      <c r="D183" s="1459"/>
      <c r="E183" s="1445"/>
      <c r="F183" s="1446"/>
      <c r="G183" s="1446"/>
      <c r="H183" s="1448"/>
      <c r="I183" s="1448"/>
      <c r="J183" s="1448"/>
      <c r="K183" s="1443"/>
      <c r="L183" s="1443"/>
      <c r="M183" s="1443"/>
      <c r="N183" s="1444"/>
    </row>
    <row r="184" spans="2:14" s="430" customFormat="1">
      <c r="B184" s="1457"/>
      <c r="C184" s="1458"/>
      <c r="D184" s="1459"/>
      <c r="E184" s="1445"/>
      <c r="F184" s="1446"/>
      <c r="G184" s="1446"/>
      <c r="H184" s="1448"/>
      <c r="I184" s="1448"/>
      <c r="J184" s="1448"/>
      <c r="K184" s="1443"/>
      <c r="L184" s="1443"/>
      <c r="M184" s="1443"/>
      <c r="N184" s="1444"/>
    </row>
    <row r="185" spans="2:14" s="430" customFormat="1">
      <c r="B185" s="1457"/>
      <c r="C185" s="1458"/>
      <c r="D185" s="1459"/>
      <c r="E185" s="1445"/>
      <c r="F185" s="1446"/>
      <c r="G185" s="1446"/>
      <c r="H185" s="1448"/>
      <c r="I185" s="1448"/>
      <c r="J185" s="1448"/>
      <c r="K185" s="1443"/>
      <c r="L185" s="1443"/>
      <c r="M185" s="1443"/>
      <c r="N185" s="1444"/>
    </row>
    <row r="186" spans="2:14" s="430" customFormat="1">
      <c r="B186" s="1457"/>
      <c r="C186" s="1458"/>
      <c r="D186" s="1459"/>
      <c r="E186" s="1445"/>
      <c r="F186" s="1446"/>
      <c r="G186" s="1446"/>
      <c r="H186" s="1448"/>
      <c r="I186" s="1448"/>
      <c r="J186" s="1448"/>
      <c r="K186" s="1443"/>
      <c r="L186" s="1443"/>
      <c r="M186" s="1443"/>
      <c r="N186" s="1444"/>
    </row>
    <row r="187" spans="2:14" s="430" customFormat="1">
      <c r="B187" s="1457"/>
      <c r="C187" s="1458"/>
      <c r="D187" s="1459"/>
      <c r="E187" s="1445"/>
      <c r="F187" s="1446"/>
      <c r="G187" s="1446"/>
      <c r="H187" s="1448"/>
      <c r="I187" s="1448"/>
      <c r="J187" s="1448"/>
      <c r="K187" s="1443"/>
      <c r="L187" s="1443"/>
      <c r="M187" s="1443"/>
      <c r="N187" s="1444"/>
    </row>
    <row r="188" spans="2:14" s="430" customFormat="1">
      <c r="B188" s="1457"/>
      <c r="C188" s="1458"/>
      <c r="D188" s="1459"/>
      <c r="E188" s="1445"/>
      <c r="F188" s="1446"/>
      <c r="G188" s="1446"/>
      <c r="H188" s="1448"/>
      <c r="I188" s="1448"/>
      <c r="J188" s="1448"/>
      <c r="K188" s="1443"/>
      <c r="L188" s="1443"/>
      <c r="M188" s="1443"/>
      <c r="N188" s="1444"/>
    </row>
    <row r="189" spans="2:14" s="430" customFormat="1">
      <c r="B189" s="1457"/>
      <c r="C189" s="1458"/>
      <c r="D189" s="1459"/>
      <c r="E189" s="1445"/>
      <c r="F189" s="1446"/>
      <c r="G189" s="1446"/>
      <c r="H189" s="1448"/>
      <c r="I189" s="1448"/>
      <c r="J189" s="1448"/>
      <c r="K189" s="1443"/>
      <c r="L189" s="1443"/>
      <c r="M189" s="1443"/>
      <c r="N189" s="1444"/>
    </row>
    <row r="190" spans="2:14" s="430" customFormat="1">
      <c r="B190" s="1457"/>
      <c r="C190" s="1458"/>
      <c r="D190" s="1459"/>
      <c r="E190" s="1445"/>
      <c r="F190" s="1446"/>
      <c r="G190" s="1446"/>
      <c r="H190" s="1448"/>
      <c r="I190" s="1448"/>
      <c r="J190" s="1448"/>
      <c r="K190" s="1443"/>
      <c r="L190" s="1443"/>
      <c r="M190" s="1443"/>
      <c r="N190" s="1444"/>
    </row>
    <row r="191" spans="2:14" s="430" customFormat="1">
      <c r="B191" s="1457"/>
      <c r="C191" s="1458"/>
      <c r="D191" s="1459"/>
      <c r="E191" s="1445"/>
      <c r="F191" s="1446"/>
      <c r="G191" s="1446"/>
      <c r="H191" s="1448"/>
      <c r="I191" s="1448"/>
      <c r="J191" s="1448"/>
      <c r="K191" s="1443"/>
      <c r="L191" s="1443"/>
      <c r="M191" s="1443"/>
      <c r="N191" s="1444"/>
    </row>
    <row r="192" spans="2:14" s="430" customFormat="1">
      <c r="B192" s="1457"/>
      <c r="C192" s="1458"/>
      <c r="D192" s="1459"/>
      <c r="E192" s="1445"/>
      <c r="F192" s="1446"/>
      <c r="G192" s="1446"/>
      <c r="H192" s="1448"/>
      <c r="I192" s="1448"/>
      <c r="J192" s="1448"/>
      <c r="K192" s="1443"/>
      <c r="L192" s="1443"/>
      <c r="M192" s="1443"/>
      <c r="N192" s="1444"/>
    </row>
    <row r="193" spans="1:14" s="430" customFormat="1">
      <c r="B193" s="1457"/>
      <c r="C193" s="1458"/>
      <c r="D193" s="1459"/>
      <c r="E193" s="1445"/>
      <c r="F193" s="1446"/>
      <c r="G193" s="1446"/>
      <c r="H193" s="1448"/>
      <c r="I193" s="1448"/>
      <c r="J193" s="1448"/>
      <c r="K193" s="1443"/>
      <c r="L193" s="1443"/>
      <c r="M193" s="1443"/>
      <c r="N193" s="1444"/>
    </row>
    <row r="194" spans="1:14" s="430" customFormat="1">
      <c r="B194" s="1457"/>
      <c r="C194" s="1458"/>
      <c r="D194" s="1459"/>
      <c r="E194" s="1445"/>
      <c r="F194" s="1446"/>
      <c r="G194" s="1446"/>
      <c r="H194" s="1447"/>
      <c r="I194" s="1448"/>
      <c r="J194" s="1448"/>
      <c r="K194" s="1443"/>
      <c r="L194" s="1443"/>
      <c r="M194" s="1443"/>
      <c r="N194" s="1444"/>
    </row>
    <row r="195" spans="1:14" s="430" customFormat="1" ht="15.75" thickBot="1">
      <c r="B195" s="1460"/>
      <c r="C195" s="1461"/>
      <c r="D195" s="1462"/>
      <c r="E195" s="1449"/>
      <c r="F195" s="1450"/>
      <c r="G195" s="1450"/>
      <c r="H195" s="1451"/>
      <c r="I195" s="1451"/>
      <c r="J195" s="1451"/>
      <c r="K195" s="1452"/>
      <c r="L195" s="1452"/>
      <c r="M195" s="1452"/>
      <c r="N195" s="1453"/>
    </row>
    <row r="196" spans="1:14" s="430" customFormat="1" ht="15.75" thickBot="1"/>
    <row r="197" spans="1:14" s="430" customFormat="1" ht="15.75" customHeight="1" thickBot="1">
      <c r="B197" s="1469" t="s">
        <v>671</v>
      </c>
      <c r="C197" s="1470"/>
      <c r="D197" s="1471"/>
      <c r="E197" s="1472" t="s">
        <v>114</v>
      </c>
      <c r="F197" s="1473"/>
      <c r="G197" s="1473"/>
      <c r="H197" s="1473" t="s">
        <v>197</v>
      </c>
      <c r="I197" s="1473"/>
      <c r="J197" s="1473"/>
      <c r="K197" s="1473" t="s">
        <v>596</v>
      </c>
      <c r="L197" s="1473"/>
      <c r="M197" s="1473" t="s">
        <v>198</v>
      </c>
      <c r="N197" s="1474"/>
    </row>
    <row r="198" spans="1:14" s="430" customFormat="1">
      <c r="B198" s="1454" t="str">
        <f>IF(B115="","",B115)</f>
        <v/>
      </c>
      <c r="C198" s="1455"/>
      <c r="D198" s="1456"/>
      <c r="E198" s="1463"/>
      <c r="F198" s="1464"/>
      <c r="G198" s="1464"/>
      <c r="H198" s="1465"/>
      <c r="I198" s="1466"/>
      <c r="J198" s="1466"/>
      <c r="K198" s="1467"/>
      <c r="L198" s="1467"/>
      <c r="M198" s="1467"/>
      <c r="N198" s="1468"/>
    </row>
    <row r="199" spans="1:14">
      <c r="A199" s="430"/>
      <c r="B199" s="1457"/>
      <c r="C199" s="1458"/>
      <c r="D199" s="1459"/>
      <c r="E199" s="1445"/>
      <c r="F199" s="1446"/>
      <c r="G199" s="1446"/>
      <c r="H199" s="1447"/>
      <c r="I199" s="1448"/>
      <c r="J199" s="1448"/>
      <c r="K199" s="1443"/>
      <c r="L199" s="1443"/>
      <c r="M199" s="1443"/>
      <c r="N199" s="1444"/>
    </row>
    <row r="200" spans="1:14">
      <c r="A200" s="430"/>
      <c r="B200" s="1457"/>
      <c r="C200" s="1458"/>
      <c r="D200" s="1459"/>
      <c r="E200" s="1445"/>
      <c r="F200" s="1446"/>
      <c r="G200" s="1446"/>
      <c r="H200" s="1447"/>
      <c r="I200" s="1448"/>
      <c r="J200" s="1448"/>
      <c r="K200" s="1443"/>
      <c r="L200" s="1443"/>
      <c r="M200" s="1443"/>
      <c r="N200" s="1444"/>
    </row>
    <row r="201" spans="1:14">
      <c r="B201" s="1457"/>
      <c r="C201" s="1458"/>
      <c r="D201" s="1459"/>
      <c r="E201" s="1445"/>
      <c r="F201" s="1446"/>
      <c r="G201" s="1446"/>
      <c r="H201" s="1447"/>
      <c r="I201" s="1448"/>
      <c r="J201" s="1448"/>
      <c r="K201" s="1443"/>
      <c r="L201" s="1443"/>
      <c r="M201" s="1443"/>
      <c r="N201" s="1444"/>
    </row>
    <row r="202" spans="1:14">
      <c r="B202" s="1457"/>
      <c r="C202" s="1458"/>
      <c r="D202" s="1459"/>
      <c r="E202" s="1445"/>
      <c r="F202" s="1446"/>
      <c r="G202" s="1446"/>
      <c r="H202" s="1447"/>
      <c r="I202" s="1448"/>
      <c r="J202" s="1448"/>
      <c r="K202" s="1443"/>
      <c r="L202" s="1443"/>
      <c r="M202" s="1443"/>
      <c r="N202" s="1444"/>
    </row>
    <row r="203" spans="1:14">
      <c r="B203" s="1457"/>
      <c r="C203" s="1458"/>
      <c r="D203" s="1459"/>
      <c r="E203" s="1445"/>
      <c r="F203" s="1446"/>
      <c r="G203" s="1446"/>
      <c r="H203" s="1447"/>
      <c r="I203" s="1448"/>
      <c r="J203" s="1448"/>
      <c r="K203" s="1443"/>
      <c r="L203" s="1443"/>
      <c r="M203" s="1443"/>
      <c r="N203" s="1444"/>
    </row>
    <row r="204" spans="1:14">
      <c r="B204" s="1457"/>
      <c r="C204" s="1458"/>
      <c r="D204" s="1459"/>
      <c r="E204" s="1445"/>
      <c r="F204" s="1446"/>
      <c r="G204" s="1446"/>
      <c r="H204" s="1447"/>
      <c r="I204" s="1448"/>
      <c r="J204" s="1448"/>
      <c r="K204" s="1443"/>
      <c r="L204" s="1443"/>
      <c r="M204" s="1443"/>
      <c r="N204" s="1444"/>
    </row>
    <row r="205" spans="1:14">
      <c r="B205" s="1457"/>
      <c r="C205" s="1458"/>
      <c r="D205" s="1459"/>
      <c r="E205" s="1445"/>
      <c r="F205" s="1446"/>
      <c r="G205" s="1446"/>
      <c r="H205" s="1447"/>
      <c r="I205" s="1448"/>
      <c r="J205" s="1448"/>
      <c r="K205" s="1443"/>
      <c r="L205" s="1443"/>
      <c r="M205" s="1443"/>
      <c r="N205" s="1444"/>
    </row>
    <row r="206" spans="1:14">
      <c r="B206" s="1457"/>
      <c r="C206" s="1458"/>
      <c r="D206" s="1459"/>
      <c r="E206" s="1445"/>
      <c r="F206" s="1446"/>
      <c r="G206" s="1446"/>
      <c r="H206" s="1448"/>
      <c r="I206" s="1448"/>
      <c r="J206" s="1448"/>
      <c r="K206" s="1443"/>
      <c r="L206" s="1443"/>
      <c r="M206" s="1443"/>
      <c r="N206" s="1444"/>
    </row>
    <row r="207" spans="1:14">
      <c r="B207" s="1457"/>
      <c r="C207" s="1458"/>
      <c r="D207" s="1459"/>
      <c r="E207" s="1445"/>
      <c r="F207" s="1446"/>
      <c r="G207" s="1446"/>
      <c r="H207" s="1447"/>
      <c r="I207" s="1448"/>
      <c r="J207" s="1448"/>
      <c r="K207" s="1443"/>
      <c r="L207" s="1443"/>
      <c r="M207" s="1443"/>
      <c r="N207" s="1444"/>
    </row>
    <row r="208" spans="1:14">
      <c r="B208" s="1457"/>
      <c r="C208" s="1458"/>
      <c r="D208" s="1459"/>
      <c r="E208" s="1445"/>
      <c r="F208" s="1446"/>
      <c r="G208" s="1446"/>
      <c r="H208" s="1447"/>
      <c r="I208" s="1448"/>
      <c r="J208" s="1448"/>
      <c r="K208" s="1443"/>
      <c r="L208" s="1443"/>
      <c r="M208" s="1443"/>
      <c r="N208" s="1444"/>
    </row>
    <row r="209" spans="2:14">
      <c r="B209" s="1457"/>
      <c r="C209" s="1458"/>
      <c r="D209" s="1459"/>
      <c r="E209" s="1445"/>
      <c r="F209" s="1446"/>
      <c r="G209" s="1446"/>
      <c r="H209" s="1448"/>
      <c r="I209" s="1448"/>
      <c r="J209" s="1448"/>
      <c r="K209" s="1443"/>
      <c r="L209" s="1443"/>
      <c r="M209" s="1443"/>
      <c r="N209" s="1444"/>
    </row>
    <row r="210" spans="2:14">
      <c r="B210" s="1457"/>
      <c r="C210" s="1458"/>
      <c r="D210" s="1459"/>
      <c r="E210" s="1445"/>
      <c r="F210" s="1446"/>
      <c r="G210" s="1446"/>
      <c r="H210" s="1448"/>
      <c r="I210" s="1448"/>
      <c r="J210" s="1448"/>
      <c r="K210" s="1443"/>
      <c r="L210" s="1443"/>
      <c r="M210" s="1443"/>
      <c r="N210" s="1444"/>
    </row>
    <row r="211" spans="2:14">
      <c r="B211" s="1457"/>
      <c r="C211" s="1458"/>
      <c r="D211" s="1459"/>
      <c r="E211" s="1445"/>
      <c r="F211" s="1446"/>
      <c r="G211" s="1446"/>
      <c r="H211" s="1448"/>
      <c r="I211" s="1448"/>
      <c r="J211" s="1448"/>
      <c r="K211" s="1443"/>
      <c r="L211" s="1443"/>
      <c r="M211" s="1443"/>
      <c r="N211" s="1444"/>
    </row>
    <row r="212" spans="2:14">
      <c r="B212" s="1457"/>
      <c r="C212" s="1458"/>
      <c r="D212" s="1459"/>
      <c r="E212" s="1445"/>
      <c r="F212" s="1446"/>
      <c r="G212" s="1446"/>
      <c r="H212" s="1448"/>
      <c r="I212" s="1448"/>
      <c r="J212" s="1448"/>
      <c r="K212" s="1443"/>
      <c r="L212" s="1443"/>
      <c r="M212" s="1443"/>
      <c r="N212" s="1444"/>
    </row>
    <row r="213" spans="2:14">
      <c r="B213" s="1457"/>
      <c r="C213" s="1458"/>
      <c r="D213" s="1459"/>
      <c r="E213" s="1445"/>
      <c r="F213" s="1446"/>
      <c r="G213" s="1446"/>
      <c r="H213" s="1448"/>
      <c r="I213" s="1448"/>
      <c r="J213" s="1448"/>
      <c r="K213" s="1443"/>
      <c r="L213" s="1443"/>
      <c r="M213" s="1443"/>
      <c r="N213" s="1444"/>
    </row>
    <row r="214" spans="2:14">
      <c r="B214" s="1457"/>
      <c r="C214" s="1458"/>
      <c r="D214" s="1459"/>
      <c r="E214" s="1445"/>
      <c r="F214" s="1446"/>
      <c r="G214" s="1446"/>
      <c r="H214" s="1448"/>
      <c r="I214" s="1448"/>
      <c r="J214" s="1448"/>
      <c r="K214" s="1443"/>
      <c r="L214" s="1443"/>
      <c r="M214" s="1443"/>
      <c r="N214" s="1444"/>
    </row>
    <row r="215" spans="2:14">
      <c r="B215" s="1457"/>
      <c r="C215" s="1458"/>
      <c r="D215" s="1459"/>
      <c r="E215" s="1445"/>
      <c r="F215" s="1446"/>
      <c r="G215" s="1446"/>
      <c r="H215" s="1448"/>
      <c r="I215" s="1448"/>
      <c r="J215" s="1448"/>
      <c r="K215" s="1443"/>
      <c r="L215" s="1443"/>
      <c r="M215" s="1443"/>
      <c r="N215" s="1444"/>
    </row>
    <row r="216" spans="2:14">
      <c r="B216" s="1457"/>
      <c r="C216" s="1458"/>
      <c r="D216" s="1459"/>
      <c r="E216" s="1445"/>
      <c r="F216" s="1446"/>
      <c r="G216" s="1446"/>
      <c r="H216" s="1448"/>
      <c r="I216" s="1448"/>
      <c r="J216" s="1448"/>
      <c r="K216" s="1443"/>
      <c r="L216" s="1443"/>
      <c r="M216" s="1443"/>
      <c r="N216" s="1444"/>
    </row>
    <row r="217" spans="2:14">
      <c r="B217" s="1457"/>
      <c r="C217" s="1458"/>
      <c r="D217" s="1459"/>
      <c r="E217" s="1445"/>
      <c r="F217" s="1446"/>
      <c r="G217" s="1446"/>
      <c r="H217" s="1448"/>
      <c r="I217" s="1448"/>
      <c r="J217" s="1448"/>
      <c r="K217" s="1443"/>
      <c r="L217" s="1443"/>
      <c r="M217" s="1443"/>
      <c r="N217" s="1444"/>
    </row>
    <row r="218" spans="2:14">
      <c r="B218" s="1457"/>
      <c r="C218" s="1458"/>
      <c r="D218" s="1459"/>
      <c r="E218" s="1445"/>
      <c r="F218" s="1446"/>
      <c r="G218" s="1446"/>
      <c r="H218" s="1448"/>
      <c r="I218" s="1448"/>
      <c r="J218" s="1448"/>
      <c r="K218" s="1443"/>
      <c r="L218" s="1443"/>
      <c r="M218" s="1443"/>
      <c r="N218" s="1444"/>
    </row>
    <row r="219" spans="2:14">
      <c r="B219" s="1457"/>
      <c r="C219" s="1458"/>
      <c r="D219" s="1459"/>
      <c r="E219" s="1445"/>
      <c r="F219" s="1446"/>
      <c r="G219" s="1446"/>
      <c r="H219" s="1448"/>
      <c r="I219" s="1448"/>
      <c r="J219" s="1448"/>
      <c r="K219" s="1443"/>
      <c r="L219" s="1443"/>
      <c r="M219" s="1443"/>
      <c r="N219" s="1444"/>
    </row>
    <row r="220" spans="2:14">
      <c r="B220" s="1457"/>
      <c r="C220" s="1458"/>
      <c r="D220" s="1459"/>
      <c r="E220" s="1445"/>
      <c r="F220" s="1446"/>
      <c r="G220" s="1446"/>
      <c r="H220" s="1448"/>
      <c r="I220" s="1448"/>
      <c r="J220" s="1448"/>
      <c r="K220" s="1443"/>
      <c r="L220" s="1443"/>
      <c r="M220" s="1443"/>
      <c r="N220" s="1444"/>
    </row>
    <row r="221" spans="2:14">
      <c r="B221" s="1457"/>
      <c r="C221" s="1458"/>
      <c r="D221" s="1459"/>
      <c r="E221" s="1445"/>
      <c r="F221" s="1446"/>
      <c r="G221" s="1446"/>
      <c r="H221" s="1447"/>
      <c r="I221" s="1448"/>
      <c r="J221" s="1448"/>
      <c r="K221" s="1443"/>
      <c r="L221" s="1443"/>
      <c r="M221" s="1443"/>
      <c r="N221" s="1444"/>
    </row>
    <row r="222" spans="2:14" ht="15.75" thickBot="1">
      <c r="B222" s="1460"/>
      <c r="C222" s="1461"/>
      <c r="D222" s="1462"/>
      <c r="E222" s="1449"/>
      <c r="F222" s="1450"/>
      <c r="G222" s="1450"/>
      <c r="H222" s="1451"/>
      <c r="I222" s="1451"/>
      <c r="J222" s="1451"/>
      <c r="K222" s="1452"/>
      <c r="L222" s="1452"/>
      <c r="M222" s="1452"/>
      <c r="N222" s="1453"/>
    </row>
    <row r="224" spans="2:14">
      <c r="B224" s="449" t="s">
        <v>130</v>
      </c>
      <c r="C224" s="449"/>
      <c r="D224" s="447"/>
      <c r="E224" s="447"/>
      <c r="F224" s="447"/>
      <c r="G224" s="447"/>
      <c r="H224" s="447"/>
      <c r="I224" s="447"/>
      <c r="J224" s="447"/>
      <c r="K224" s="447"/>
      <c r="L224" s="447"/>
    </row>
    <row r="225" spans="2:12" ht="15.75" thickBot="1">
      <c r="B225" s="449"/>
      <c r="C225" s="449"/>
      <c r="D225" s="447"/>
      <c r="E225" s="447"/>
      <c r="F225" s="447"/>
      <c r="G225" s="447"/>
      <c r="H225" s="447"/>
      <c r="I225" s="447"/>
      <c r="J225" s="447"/>
      <c r="K225" s="447"/>
      <c r="L225" s="447"/>
    </row>
    <row r="226" spans="2:12" ht="200.1" customHeight="1" thickBot="1">
      <c r="B226" s="988"/>
      <c r="C226" s="995"/>
      <c r="D226" s="995"/>
      <c r="E226" s="995"/>
      <c r="F226" s="995"/>
      <c r="G226" s="995"/>
      <c r="H226" s="995"/>
      <c r="I226" s="995"/>
      <c r="J226" s="995"/>
      <c r="K226" s="995"/>
      <c r="L226" s="996"/>
    </row>
  </sheetData>
  <sheetProtection formatCells="0" formatColumns="0" formatRows="0"/>
  <customSheetViews>
    <customSheetView guid="{B6007CFB-3D06-43CC-8EB0-042D40129E35}" scale="80" showPageBreaks="1" showGridLines="0" printArea="1" topLeftCell="A79">
      <selection activeCell="H203" sqref="H203:J203"/>
      <rowBreaks count="1" manualBreakCount="1">
        <brk id="45" max="11" man="1"/>
      </rowBreaks>
      <pageMargins left="0.70866141732283472" right="0.70866141732283472" top="0.74803149606299213" bottom="0.74803149606299213" header="0.31496062992125984" footer="0.31496062992125984"/>
      <pageSetup paperSize="9" scale="60" orientation="portrait" r:id="rId1"/>
    </customSheetView>
  </customSheetViews>
  <mergeCells count="625">
    <mergeCell ref="E43:F43"/>
    <mergeCell ref="B36:F36"/>
    <mergeCell ref="G38:L38"/>
    <mergeCell ref="G39:L39"/>
    <mergeCell ref="B38:D38"/>
    <mergeCell ref="E38:F38"/>
    <mergeCell ref="B39:D39"/>
    <mergeCell ref="E39:F39"/>
    <mergeCell ref="G36:L36"/>
    <mergeCell ref="B41:D41"/>
    <mergeCell ref="E41:F41"/>
    <mergeCell ref="B42:D42"/>
    <mergeCell ref="E42:F42"/>
    <mergeCell ref="G43:L43"/>
    <mergeCell ref="G40:L40"/>
    <mergeCell ref="G41:L41"/>
    <mergeCell ref="G42:L42"/>
    <mergeCell ref="B40:D40"/>
    <mergeCell ref="E40:F40"/>
    <mergeCell ref="B43:D43"/>
    <mergeCell ref="C78:E78"/>
    <mergeCell ref="B65:L65"/>
    <mergeCell ref="C67:E67"/>
    <mergeCell ref="C68:E68"/>
    <mergeCell ref="C69:E69"/>
    <mergeCell ref="C70:E70"/>
    <mergeCell ref="C71:E71"/>
    <mergeCell ref="C72:E72"/>
    <mergeCell ref="C77:E77"/>
    <mergeCell ref="C74:E74"/>
    <mergeCell ref="C75:E75"/>
    <mergeCell ref="C76:E76"/>
    <mergeCell ref="G67:I67"/>
    <mergeCell ref="G68:I70"/>
    <mergeCell ref="C73:E73"/>
    <mergeCell ref="C79:E79"/>
    <mergeCell ref="B83:L83"/>
    <mergeCell ref="E89:G89"/>
    <mergeCell ref="H89:J89"/>
    <mergeCell ref="K89:L89"/>
    <mergeCell ref="M89:N89"/>
    <mergeCell ref="E90:G90"/>
    <mergeCell ref="H90:J90"/>
    <mergeCell ref="K90:L90"/>
    <mergeCell ref="M90:N90"/>
    <mergeCell ref="B87:P87"/>
    <mergeCell ref="B89:D89"/>
    <mergeCell ref="B90:D114"/>
    <mergeCell ref="H102:J102"/>
    <mergeCell ref="E91:G91"/>
    <mergeCell ref="H91:J91"/>
    <mergeCell ref="K91:L91"/>
    <mergeCell ref="M91:N91"/>
    <mergeCell ref="E92:G92"/>
    <mergeCell ref="H92:J92"/>
    <mergeCell ref="K92:L92"/>
    <mergeCell ref="M92:N92"/>
    <mergeCell ref="E93:G93"/>
    <mergeCell ref="H93:J93"/>
    <mergeCell ref="K93:L93"/>
    <mergeCell ref="M93:N93"/>
    <mergeCell ref="E94:G94"/>
    <mergeCell ref="H94:J94"/>
    <mergeCell ref="K94:L94"/>
    <mergeCell ref="M94:N94"/>
    <mergeCell ref="E95:G95"/>
    <mergeCell ref="H95:J95"/>
    <mergeCell ref="K95:L95"/>
    <mergeCell ref="M95:N95"/>
    <mergeCell ref="E96:G96"/>
    <mergeCell ref="H96:J96"/>
    <mergeCell ref="K96:L96"/>
    <mergeCell ref="M96:N96"/>
    <mergeCell ref="E97:G97"/>
    <mergeCell ref="H97:J97"/>
    <mergeCell ref="K97:L97"/>
    <mergeCell ref="M97:N97"/>
    <mergeCell ref="E98:G98"/>
    <mergeCell ref="H98:J98"/>
    <mergeCell ref="K98:L98"/>
    <mergeCell ref="M98:N98"/>
    <mergeCell ref="E99:G99"/>
    <mergeCell ref="H99:J99"/>
    <mergeCell ref="K99:L99"/>
    <mergeCell ref="M99:N99"/>
    <mergeCell ref="K114:L114"/>
    <mergeCell ref="M114:N114"/>
    <mergeCell ref="E100:G100"/>
    <mergeCell ref="H100:J100"/>
    <mergeCell ref="K100:L100"/>
    <mergeCell ref="M100:N100"/>
    <mergeCell ref="E101:G101"/>
    <mergeCell ref="H101:J101"/>
    <mergeCell ref="K101:L101"/>
    <mergeCell ref="M101:N101"/>
    <mergeCell ref="K113:L113"/>
    <mergeCell ref="M113:N113"/>
    <mergeCell ref="E102:G102"/>
    <mergeCell ref="E103:G103"/>
    <mergeCell ref="E104:G104"/>
    <mergeCell ref="E105:G105"/>
    <mergeCell ref="E106:G106"/>
    <mergeCell ref="E107:G107"/>
    <mergeCell ref="H112:J112"/>
    <mergeCell ref="E108:G108"/>
    <mergeCell ref="E114:G114"/>
    <mergeCell ref="H114:J114"/>
    <mergeCell ref="E113:G113"/>
    <mergeCell ref="H113:J113"/>
    <mergeCell ref="E110:G110"/>
    <mergeCell ref="E111:G111"/>
    <mergeCell ref="H103:J103"/>
    <mergeCell ref="H104:J104"/>
    <mergeCell ref="H105:J105"/>
    <mergeCell ref="H106:J106"/>
    <mergeCell ref="H107:J107"/>
    <mergeCell ref="H108:J108"/>
    <mergeCell ref="H109:J109"/>
    <mergeCell ref="H110:J110"/>
    <mergeCell ref="H111:J111"/>
    <mergeCell ref="E112:G112"/>
    <mergeCell ref="E109:G109"/>
    <mergeCell ref="M112:N112"/>
    <mergeCell ref="M106:N106"/>
    <mergeCell ref="M107:N107"/>
    <mergeCell ref="M108:N108"/>
    <mergeCell ref="M109:N109"/>
    <mergeCell ref="M110:N110"/>
    <mergeCell ref="M111:N111"/>
    <mergeCell ref="K107:L107"/>
    <mergeCell ref="K108:L108"/>
    <mergeCell ref="K109:L109"/>
    <mergeCell ref="K110:L110"/>
    <mergeCell ref="K111:L111"/>
    <mergeCell ref="K112:L112"/>
    <mergeCell ref="K102:L102"/>
    <mergeCell ref="K103:L103"/>
    <mergeCell ref="K104:L104"/>
    <mergeCell ref="K105:L105"/>
    <mergeCell ref="K106:L106"/>
    <mergeCell ref="M102:N102"/>
    <mergeCell ref="M103:N103"/>
    <mergeCell ref="M104:N104"/>
    <mergeCell ref="M105:N105"/>
    <mergeCell ref="B116:D116"/>
    <mergeCell ref="E116:G116"/>
    <mergeCell ref="H116:J116"/>
    <mergeCell ref="K116:L116"/>
    <mergeCell ref="M116:N116"/>
    <mergeCell ref="B117:D141"/>
    <mergeCell ref="E117:G117"/>
    <mergeCell ref="H117:J117"/>
    <mergeCell ref="K117:L117"/>
    <mergeCell ref="M117:N117"/>
    <mergeCell ref="E118:G118"/>
    <mergeCell ref="H118:J118"/>
    <mergeCell ref="K118:L118"/>
    <mergeCell ref="M118:N118"/>
    <mergeCell ref="E119:G119"/>
    <mergeCell ref="H119:J119"/>
    <mergeCell ref="K119:L119"/>
    <mergeCell ref="M119:N119"/>
    <mergeCell ref="E120:G120"/>
    <mergeCell ref="H120:J120"/>
    <mergeCell ref="K120:L120"/>
    <mergeCell ref="M120:N120"/>
    <mergeCell ref="E121:G121"/>
    <mergeCell ref="H121:J121"/>
    <mergeCell ref="K121:L121"/>
    <mergeCell ref="M121:N121"/>
    <mergeCell ref="E122:G122"/>
    <mergeCell ref="H122:J122"/>
    <mergeCell ref="K122:L122"/>
    <mergeCell ref="M122:N122"/>
    <mergeCell ref="E123:G123"/>
    <mergeCell ref="H123:J123"/>
    <mergeCell ref="K123:L123"/>
    <mergeCell ref="M123:N123"/>
    <mergeCell ref="E124:G124"/>
    <mergeCell ref="H124:J124"/>
    <mergeCell ref="K124:L124"/>
    <mergeCell ref="M124:N124"/>
    <mergeCell ref="E125:G125"/>
    <mergeCell ref="H125:J125"/>
    <mergeCell ref="K125:L125"/>
    <mergeCell ref="M125:N125"/>
    <mergeCell ref="E126:G126"/>
    <mergeCell ref="H126:J126"/>
    <mergeCell ref="K126:L126"/>
    <mergeCell ref="M126:N126"/>
    <mergeCell ref="E127:G127"/>
    <mergeCell ref="H127:J127"/>
    <mergeCell ref="K127:L127"/>
    <mergeCell ref="M127:N127"/>
    <mergeCell ref="E128:G128"/>
    <mergeCell ref="H128:J128"/>
    <mergeCell ref="K128:L128"/>
    <mergeCell ref="M128:N128"/>
    <mergeCell ref="E129:G129"/>
    <mergeCell ref="H129:J129"/>
    <mergeCell ref="K129:L129"/>
    <mergeCell ref="M129:N129"/>
    <mergeCell ref="E130:G130"/>
    <mergeCell ref="H130:J130"/>
    <mergeCell ref="K130:L130"/>
    <mergeCell ref="M130:N130"/>
    <mergeCell ref="E131:G131"/>
    <mergeCell ref="H131:J131"/>
    <mergeCell ref="K131:L131"/>
    <mergeCell ref="M131:N131"/>
    <mergeCell ref="E132:G132"/>
    <mergeCell ref="H132:J132"/>
    <mergeCell ref="K132:L132"/>
    <mergeCell ref="M132:N132"/>
    <mergeCell ref="E133:G133"/>
    <mergeCell ref="H133:J133"/>
    <mergeCell ref="K133:L133"/>
    <mergeCell ref="M133:N133"/>
    <mergeCell ref="E134:G134"/>
    <mergeCell ref="H134:J134"/>
    <mergeCell ref="K134:L134"/>
    <mergeCell ref="M134:N134"/>
    <mergeCell ref="E135:G135"/>
    <mergeCell ref="H135:J135"/>
    <mergeCell ref="K135:L135"/>
    <mergeCell ref="M135:N135"/>
    <mergeCell ref="E136:G136"/>
    <mergeCell ref="H136:J136"/>
    <mergeCell ref="K136:L136"/>
    <mergeCell ref="M136:N136"/>
    <mergeCell ref="E137:G137"/>
    <mergeCell ref="H137:J137"/>
    <mergeCell ref="K137:L137"/>
    <mergeCell ref="M137:N137"/>
    <mergeCell ref="E138:G138"/>
    <mergeCell ref="H138:J138"/>
    <mergeCell ref="K138:L138"/>
    <mergeCell ref="M138:N138"/>
    <mergeCell ref="E139:G139"/>
    <mergeCell ref="H139:J139"/>
    <mergeCell ref="K139:L139"/>
    <mergeCell ref="M139:N139"/>
    <mergeCell ref="E140:G140"/>
    <mergeCell ref="H140:J140"/>
    <mergeCell ref="K140:L140"/>
    <mergeCell ref="M140:N140"/>
    <mergeCell ref="E141:G141"/>
    <mergeCell ref="H141:J141"/>
    <mergeCell ref="K141:L141"/>
    <mergeCell ref="M141:N141"/>
    <mergeCell ref="B143:D143"/>
    <mergeCell ref="E143:G143"/>
    <mergeCell ref="H143:J143"/>
    <mergeCell ref="K143:L143"/>
    <mergeCell ref="M143:N143"/>
    <mergeCell ref="K146:L146"/>
    <mergeCell ref="M146:N146"/>
    <mergeCell ref="E147:G147"/>
    <mergeCell ref="H147:J147"/>
    <mergeCell ref="K147:L147"/>
    <mergeCell ref="M147:N147"/>
    <mergeCell ref="E148:G148"/>
    <mergeCell ref="H148:J148"/>
    <mergeCell ref="K148:L148"/>
    <mergeCell ref="M148:N148"/>
    <mergeCell ref="M149:N149"/>
    <mergeCell ref="E150:G150"/>
    <mergeCell ref="H150:J150"/>
    <mergeCell ref="K150:L150"/>
    <mergeCell ref="M150:N150"/>
    <mergeCell ref="E151:G151"/>
    <mergeCell ref="H151:J151"/>
    <mergeCell ref="K151:L151"/>
    <mergeCell ref="M151:N151"/>
    <mergeCell ref="E149:G149"/>
    <mergeCell ref="H149:J149"/>
    <mergeCell ref="K149:L149"/>
    <mergeCell ref="E152:G152"/>
    <mergeCell ref="H152:J152"/>
    <mergeCell ref="K152:L152"/>
    <mergeCell ref="M152:N152"/>
    <mergeCell ref="E153:G153"/>
    <mergeCell ref="H153:J153"/>
    <mergeCell ref="K153:L153"/>
    <mergeCell ref="M153:N153"/>
    <mergeCell ref="E154:G154"/>
    <mergeCell ref="H154:J154"/>
    <mergeCell ref="K154:L154"/>
    <mergeCell ref="M154:N154"/>
    <mergeCell ref="E155:G155"/>
    <mergeCell ref="H155:J155"/>
    <mergeCell ref="K155:L155"/>
    <mergeCell ref="M155:N155"/>
    <mergeCell ref="E156:G156"/>
    <mergeCell ref="H156:J156"/>
    <mergeCell ref="K156:L156"/>
    <mergeCell ref="M156:N156"/>
    <mergeCell ref="E157:G157"/>
    <mergeCell ref="H157:J157"/>
    <mergeCell ref="K157:L157"/>
    <mergeCell ref="M157:N157"/>
    <mergeCell ref="E158:G158"/>
    <mergeCell ref="H158:J158"/>
    <mergeCell ref="K158:L158"/>
    <mergeCell ref="M158:N158"/>
    <mergeCell ref="E159:G159"/>
    <mergeCell ref="H159:J159"/>
    <mergeCell ref="K159:L159"/>
    <mergeCell ref="M159:N159"/>
    <mergeCell ref="E160:G160"/>
    <mergeCell ref="H160:J160"/>
    <mergeCell ref="K160:L160"/>
    <mergeCell ref="M160:N160"/>
    <mergeCell ref="E161:G161"/>
    <mergeCell ref="H161:J161"/>
    <mergeCell ref="K161:L161"/>
    <mergeCell ref="M161:N161"/>
    <mergeCell ref="E166:G166"/>
    <mergeCell ref="H166:J166"/>
    <mergeCell ref="K166:L166"/>
    <mergeCell ref="M166:N166"/>
    <mergeCell ref="E167:G167"/>
    <mergeCell ref="H167:J167"/>
    <mergeCell ref="K167:L167"/>
    <mergeCell ref="M167:N167"/>
    <mergeCell ref="E162:G162"/>
    <mergeCell ref="H162:J162"/>
    <mergeCell ref="K162:L162"/>
    <mergeCell ref="M162:N162"/>
    <mergeCell ref="E163:G163"/>
    <mergeCell ref="H163:J163"/>
    <mergeCell ref="K163:L163"/>
    <mergeCell ref="M163:N163"/>
    <mergeCell ref="E164:G164"/>
    <mergeCell ref="H164:J164"/>
    <mergeCell ref="K164:L164"/>
    <mergeCell ref="M164:N164"/>
    <mergeCell ref="E168:G168"/>
    <mergeCell ref="H168:J168"/>
    <mergeCell ref="K168:L168"/>
    <mergeCell ref="M168:N168"/>
    <mergeCell ref="B170:D170"/>
    <mergeCell ref="E170:G170"/>
    <mergeCell ref="H170:J170"/>
    <mergeCell ref="K170:L170"/>
    <mergeCell ref="M170:N170"/>
    <mergeCell ref="B144:D168"/>
    <mergeCell ref="E144:G144"/>
    <mergeCell ref="H144:J144"/>
    <mergeCell ref="K144:L144"/>
    <mergeCell ref="M144:N144"/>
    <mergeCell ref="E145:G145"/>
    <mergeCell ref="H145:J145"/>
    <mergeCell ref="K145:L145"/>
    <mergeCell ref="M145:N145"/>
    <mergeCell ref="E146:G146"/>
    <mergeCell ref="H146:J146"/>
    <mergeCell ref="E165:G165"/>
    <mergeCell ref="H165:J165"/>
    <mergeCell ref="K165:L165"/>
    <mergeCell ref="M165:N165"/>
    <mergeCell ref="K173:L173"/>
    <mergeCell ref="M173:N173"/>
    <mergeCell ref="E174:G174"/>
    <mergeCell ref="H174:J174"/>
    <mergeCell ref="K174:L174"/>
    <mergeCell ref="M174:N174"/>
    <mergeCell ref="E175:G175"/>
    <mergeCell ref="H175:J175"/>
    <mergeCell ref="K175:L175"/>
    <mergeCell ref="M175:N175"/>
    <mergeCell ref="M176:N176"/>
    <mergeCell ref="E177:G177"/>
    <mergeCell ref="H177:J177"/>
    <mergeCell ref="K177:L177"/>
    <mergeCell ref="M177:N177"/>
    <mergeCell ref="E178:G178"/>
    <mergeCell ref="H178:J178"/>
    <mergeCell ref="K178:L178"/>
    <mergeCell ref="M178:N178"/>
    <mergeCell ref="E176:G176"/>
    <mergeCell ref="H176:J176"/>
    <mergeCell ref="K176:L176"/>
    <mergeCell ref="E179:G179"/>
    <mergeCell ref="H179:J179"/>
    <mergeCell ref="K179:L179"/>
    <mergeCell ref="M179:N179"/>
    <mergeCell ref="E180:G180"/>
    <mergeCell ref="H180:J180"/>
    <mergeCell ref="K180:L180"/>
    <mergeCell ref="M180:N180"/>
    <mergeCell ref="E181:G181"/>
    <mergeCell ref="H181:J181"/>
    <mergeCell ref="K181:L181"/>
    <mergeCell ref="M181:N181"/>
    <mergeCell ref="E182:G182"/>
    <mergeCell ref="H182:J182"/>
    <mergeCell ref="K182:L182"/>
    <mergeCell ref="M182:N182"/>
    <mergeCell ref="E183:G183"/>
    <mergeCell ref="H183:J183"/>
    <mergeCell ref="K183:L183"/>
    <mergeCell ref="M183:N183"/>
    <mergeCell ref="E184:G184"/>
    <mergeCell ref="H184:J184"/>
    <mergeCell ref="K184:L184"/>
    <mergeCell ref="M184:N184"/>
    <mergeCell ref="E185:G185"/>
    <mergeCell ref="H185:J185"/>
    <mergeCell ref="K185:L185"/>
    <mergeCell ref="M185:N185"/>
    <mergeCell ref="E186:G186"/>
    <mergeCell ref="H186:J186"/>
    <mergeCell ref="K186:L186"/>
    <mergeCell ref="M186:N186"/>
    <mergeCell ref="E187:G187"/>
    <mergeCell ref="H187:J187"/>
    <mergeCell ref="K187:L187"/>
    <mergeCell ref="M187:N187"/>
    <mergeCell ref="E188:G188"/>
    <mergeCell ref="H188:J188"/>
    <mergeCell ref="K188:L188"/>
    <mergeCell ref="M188:N188"/>
    <mergeCell ref="E189:G189"/>
    <mergeCell ref="H189:J189"/>
    <mergeCell ref="K189:L189"/>
    <mergeCell ref="M189:N189"/>
    <mergeCell ref="E190:G190"/>
    <mergeCell ref="H190:J190"/>
    <mergeCell ref="K190:L190"/>
    <mergeCell ref="M190:N190"/>
    <mergeCell ref="E191:G191"/>
    <mergeCell ref="H191:J191"/>
    <mergeCell ref="K191:L191"/>
    <mergeCell ref="M191:N191"/>
    <mergeCell ref="E192:G192"/>
    <mergeCell ref="H192:J192"/>
    <mergeCell ref="K192:L192"/>
    <mergeCell ref="M192:N192"/>
    <mergeCell ref="E193:G193"/>
    <mergeCell ref="H193:J193"/>
    <mergeCell ref="K193:L193"/>
    <mergeCell ref="M193:N193"/>
    <mergeCell ref="E194:G194"/>
    <mergeCell ref="H194:J194"/>
    <mergeCell ref="K194:L194"/>
    <mergeCell ref="M194:N194"/>
    <mergeCell ref="E195:G195"/>
    <mergeCell ref="H195:J195"/>
    <mergeCell ref="K195:L195"/>
    <mergeCell ref="M195:N195"/>
    <mergeCell ref="B197:D197"/>
    <mergeCell ref="E197:G197"/>
    <mergeCell ref="H197:J197"/>
    <mergeCell ref="K197:L197"/>
    <mergeCell ref="M197:N197"/>
    <mergeCell ref="B171:D195"/>
    <mergeCell ref="E171:G171"/>
    <mergeCell ref="H171:J171"/>
    <mergeCell ref="K171:L171"/>
    <mergeCell ref="M171:N171"/>
    <mergeCell ref="E172:G172"/>
    <mergeCell ref="H172:J172"/>
    <mergeCell ref="K172:L172"/>
    <mergeCell ref="M172:N172"/>
    <mergeCell ref="E173:G173"/>
    <mergeCell ref="H173:J173"/>
    <mergeCell ref="K201:L201"/>
    <mergeCell ref="M201:N201"/>
    <mergeCell ref="E202:G202"/>
    <mergeCell ref="H202:J202"/>
    <mergeCell ref="K202:L202"/>
    <mergeCell ref="M202:N202"/>
    <mergeCell ref="E203:G203"/>
    <mergeCell ref="H203:J203"/>
    <mergeCell ref="K203:L203"/>
    <mergeCell ref="M203:N203"/>
    <mergeCell ref="E204:G204"/>
    <mergeCell ref="H204:J204"/>
    <mergeCell ref="K204:L204"/>
    <mergeCell ref="M204:N204"/>
    <mergeCell ref="E205:G205"/>
    <mergeCell ref="H205:J205"/>
    <mergeCell ref="K205:L205"/>
    <mergeCell ref="M205:N205"/>
    <mergeCell ref="E206:G206"/>
    <mergeCell ref="H206:J206"/>
    <mergeCell ref="K206:L206"/>
    <mergeCell ref="M206:N206"/>
    <mergeCell ref="E207:G207"/>
    <mergeCell ref="H207:J207"/>
    <mergeCell ref="K207:L207"/>
    <mergeCell ref="M207:N207"/>
    <mergeCell ref="E208:G208"/>
    <mergeCell ref="H208:J208"/>
    <mergeCell ref="K208:L208"/>
    <mergeCell ref="M208:N208"/>
    <mergeCell ref="E209:G209"/>
    <mergeCell ref="H209:J209"/>
    <mergeCell ref="K209:L209"/>
    <mergeCell ref="M209:N209"/>
    <mergeCell ref="E214:G214"/>
    <mergeCell ref="H214:J214"/>
    <mergeCell ref="K214:L214"/>
    <mergeCell ref="M214:N214"/>
    <mergeCell ref="E215:G215"/>
    <mergeCell ref="H215:J215"/>
    <mergeCell ref="K215:L215"/>
    <mergeCell ref="M215:N215"/>
    <mergeCell ref="E210:G210"/>
    <mergeCell ref="H210:J210"/>
    <mergeCell ref="K210:L210"/>
    <mergeCell ref="M210:N210"/>
    <mergeCell ref="E211:G211"/>
    <mergeCell ref="H211:J211"/>
    <mergeCell ref="K211:L211"/>
    <mergeCell ref="M211:N211"/>
    <mergeCell ref="E212:G212"/>
    <mergeCell ref="H212:J212"/>
    <mergeCell ref="K212:L212"/>
    <mergeCell ref="M212:N212"/>
    <mergeCell ref="E220:G220"/>
    <mergeCell ref="H220:J220"/>
    <mergeCell ref="K220:L220"/>
    <mergeCell ref="M220:N220"/>
    <mergeCell ref="B226:L226"/>
    <mergeCell ref="E221:G221"/>
    <mergeCell ref="H221:J221"/>
    <mergeCell ref="K221:L221"/>
    <mergeCell ref="M221:N221"/>
    <mergeCell ref="E222:G222"/>
    <mergeCell ref="H222:J222"/>
    <mergeCell ref="K222:L222"/>
    <mergeCell ref="M222:N222"/>
    <mergeCell ref="B198:D222"/>
    <mergeCell ref="E198:G198"/>
    <mergeCell ref="H198:J198"/>
    <mergeCell ref="K198:L198"/>
    <mergeCell ref="M198:N198"/>
    <mergeCell ref="E199:G199"/>
    <mergeCell ref="H199:J199"/>
    <mergeCell ref="E216:G216"/>
    <mergeCell ref="H216:J216"/>
    <mergeCell ref="K216:L216"/>
    <mergeCell ref="M216:N216"/>
    <mergeCell ref="K199:L199"/>
    <mergeCell ref="M199:N199"/>
    <mergeCell ref="E200:G200"/>
    <mergeCell ref="H200:J200"/>
    <mergeCell ref="K200:L200"/>
    <mergeCell ref="M200:N200"/>
    <mergeCell ref="E201:G201"/>
    <mergeCell ref="H201:J201"/>
    <mergeCell ref="E219:G219"/>
    <mergeCell ref="H219:J219"/>
    <mergeCell ref="K219:L219"/>
    <mergeCell ref="M219:N219"/>
    <mergeCell ref="E217:G217"/>
    <mergeCell ref="H217:J217"/>
    <mergeCell ref="K217:L217"/>
    <mergeCell ref="M217:N217"/>
    <mergeCell ref="E218:G218"/>
    <mergeCell ref="H218:J218"/>
    <mergeCell ref="K218:L218"/>
    <mergeCell ref="M218:N218"/>
    <mergeCell ref="E213:G213"/>
    <mergeCell ref="H213:J213"/>
    <mergeCell ref="K213:L213"/>
    <mergeCell ref="M213:N213"/>
    <mergeCell ref="D5:E5"/>
    <mergeCell ref="F5:H5"/>
    <mergeCell ref="I5:J5"/>
    <mergeCell ref="D6:E6"/>
    <mergeCell ref="F6:H6"/>
    <mergeCell ref="I6:J6"/>
    <mergeCell ref="D7:E7"/>
    <mergeCell ref="F7:H7"/>
    <mergeCell ref="I7:J7"/>
    <mergeCell ref="D8:E8"/>
    <mergeCell ref="F8:H8"/>
    <mergeCell ref="I8:J8"/>
    <mergeCell ref="D9:E9"/>
    <mergeCell ref="F9:H9"/>
    <mergeCell ref="I9:J9"/>
    <mergeCell ref="D10:E10"/>
    <mergeCell ref="F10:H10"/>
    <mergeCell ref="I10:J10"/>
    <mergeCell ref="D11:E11"/>
    <mergeCell ref="F11:H11"/>
    <mergeCell ref="I11:J11"/>
    <mergeCell ref="D12:E12"/>
    <mergeCell ref="F12:H12"/>
    <mergeCell ref="I12:J12"/>
    <mergeCell ref="D13:E13"/>
    <mergeCell ref="F13:H13"/>
    <mergeCell ref="I13:J13"/>
    <mergeCell ref="D14:E14"/>
    <mergeCell ref="F14:H14"/>
    <mergeCell ref="I14:J14"/>
    <mergeCell ref="D15:E15"/>
    <mergeCell ref="F15:H15"/>
    <mergeCell ref="I15:J15"/>
    <mergeCell ref="D16:E16"/>
    <mergeCell ref="F16:H16"/>
    <mergeCell ref="I16:J16"/>
    <mergeCell ref="D17:E17"/>
    <mergeCell ref="F17:H17"/>
    <mergeCell ref="I17:J17"/>
    <mergeCell ref="D18:E18"/>
    <mergeCell ref="F18:H18"/>
    <mergeCell ref="I18:J18"/>
    <mergeCell ref="D19:E19"/>
    <mergeCell ref="F19:H19"/>
    <mergeCell ref="I19:J19"/>
    <mergeCell ref="B24:J24"/>
    <mergeCell ref="B31:J31"/>
    <mergeCell ref="D20:E20"/>
    <mergeCell ref="F20:H20"/>
    <mergeCell ref="I20:J20"/>
    <mergeCell ref="D21:E21"/>
    <mergeCell ref="F21:H21"/>
    <mergeCell ref="I21:J21"/>
    <mergeCell ref="D22:E22"/>
    <mergeCell ref="F22:H22"/>
    <mergeCell ref="I22:J22"/>
  </mergeCells>
  <dataValidations count="3">
    <dataValidation type="list" allowBlank="1" showInputMessage="1" showErrorMessage="1" sqref="G68 E90:G114 E198:G222 B171 E171:G195 B144 E144:G168 B117 E117:G141 B90 B198 C68:E79">
      <formula1>AllPensionerElements</formula1>
    </dataValidation>
    <dataValidation type="list" allowBlank="1" showInputMessage="1" showErrorMessage="1" sqref="G61:L61 G36">
      <formula1>"Yes, No"</formula1>
    </dataValidation>
    <dataValidation type="list" allowBlank="1" showInputMessage="1" showErrorMessage="1" sqref="D32:F32">
      <formula1>"Final aSlary, Money Purchase, Hybrid"</formula1>
    </dataValidation>
  </dataValidations>
  <hyperlinks>
    <hyperlink ref="B32" location="Escalation" display="Escalation"/>
    <hyperlink ref="B25" location="Groups" display="Groups"/>
    <hyperlink ref="B26" location="General_Details" display="General Details"/>
    <hyperlink ref="B27" location="Proportionate_Increases" display="Proportionate Increases"/>
    <hyperlink ref="B28" location="Pension_Rounding" display="Pension Rounding"/>
    <hyperlink ref="B29" location="Last_Years_Increases" display="Last Years Increases "/>
  </hyperlinks>
  <pageMargins left="0.70866141732283472" right="0.70866141732283472" top="0.74803149606299213" bottom="0.74803149606299213" header="0.31496062992125984" footer="0.31496062992125984"/>
  <pageSetup paperSize="9" scale="60" orientation="portrait" r:id="rId2"/>
  <legacyDrawing r:id="rId3"/>
</worksheet>
</file>

<file path=xl/worksheets/sheet10.xml><?xml version="1.0" encoding="utf-8"?>
<worksheet xmlns="http://schemas.openxmlformats.org/spreadsheetml/2006/main" xmlns:r="http://schemas.openxmlformats.org/officeDocument/2006/relationships">
  <sheetPr codeName="Sheet1"/>
  <dimension ref="A1:P198"/>
  <sheetViews>
    <sheetView topLeftCell="A4" zoomScale="80" zoomScaleNormal="80" workbookViewId="0">
      <selection activeCell="B31" sqref="B31"/>
    </sheetView>
  </sheetViews>
  <sheetFormatPr defaultColWidth="11.7109375" defaultRowHeight="15"/>
  <cols>
    <col min="1" max="1" width="2.140625" style="25" customWidth="1"/>
    <col min="2" max="5" width="11.7109375" style="139"/>
    <col min="6" max="6" width="11.7109375" style="139" customWidth="1"/>
    <col min="7" max="7" width="11.28515625" style="139" customWidth="1"/>
    <col min="8" max="8" width="11.7109375" style="139"/>
    <col min="9" max="9" width="11.7109375" style="139" customWidth="1"/>
    <col min="10" max="256" width="11.7109375" style="139"/>
    <col min="257" max="257" width="3.7109375" style="139" customWidth="1"/>
    <col min="258" max="261" width="11.7109375" style="139"/>
    <col min="262" max="262" width="11.7109375" style="139" customWidth="1"/>
    <col min="263" max="263" width="11.28515625" style="139" customWidth="1"/>
    <col min="264" max="264" width="11.7109375" style="139"/>
    <col min="265" max="265" width="11.7109375" style="139" customWidth="1"/>
    <col min="266" max="512" width="11.7109375" style="139"/>
    <col min="513" max="513" width="3.7109375" style="139" customWidth="1"/>
    <col min="514" max="517" width="11.7109375" style="139"/>
    <col min="518" max="518" width="11.7109375" style="139" customWidth="1"/>
    <col min="519" max="519" width="11.28515625" style="139" customWidth="1"/>
    <col min="520" max="520" width="11.7109375" style="139"/>
    <col min="521" max="521" width="11.7109375" style="139" customWidth="1"/>
    <col min="522" max="768" width="11.7109375" style="139"/>
    <col min="769" max="769" width="3.7109375" style="139" customWidth="1"/>
    <col min="770" max="773" width="11.7109375" style="139"/>
    <col min="774" max="774" width="11.7109375" style="139" customWidth="1"/>
    <col min="775" max="775" width="11.28515625" style="139" customWidth="1"/>
    <col min="776" max="776" width="11.7109375" style="139"/>
    <col min="777" max="777" width="11.7109375" style="139" customWidth="1"/>
    <col min="778" max="1024" width="11.7109375" style="139"/>
    <col min="1025" max="1025" width="3.7109375" style="139" customWidth="1"/>
    <col min="1026" max="1029" width="11.7109375" style="139"/>
    <col min="1030" max="1030" width="11.7109375" style="139" customWidth="1"/>
    <col min="1031" max="1031" width="11.28515625" style="139" customWidth="1"/>
    <col min="1032" max="1032" width="11.7109375" style="139"/>
    <col min="1033" max="1033" width="11.7109375" style="139" customWidth="1"/>
    <col min="1034" max="1280" width="11.7109375" style="139"/>
    <col min="1281" max="1281" width="3.7109375" style="139" customWidth="1"/>
    <col min="1282" max="1285" width="11.7109375" style="139"/>
    <col min="1286" max="1286" width="11.7109375" style="139" customWidth="1"/>
    <col min="1287" max="1287" width="11.28515625" style="139" customWidth="1"/>
    <col min="1288" max="1288" width="11.7109375" style="139"/>
    <col min="1289" max="1289" width="11.7109375" style="139" customWidth="1"/>
    <col min="1290" max="1536" width="11.7109375" style="139"/>
    <col min="1537" max="1537" width="3.7109375" style="139" customWidth="1"/>
    <col min="1538" max="1541" width="11.7109375" style="139"/>
    <col min="1542" max="1542" width="11.7109375" style="139" customWidth="1"/>
    <col min="1543" max="1543" width="11.28515625" style="139" customWidth="1"/>
    <col min="1544" max="1544" width="11.7109375" style="139"/>
    <col min="1545" max="1545" width="11.7109375" style="139" customWidth="1"/>
    <col min="1546" max="1792" width="11.7109375" style="139"/>
    <col min="1793" max="1793" width="3.7109375" style="139" customWidth="1"/>
    <col min="1794" max="1797" width="11.7109375" style="139"/>
    <col min="1798" max="1798" width="11.7109375" style="139" customWidth="1"/>
    <col min="1799" max="1799" width="11.28515625" style="139" customWidth="1"/>
    <col min="1800" max="1800" width="11.7109375" style="139"/>
    <col min="1801" max="1801" width="11.7109375" style="139" customWidth="1"/>
    <col min="1802" max="2048" width="11.7109375" style="139"/>
    <col min="2049" max="2049" width="3.7109375" style="139" customWidth="1"/>
    <col min="2050" max="2053" width="11.7109375" style="139"/>
    <col min="2054" max="2054" width="11.7109375" style="139" customWidth="1"/>
    <col min="2055" max="2055" width="11.28515625" style="139" customWidth="1"/>
    <col min="2056" max="2056" width="11.7109375" style="139"/>
    <col min="2057" max="2057" width="11.7109375" style="139" customWidth="1"/>
    <col min="2058" max="2304" width="11.7109375" style="139"/>
    <col min="2305" max="2305" width="3.7109375" style="139" customWidth="1"/>
    <col min="2306" max="2309" width="11.7109375" style="139"/>
    <col min="2310" max="2310" width="11.7109375" style="139" customWidth="1"/>
    <col min="2311" max="2311" width="11.28515625" style="139" customWidth="1"/>
    <col min="2312" max="2312" width="11.7109375" style="139"/>
    <col min="2313" max="2313" width="11.7109375" style="139" customWidth="1"/>
    <col min="2314" max="2560" width="11.7109375" style="139"/>
    <col min="2561" max="2561" width="3.7109375" style="139" customWidth="1"/>
    <col min="2562" max="2565" width="11.7109375" style="139"/>
    <col min="2566" max="2566" width="11.7109375" style="139" customWidth="1"/>
    <col min="2567" max="2567" width="11.28515625" style="139" customWidth="1"/>
    <col min="2568" max="2568" width="11.7109375" style="139"/>
    <col min="2569" max="2569" width="11.7109375" style="139" customWidth="1"/>
    <col min="2570" max="2816" width="11.7109375" style="139"/>
    <col min="2817" max="2817" width="3.7109375" style="139" customWidth="1"/>
    <col min="2818" max="2821" width="11.7109375" style="139"/>
    <col min="2822" max="2822" width="11.7109375" style="139" customWidth="1"/>
    <col min="2823" max="2823" width="11.28515625" style="139" customWidth="1"/>
    <col min="2824" max="2824" width="11.7109375" style="139"/>
    <col min="2825" max="2825" width="11.7109375" style="139" customWidth="1"/>
    <col min="2826" max="3072" width="11.7109375" style="139"/>
    <col min="3073" max="3073" width="3.7109375" style="139" customWidth="1"/>
    <col min="3074" max="3077" width="11.7109375" style="139"/>
    <col min="3078" max="3078" width="11.7109375" style="139" customWidth="1"/>
    <col min="3079" max="3079" width="11.28515625" style="139" customWidth="1"/>
    <col min="3080" max="3080" width="11.7109375" style="139"/>
    <col min="3081" max="3081" width="11.7109375" style="139" customWidth="1"/>
    <col min="3082" max="3328" width="11.7109375" style="139"/>
    <col min="3329" max="3329" width="3.7109375" style="139" customWidth="1"/>
    <col min="3330" max="3333" width="11.7109375" style="139"/>
    <col min="3334" max="3334" width="11.7109375" style="139" customWidth="1"/>
    <col min="3335" max="3335" width="11.28515625" style="139" customWidth="1"/>
    <col min="3336" max="3336" width="11.7109375" style="139"/>
    <col min="3337" max="3337" width="11.7109375" style="139" customWidth="1"/>
    <col min="3338" max="3584" width="11.7109375" style="139"/>
    <col min="3585" max="3585" width="3.7109375" style="139" customWidth="1"/>
    <col min="3586" max="3589" width="11.7109375" style="139"/>
    <col min="3590" max="3590" width="11.7109375" style="139" customWidth="1"/>
    <col min="3591" max="3591" width="11.28515625" style="139" customWidth="1"/>
    <col min="3592" max="3592" width="11.7109375" style="139"/>
    <col min="3593" max="3593" width="11.7109375" style="139" customWidth="1"/>
    <col min="3594" max="3840" width="11.7109375" style="139"/>
    <col min="3841" max="3841" width="3.7109375" style="139" customWidth="1"/>
    <col min="3842" max="3845" width="11.7109375" style="139"/>
    <col min="3846" max="3846" width="11.7109375" style="139" customWidth="1"/>
    <col min="3847" max="3847" width="11.28515625" style="139" customWidth="1"/>
    <col min="3848" max="3848" width="11.7109375" style="139"/>
    <col min="3849" max="3849" width="11.7109375" style="139" customWidth="1"/>
    <col min="3850" max="4096" width="11.7109375" style="139"/>
    <col min="4097" max="4097" width="3.7109375" style="139" customWidth="1"/>
    <col min="4098" max="4101" width="11.7109375" style="139"/>
    <col min="4102" max="4102" width="11.7109375" style="139" customWidth="1"/>
    <col min="4103" max="4103" width="11.28515625" style="139" customWidth="1"/>
    <col min="4104" max="4104" width="11.7109375" style="139"/>
    <col min="4105" max="4105" width="11.7109375" style="139" customWidth="1"/>
    <col min="4106" max="4352" width="11.7109375" style="139"/>
    <col min="4353" max="4353" width="3.7109375" style="139" customWidth="1"/>
    <col min="4354" max="4357" width="11.7109375" style="139"/>
    <col min="4358" max="4358" width="11.7109375" style="139" customWidth="1"/>
    <col min="4359" max="4359" width="11.28515625" style="139" customWidth="1"/>
    <col min="4360" max="4360" width="11.7109375" style="139"/>
    <col min="4361" max="4361" width="11.7109375" style="139" customWidth="1"/>
    <col min="4362" max="4608" width="11.7109375" style="139"/>
    <col min="4609" max="4609" width="3.7109375" style="139" customWidth="1"/>
    <col min="4610" max="4613" width="11.7109375" style="139"/>
    <col min="4614" max="4614" width="11.7109375" style="139" customWidth="1"/>
    <col min="4615" max="4615" width="11.28515625" style="139" customWidth="1"/>
    <col min="4616" max="4616" width="11.7109375" style="139"/>
    <col min="4617" max="4617" width="11.7109375" style="139" customWidth="1"/>
    <col min="4618" max="4864" width="11.7109375" style="139"/>
    <col min="4865" max="4865" width="3.7109375" style="139" customWidth="1"/>
    <col min="4866" max="4869" width="11.7109375" style="139"/>
    <col min="4870" max="4870" width="11.7109375" style="139" customWidth="1"/>
    <col min="4871" max="4871" width="11.28515625" style="139" customWidth="1"/>
    <col min="4872" max="4872" width="11.7109375" style="139"/>
    <col min="4873" max="4873" width="11.7109375" style="139" customWidth="1"/>
    <col min="4874" max="5120" width="11.7109375" style="139"/>
    <col min="5121" max="5121" width="3.7109375" style="139" customWidth="1"/>
    <col min="5122" max="5125" width="11.7109375" style="139"/>
    <col min="5126" max="5126" width="11.7109375" style="139" customWidth="1"/>
    <col min="5127" max="5127" width="11.28515625" style="139" customWidth="1"/>
    <col min="5128" max="5128" width="11.7109375" style="139"/>
    <col min="5129" max="5129" width="11.7109375" style="139" customWidth="1"/>
    <col min="5130" max="5376" width="11.7109375" style="139"/>
    <col min="5377" max="5377" width="3.7109375" style="139" customWidth="1"/>
    <col min="5378" max="5381" width="11.7109375" style="139"/>
    <col min="5382" max="5382" width="11.7109375" style="139" customWidth="1"/>
    <col min="5383" max="5383" width="11.28515625" style="139" customWidth="1"/>
    <col min="5384" max="5384" width="11.7109375" style="139"/>
    <col min="5385" max="5385" width="11.7109375" style="139" customWidth="1"/>
    <col min="5386" max="5632" width="11.7109375" style="139"/>
    <col min="5633" max="5633" width="3.7109375" style="139" customWidth="1"/>
    <col min="5634" max="5637" width="11.7109375" style="139"/>
    <col min="5638" max="5638" width="11.7109375" style="139" customWidth="1"/>
    <col min="5639" max="5639" width="11.28515625" style="139" customWidth="1"/>
    <col min="5640" max="5640" width="11.7109375" style="139"/>
    <col min="5641" max="5641" width="11.7109375" style="139" customWidth="1"/>
    <col min="5642" max="5888" width="11.7109375" style="139"/>
    <col min="5889" max="5889" width="3.7109375" style="139" customWidth="1"/>
    <col min="5890" max="5893" width="11.7109375" style="139"/>
    <col min="5894" max="5894" width="11.7109375" style="139" customWidth="1"/>
    <col min="5895" max="5895" width="11.28515625" style="139" customWidth="1"/>
    <col min="5896" max="5896" width="11.7109375" style="139"/>
    <col min="5897" max="5897" width="11.7109375" style="139" customWidth="1"/>
    <col min="5898" max="6144" width="11.7109375" style="139"/>
    <col min="6145" max="6145" width="3.7109375" style="139" customWidth="1"/>
    <col min="6146" max="6149" width="11.7109375" style="139"/>
    <col min="6150" max="6150" width="11.7109375" style="139" customWidth="1"/>
    <col min="6151" max="6151" width="11.28515625" style="139" customWidth="1"/>
    <col min="6152" max="6152" width="11.7109375" style="139"/>
    <col min="6153" max="6153" width="11.7109375" style="139" customWidth="1"/>
    <col min="6154" max="6400" width="11.7109375" style="139"/>
    <col min="6401" max="6401" width="3.7109375" style="139" customWidth="1"/>
    <col min="6402" max="6405" width="11.7109375" style="139"/>
    <col min="6406" max="6406" width="11.7109375" style="139" customWidth="1"/>
    <col min="6407" max="6407" width="11.28515625" style="139" customWidth="1"/>
    <col min="6408" max="6408" width="11.7109375" style="139"/>
    <col min="6409" max="6409" width="11.7109375" style="139" customWidth="1"/>
    <col min="6410" max="6656" width="11.7109375" style="139"/>
    <col min="6657" max="6657" width="3.7109375" style="139" customWidth="1"/>
    <col min="6658" max="6661" width="11.7109375" style="139"/>
    <col min="6662" max="6662" width="11.7109375" style="139" customWidth="1"/>
    <col min="6663" max="6663" width="11.28515625" style="139" customWidth="1"/>
    <col min="6664" max="6664" width="11.7109375" style="139"/>
    <col min="6665" max="6665" width="11.7109375" style="139" customWidth="1"/>
    <col min="6666" max="6912" width="11.7109375" style="139"/>
    <col min="6913" max="6913" width="3.7109375" style="139" customWidth="1"/>
    <col min="6914" max="6917" width="11.7109375" style="139"/>
    <col min="6918" max="6918" width="11.7109375" style="139" customWidth="1"/>
    <col min="6919" max="6919" width="11.28515625" style="139" customWidth="1"/>
    <col min="6920" max="6920" width="11.7109375" style="139"/>
    <col min="6921" max="6921" width="11.7109375" style="139" customWidth="1"/>
    <col min="6922" max="7168" width="11.7109375" style="139"/>
    <col min="7169" max="7169" width="3.7109375" style="139" customWidth="1"/>
    <col min="7170" max="7173" width="11.7109375" style="139"/>
    <col min="7174" max="7174" width="11.7109375" style="139" customWidth="1"/>
    <col min="7175" max="7175" width="11.28515625" style="139" customWidth="1"/>
    <col min="7176" max="7176" width="11.7109375" style="139"/>
    <col min="7177" max="7177" width="11.7109375" style="139" customWidth="1"/>
    <col min="7178" max="7424" width="11.7109375" style="139"/>
    <col min="7425" max="7425" width="3.7109375" style="139" customWidth="1"/>
    <col min="7426" max="7429" width="11.7109375" style="139"/>
    <col min="7430" max="7430" width="11.7109375" style="139" customWidth="1"/>
    <col min="7431" max="7431" width="11.28515625" style="139" customWidth="1"/>
    <col min="7432" max="7432" width="11.7109375" style="139"/>
    <col min="7433" max="7433" width="11.7109375" style="139" customWidth="1"/>
    <col min="7434" max="7680" width="11.7109375" style="139"/>
    <col min="7681" max="7681" width="3.7109375" style="139" customWidth="1"/>
    <col min="7682" max="7685" width="11.7109375" style="139"/>
    <col min="7686" max="7686" width="11.7109375" style="139" customWidth="1"/>
    <col min="7687" max="7687" width="11.28515625" style="139" customWidth="1"/>
    <col min="7688" max="7688" width="11.7109375" style="139"/>
    <col min="7689" max="7689" width="11.7109375" style="139" customWidth="1"/>
    <col min="7690" max="7936" width="11.7109375" style="139"/>
    <col min="7937" max="7937" width="3.7109375" style="139" customWidth="1"/>
    <col min="7938" max="7941" width="11.7109375" style="139"/>
    <col min="7942" max="7942" width="11.7109375" style="139" customWidth="1"/>
    <col min="7943" max="7943" width="11.28515625" style="139" customWidth="1"/>
    <col min="7944" max="7944" width="11.7109375" style="139"/>
    <col min="7945" max="7945" width="11.7109375" style="139" customWidth="1"/>
    <col min="7946" max="8192" width="11.7109375" style="139"/>
    <col min="8193" max="8193" width="3.7109375" style="139" customWidth="1"/>
    <col min="8194" max="8197" width="11.7109375" style="139"/>
    <col min="8198" max="8198" width="11.7109375" style="139" customWidth="1"/>
    <col min="8199" max="8199" width="11.28515625" style="139" customWidth="1"/>
    <col min="8200" max="8200" width="11.7109375" style="139"/>
    <col min="8201" max="8201" width="11.7109375" style="139" customWidth="1"/>
    <col min="8202" max="8448" width="11.7109375" style="139"/>
    <col min="8449" max="8449" width="3.7109375" style="139" customWidth="1"/>
    <col min="8450" max="8453" width="11.7109375" style="139"/>
    <col min="8454" max="8454" width="11.7109375" style="139" customWidth="1"/>
    <col min="8455" max="8455" width="11.28515625" style="139" customWidth="1"/>
    <col min="8456" max="8456" width="11.7109375" style="139"/>
    <col min="8457" max="8457" width="11.7109375" style="139" customWidth="1"/>
    <col min="8458" max="8704" width="11.7109375" style="139"/>
    <col min="8705" max="8705" width="3.7109375" style="139" customWidth="1"/>
    <col min="8706" max="8709" width="11.7109375" style="139"/>
    <col min="8710" max="8710" width="11.7109375" style="139" customWidth="1"/>
    <col min="8711" max="8711" width="11.28515625" style="139" customWidth="1"/>
    <col min="8712" max="8712" width="11.7109375" style="139"/>
    <col min="8713" max="8713" width="11.7109375" style="139" customWidth="1"/>
    <col min="8714" max="8960" width="11.7109375" style="139"/>
    <col min="8961" max="8961" width="3.7109375" style="139" customWidth="1"/>
    <col min="8962" max="8965" width="11.7109375" style="139"/>
    <col min="8966" max="8966" width="11.7109375" style="139" customWidth="1"/>
    <col min="8967" max="8967" width="11.28515625" style="139" customWidth="1"/>
    <col min="8968" max="8968" width="11.7109375" style="139"/>
    <col min="8969" max="8969" width="11.7109375" style="139" customWidth="1"/>
    <col min="8970" max="9216" width="11.7109375" style="139"/>
    <col min="9217" max="9217" width="3.7109375" style="139" customWidth="1"/>
    <col min="9218" max="9221" width="11.7109375" style="139"/>
    <col min="9222" max="9222" width="11.7109375" style="139" customWidth="1"/>
    <col min="9223" max="9223" width="11.28515625" style="139" customWidth="1"/>
    <col min="9224" max="9224" width="11.7109375" style="139"/>
    <col min="9225" max="9225" width="11.7109375" style="139" customWidth="1"/>
    <col min="9226" max="9472" width="11.7109375" style="139"/>
    <col min="9473" max="9473" width="3.7109375" style="139" customWidth="1"/>
    <col min="9474" max="9477" width="11.7109375" style="139"/>
    <col min="9478" max="9478" width="11.7109375" style="139" customWidth="1"/>
    <col min="9479" max="9479" width="11.28515625" style="139" customWidth="1"/>
    <col min="9480" max="9480" width="11.7109375" style="139"/>
    <col min="9481" max="9481" width="11.7109375" style="139" customWidth="1"/>
    <col min="9482" max="9728" width="11.7109375" style="139"/>
    <col min="9729" max="9729" width="3.7109375" style="139" customWidth="1"/>
    <col min="9730" max="9733" width="11.7109375" style="139"/>
    <col min="9734" max="9734" width="11.7109375" style="139" customWidth="1"/>
    <col min="9735" max="9735" width="11.28515625" style="139" customWidth="1"/>
    <col min="9736" max="9736" width="11.7109375" style="139"/>
    <col min="9737" max="9737" width="11.7109375" style="139" customWidth="1"/>
    <col min="9738" max="9984" width="11.7109375" style="139"/>
    <col min="9985" max="9985" width="3.7109375" style="139" customWidth="1"/>
    <col min="9986" max="9989" width="11.7109375" style="139"/>
    <col min="9990" max="9990" width="11.7109375" style="139" customWidth="1"/>
    <col min="9991" max="9991" width="11.28515625" style="139" customWidth="1"/>
    <col min="9992" max="9992" width="11.7109375" style="139"/>
    <col min="9993" max="9993" width="11.7109375" style="139" customWidth="1"/>
    <col min="9994" max="10240" width="11.7109375" style="139"/>
    <col min="10241" max="10241" width="3.7109375" style="139" customWidth="1"/>
    <col min="10242" max="10245" width="11.7109375" style="139"/>
    <col min="10246" max="10246" width="11.7109375" style="139" customWidth="1"/>
    <col min="10247" max="10247" width="11.28515625" style="139" customWidth="1"/>
    <col min="10248" max="10248" width="11.7109375" style="139"/>
    <col min="10249" max="10249" width="11.7109375" style="139" customWidth="1"/>
    <col min="10250" max="10496" width="11.7109375" style="139"/>
    <col min="10497" max="10497" width="3.7109375" style="139" customWidth="1"/>
    <col min="10498" max="10501" width="11.7109375" style="139"/>
    <col min="10502" max="10502" width="11.7109375" style="139" customWidth="1"/>
    <col min="10503" max="10503" width="11.28515625" style="139" customWidth="1"/>
    <col min="10504" max="10504" width="11.7109375" style="139"/>
    <col min="10505" max="10505" width="11.7109375" style="139" customWidth="1"/>
    <col min="10506" max="10752" width="11.7109375" style="139"/>
    <col min="10753" max="10753" width="3.7109375" style="139" customWidth="1"/>
    <col min="10754" max="10757" width="11.7109375" style="139"/>
    <col min="10758" max="10758" width="11.7109375" style="139" customWidth="1"/>
    <col min="10759" max="10759" width="11.28515625" style="139" customWidth="1"/>
    <col min="10760" max="10760" width="11.7109375" style="139"/>
    <col min="10761" max="10761" width="11.7109375" style="139" customWidth="1"/>
    <col min="10762" max="11008" width="11.7109375" style="139"/>
    <col min="11009" max="11009" width="3.7109375" style="139" customWidth="1"/>
    <col min="11010" max="11013" width="11.7109375" style="139"/>
    <col min="11014" max="11014" width="11.7109375" style="139" customWidth="1"/>
    <col min="11015" max="11015" width="11.28515625" style="139" customWidth="1"/>
    <col min="11016" max="11016" width="11.7109375" style="139"/>
    <col min="11017" max="11017" width="11.7109375" style="139" customWidth="1"/>
    <col min="11018" max="11264" width="11.7109375" style="139"/>
    <col min="11265" max="11265" width="3.7109375" style="139" customWidth="1"/>
    <col min="11266" max="11269" width="11.7109375" style="139"/>
    <col min="11270" max="11270" width="11.7109375" style="139" customWidth="1"/>
    <col min="11271" max="11271" width="11.28515625" style="139" customWidth="1"/>
    <col min="11272" max="11272" width="11.7109375" style="139"/>
    <col min="11273" max="11273" width="11.7109375" style="139" customWidth="1"/>
    <col min="11274" max="11520" width="11.7109375" style="139"/>
    <col min="11521" max="11521" width="3.7109375" style="139" customWidth="1"/>
    <col min="11522" max="11525" width="11.7109375" style="139"/>
    <col min="11526" max="11526" width="11.7109375" style="139" customWidth="1"/>
    <col min="11527" max="11527" width="11.28515625" style="139" customWidth="1"/>
    <col min="11528" max="11528" width="11.7109375" style="139"/>
    <col min="11529" max="11529" width="11.7109375" style="139" customWidth="1"/>
    <col min="11530" max="11776" width="11.7109375" style="139"/>
    <col min="11777" max="11777" width="3.7109375" style="139" customWidth="1"/>
    <col min="11778" max="11781" width="11.7109375" style="139"/>
    <col min="11782" max="11782" width="11.7109375" style="139" customWidth="1"/>
    <col min="11783" max="11783" width="11.28515625" style="139" customWidth="1"/>
    <col min="11784" max="11784" width="11.7109375" style="139"/>
    <col min="11785" max="11785" width="11.7109375" style="139" customWidth="1"/>
    <col min="11786" max="12032" width="11.7109375" style="139"/>
    <col min="12033" max="12033" width="3.7109375" style="139" customWidth="1"/>
    <col min="12034" max="12037" width="11.7109375" style="139"/>
    <col min="12038" max="12038" width="11.7109375" style="139" customWidth="1"/>
    <col min="12039" max="12039" width="11.28515625" style="139" customWidth="1"/>
    <col min="12040" max="12040" width="11.7109375" style="139"/>
    <col min="12041" max="12041" width="11.7109375" style="139" customWidth="1"/>
    <col min="12042" max="12288" width="11.7109375" style="139"/>
    <col min="12289" max="12289" width="3.7109375" style="139" customWidth="1"/>
    <col min="12290" max="12293" width="11.7109375" style="139"/>
    <col min="12294" max="12294" width="11.7109375" style="139" customWidth="1"/>
    <col min="12295" max="12295" width="11.28515625" style="139" customWidth="1"/>
    <col min="12296" max="12296" width="11.7109375" style="139"/>
    <col min="12297" max="12297" width="11.7109375" style="139" customWidth="1"/>
    <col min="12298" max="12544" width="11.7109375" style="139"/>
    <col min="12545" max="12545" width="3.7109375" style="139" customWidth="1"/>
    <col min="12546" max="12549" width="11.7109375" style="139"/>
    <col min="12550" max="12550" width="11.7109375" style="139" customWidth="1"/>
    <col min="12551" max="12551" width="11.28515625" style="139" customWidth="1"/>
    <col min="12552" max="12552" width="11.7109375" style="139"/>
    <col min="12553" max="12553" width="11.7109375" style="139" customWidth="1"/>
    <col min="12554" max="12800" width="11.7109375" style="139"/>
    <col min="12801" max="12801" width="3.7109375" style="139" customWidth="1"/>
    <col min="12802" max="12805" width="11.7109375" style="139"/>
    <col min="12806" max="12806" width="11.7109375" style="139" customWidth="1"/>
    <col min="12807" max="12807" width="11.28515625" style="139" customWidth="1"/>
    <col min="12808" max="12808" width="11.7109375" style="139"/>
    <col min="12809" max="12809" width="11.7109375" style="139" customWidth="1"/>
    <col min="12810" max="13056" width="11.7109375" style="139"/>
    <col min="13057" max="13057" width="3.7109375" style="139" customWidth="1"/>
    <col min="13058" max="13061" width="11.7109375" style="139"/>
    <col min="13062" max="13062" width="11.7109375" style="139" customWidth="1"/>
    <col min="13063" max="13063" width="11.28515625" style="139" customWidth="1"/>
    <col min="13064" max="13064" width="11.7109375" style="139"/>
    <col min="13065" max="13065" width="11.7109375" style="139" customWidth="1"/>
    <col min="13066" max="13312" width="11.7109375" style="139"/>
    <col min="13313" max="13313" width="3.7109375" style="139" customWidth="1"/>
    <col min="13314" max="13317" width="11.7109375" style="139"/>
    <col min="13318" max="13318" width="11.7109375" style="139" customWidth="1"/>
    <col min="13319" max="13319" width="11.28515625" style="139" customWidth="1"/>
    <col min="13320" max="13320" width="11.7109375" style="139"/>
    <col min="13321" max="13321" width="11.7109375" style="139" customWidth="1"/>
    <col min="13322" max="13568" width="11.7109375" style="139"/>
    <col min="13569" max="13569" width="3.7109375" style="139" customWidth="1"/>
    <col min="13570" max="13573" width="11.7109375" style="139"/>
    <col min="13574" max="13574" width="11.7109375" style="139" customWidth="1"/>
    <col min="13575" max="13575" width="11.28515625" style="139" customWidth="1"/>
    <col min="13576" max="13576" width="11.7109375" style="139"/>
    <col min="13577" max="13577" width="11.7109375" style="139" customWidth="1"/>
    <col min="13578" max="13824" width="11.7109375" style="139"/>
    <col min="13825" max="13825" width="3.7109375" style="139" customWidth="1"/>
    <col min="13826" max="13829" width="11.7109375" style="139"/>
    <col min="13830" max="13830" width="11.7109375" style="139" customWidth="1"/>
    <col min="13831" max="13831" width="11.28515625" style="139" customWidth="1"/>
    <col min="13832" max="13832" width="11.7109375" style="139"/>
    <col min="13833" max="13833" width="11.7109375" style="139" customWidth="1"/>
    <col min="13834" max="14080" width="11.7109375" style="139"/>
    <col min="14081" max="14081" width="3.7109375" style="139" customWidth="1"/>
    <col min="14082" max="14085" width="11.7109375" style="139"/>
    <col min="14086" max="14086" width="11.7109375" style="139" customWidth="1"/>
    <col min="14087" max="14087" width="11.28515625" style="139" customWidth="1"/>
    <col min="14088" max="14088" width="11.7109375" style="139"/>
    <col min="14089" max="14089" width="11.7109375" style="139" customWidth="1"/>
    <col min="14090" max="14336" width="11.7109375" style="139"/>
    <col min="14337" max="14337" width="3.7109375" style="139" customWidth="1"/>
    <col min="14338" max="14341" width="11.7109375" style="139"/>
    <col min="14342" max="14342" width="11.7109375" style="139" customWidth="1"/>
    <col min="14343" max="14343" width="11.28515625" style="139" customWidth="1"/>
    <col min="14344" max="14344" width="11.7109375" style="139"/>
    <col min="14345" max="14345" width="11.7109375" style="139" customWidth="1"/>
    <col min="14346" max="14592" width="11.7109375" style="139"/>
    <col min="14593" max="14593" width="3.7109375" style="139" customWidth="1"/>
    <col min="14594" max="14597" width="11.7109375" style="139"/>
    <col min="14598" max="14598" width="11.7109375" style="139" customWidth="1"/>
    <col min="14599" max="14599" width="11.28515625" style="139" customWidth="1"/>
    <col min="14600" max="14600" width="11.7109375" style="139"/>
    <col min="14601" max="14601" width="11.7109375" style="139" customWidth="1"/>
    <col min="14602" max="14848" width="11.7109375" style="139"/>
    <col min="14849" max="14849" width="3.7109375" style="139" customWidth="1"/>
    <col min="14850" max="14853" width="11.7109375" style="139"/>
    <col min="14854" max="14854" width="11.7109375" style="139" customWidth="1"/>
    <col min="14855" max="14855" width="11.28515625" style="139" customWidth="1"/>
    <col min="14856" max="14856" width="11.7109375" style="139"/>
    <col min="14857" max="14857" width="11.7109375" style="139" customWidth="1"/>
    <col min="14858" max="15104" width="11.7109375" style="139"/>
    <col min="15105" max="15105" width="3.7109375" style="139" customWidth="1"/>
    <col min="15106" max="15109" width="11.7109375" style="139"/>
    <col min="15110" max="15110" width="11.7109375" style="139" customWidth="1"/>
    <col min="15111" max="15111" width="11.28515625" style="139" customWidth="1"/>
    <col min="15112" max="15112" width="11.7109375" style="139"/>
    <col min="15113" max="15113" width="11.7109375" style="139" customWidth="1"/>
    <col min="15114" max="15360" width="11.7109375" style="139"/>
    <col min="15361" max="15361" width="3.7109375" style="139" customWidth="1"/>
    <col min="15362" max="15365" width="11.7109375" style="139"/>
    <col min="15366" max="15366" width="11.7109375" style="139" customWidth="1"/>
    <col min="15367" max="15367" width="11.28515625" style="139" customWidth="1"/>
    <col min="15368" max="15368" width="11.7109375" style="139"/>
    <col min="15369" max="15369" width="11.7109375" style="139" customWidth="1"/>
    <col min="15370" max="15616" width="11.7109375" style="139"/>
    <col min="15617" max="15617" width="3.7109375" style="139" customWidth="1"/>
    <col min="15618" max="15621" width="11.7109375" style="139"/>
    <col min="15622" max="15622" width="11.7109375" style="139" customWidth="1"/>
    <col min="15623" max="15623" width="11.28515625" style="139" customWidth="1"/>
    <col min="15624" max="15624" width="11.7109375" style="139"/>
    <col min="15625" max="15625" width="11.7109375" style="139" customWidth="1"/>
    <col min="15626" max="15872" width="11.7109375" style="139"/>
    <col min="15873" max="15873" width="3.7109375" style="139" customWidth="1"/>
    <col min="15874" max="15877" width="11.7109375" style="139"/>
    <col min="15878" max="15878" width="11.7109375" style="139" customWidth="1"/>
    <col min="15879" max="15879" width="11.28515625" style="139" customWidth="1"/>
    <col min="15880" max="15880" width="11.7109375" style="139"/>
    <col min="15881" max="15881" width="11.7109375" style="139" customWidth="1"/>
    <col min="15882" max="16128" width="11.7109375" style="139"/>
    <col min="16129" max="16129" width="3.7109375" style="139" customWidth="1"/>
    <col min="16130" max="16133" width="11.7109375" style="139"/>
    <col min="16134" max="16134" width="11.7109375" style="139" customWidth="1"/>
    <col min="16135" max="16135" width="11.28515625" style="139" customWidth="1"/>
    <col min="16136" max="16136" width="11.7109375" style="139"/>
    <col min="16137" max="16137" width="11.7109375" style="139" customWidth="1"/>
    <col min="16138" max="16384" width="11.7109375" style="139"/>
  </cols>
  <sheetData>
    <row r="1" spans="1:16" ht="18.75">
      <c r="A1" s="167"/>
      <c r="B1" s="507" t="s">
        <v>739</v>
      </c>
      <c r="C1" s="507"/>
      <c r="D1" s="507"/>
      <c r="E1" s="508"/>
      <c r="F1" s="509"/>
      <c r="G1" s="509"/>
      <c r="H1" s="509"/>
      <c r="I1" s="509"/>
      <c r="J1" s="509"/>
      <c r="K1" s="509"/>
      <c r="L1" s="509"/>
      <c r="M1" s="509"/>
      <c r="N1" s="509"/>
      <c r="O1" s="509"/>
      <c r="P1" s="509"/>
    </row>
    <row r="2" spans="1:16" ht="18.75">
      <c r="A2" s="167"/>
      <c r="B2" s="507"/>
      <c r="C2" s="507"/>
      <c r="D2" s="507"/>
      <c r="E2" s="508"/>
      <c r="F2" s="509"/>
      <c r="G2" s="509"/>
      <c r="H2" s="509"/>
      <c r="I2" s="509"/>
      <c r="J2" s="509"/>
      <c r="K2" s="509"/>
      <c r="L2" s="509"/>
      <c r="M2" s="509"/>
      <c r="N2" s="509"/>
      <c r="O2" s="509"/>
      <c r="P2" s="509"/>
    </row>
    <row r="3" spans="1:16" s="241" customFormat="1" ht="15" customHeight="1">
      <c r="A3" s="323"/>
      <c r="B3" s="11" t="s">
        <v>121</v>
      </c>
      <c r="C3" s="209"/>
      <c r="D3" s="18"/>
      <c r="E3" s="18"/>
      <c r="F3" s="18"/>
      <c r="G3" s="356"/>
      <c r="H3" s="18"/>
      <c r="I3" s="18"/>
      <c r="J3" s="18"/>
    </row>
    <row r="4" spans="1:16" s="241" customFormat="1" ht="15" customHeight="1" thickBot="1">
      <c r="A4" s="323"/>
      <c r="B4" s="204"/>
      <c r="C4" s="209"/>
      <c r="D4" s="18"/>
      <c r="E4" s="18"/>
      <c r="F4" s="18"/>
      <c r="G4" s="356"/>
      <c r="H4" s="18"/>
      <c r="I4" s="18"/>
      <c r="J4" s="18"/>
    </row>
    <row r="5" spans="1:16" s="241" customFormat="1" ht="15" customHeight="1" thickBot="1">
      <c r="A5" s="323"/>
      <c r="B5" s="487" t="s">
        <v>94</v>
      </c>
      <c r="C5" s="499" t="s">
        <v>122</v>
      </c>
      <c r="D5" s="999" t="s">
        <v>163</v>
      </c>
      <c r="E5" s="999"/>
      <c r="F5" s="999" t="s">
        <v>123</v>
      </c>
      <c r="G5" s="999"/>
      <c r="H5" s="999"/>
      <c r="I5" s="1028" t="s">
        <v>738</v>
      </c>
      <c r="J5" s="1029"/>
    </row>
    <row r="6" spans="1:16" s="241" customFormat="1" ht="15" customHeight="1">
      <c r="A6" s="323"/>
      <c r="B6" s="489"/>
      <c r="C6" s="500"/>
      <c r="D6" s="1000"/>
      <c r="E6" s="1000"/>
      <c r="F6" s="1000"/>
      <c r="G6" s="1000"/>
      <c r="H6" s="1000"/>
      <c r="I6" s="997"/>
      <c r="J6" s="998"/>
    </row>
    <row r="7" spans="1:16" s="241" customFormat="1" ht="15" customHeight="1">
      <c r="A7" s="323"/>
      <c r="B7" s="491"/>
      <c r="C7" s="501"/>
      <c r="D7" s="1022"/>
      <c r="E7" s="1022"/>
      <c r="F7" s="1022"/>
      <c r="G7" s="1022"/>
      <c r="H7" s="1022"/>
      <c r="I7" s="1023"/>
      <c r="J7" s="1024"/>
    </row>
    <row r="8" spans="1:16" s="241" customFormat="1" ht="15" customHeight="1">
      <c r="A8" s="323"/>
      <c r="B8" s="491"/>
      <c r="C8" s="501"/>
      <c r="D8" s="1022"/>
      <c r="E8" s="1022"/>
      <c r="F8" s="1022"/>
      <c r="G8" s="1022"/>
      <c r="H8" s="1022"/>
      <c r="I8" s="1023"/>
      <c r="J8" s="1024"/>
    </row>
    <row r="9" spans="1:16" s="241" customFormat="1" ht="15" customHeight="1">
      <c r="A9" s="323"/>
      <c r="B9" s="491"/>
      <c r="C9" s="501"/>
      <c r="D9" s="1022"/>
      <c r="E9" s="1022"/>
      <c r="F9" s="1022"/>
      <c r="G9" s="1022"/>
      <c r="H9" s="1022"/>
      <c r="I9" s="1023"/>
      <c r="J9" s="1024"/>
    </row>
    <row r="10" spans="1:16" s="241" customFormat="1" ht="15" customHeight="1">
      <c r="A10" s="323"/>
      <c r="B10" s="491"/>
      <c r="C10" s="501"/>
      <c r="D10" s="1022"/>
      <c r="E10" s="1022"/>
      <c r="F10" s="1022"/>
      <c r="G10" s="1022"/>
      <c r="H10" s="1022"/>
      <c r="I10" s="1023"/>
      <c r="J10" s="1024"/>
    </row>
    <row r="11" spans="1:16" s="241" customFormat="1" ht="15" customHeight="1">
      <c r="A11" s="323"/>
      <c r="B11" s="491"/>
      <c r="C11" s="501"/>
      <c r="D11" s="1022"/>
      <c r="E11" s="1022"/>
      <c r="F11" s="1022"/>
      <c r="G11" s="1022"/>
      <c r="H11" s="1022"/>
      <c r="I11" s="1023"/>
      <c r="J11" s="1024"/>
    </row>
    <row r="12" spans="1:16" s="241" customFormat="1" ht="15" customHeight="1">
      <c r="A12" s="323"/>
      <c r="B12" s="491"/>
      <c r="C12" s="501"/>
      <c r="D12" s="1022"/>
      <c r="E12" s="1022"/>
      <c r="F12" s="1022"/>
      <c r="G12" s="1022"/>
      <c r="H12" s="1022"/>
      <c r="I12" s="1023"/>
      <c r="J12" s="1024"/>
    </row>
    <row r="13" spans="1:16" s="241" customFormat="1" ht="15" customHeight="1">
      <c r="A13" s="323"/>
      <c r="B13" s="491"/>
      <c r="C13" s="501"/>
      <c r="D13" s="1022"/>
      <c r="E13" s="1022"/>
      <c r="F13" s="1022"/>
      <c r="G13" s="1022"/>
      <c r="H13" s="1022"/>
      <c r="I13" s="1023"/>
      <c r="J13" s="1024"/>
    </row>
    <row r="14" spans="1:16" s="241" customFormat="1" ht="15" customHeight="1">
      <c r="A14" s="323"/>
      <c r="B14" s="491"/>
      <c r="C14" s="501"/>
      <c r="D14" s="1022"/>
      <c r="E14" s="1022"/>
      <c r="F14" s="1022"/>
      <c r="G14" s="1022"/>
      <c r="H14" s="1022"/>
      <c r="I14" s="1023"/>
      <c r="J14" s="1024"/>
    </row>
    <row r="15" spans="1:16" s="241" customFormat="1" ht="15" customHeight="1">
      <c r="A15" s="323"/>
      <c r="B15" s="491"/>
      <c r="C15" s="501"/>
      <c r="D15" s="1022"/>
      <c r="E15" s="1022"/>
      <c r="F15" s="1022"/>
      <c r="G15" s="1022"/>
      <c r="H15" s="1022"/>
      <c r="I15" s="1023"/>
      <c r="J15" s="1024"/>
    </row>
    <row r="16" spans="1:16" s="241" customFormat="1" ht="15" customHeight="1">
      <c r="A16" s="323"/>
      <c r="B16" s="491"/>
      <c r="C16" s="501"/>
      <c r="D16" s="1022"/>
      <c r="E16" s="1022"/>
      <c r="F16" s="1022"/>
      <c r="G16" s="1022"/>
      <c r="H16" s="1022"/>
      <c r="I16" s="1023"/>
      <c r="J16" s="1024"/>
    </row>
    <row r="17" spans="1:10" s="241" customFormat="1" ht="15" customHeight="1">
      <c r="A17" s="323"/>
      <c r="B17" s="491"/>
      <c r="C17" s="501"/>
      <c r="D17" s="1022"/>
      <c r="E17" s="1022"/>
      <c r="F17" s="1022"/>
      <c r="G17" s="1022"/>
      <c r="H17" s="1022"/>
      <c r="I17" s="1023"/>
      <c r="J17" s="1024"/>
    </row>
    <row r="18" spans="1:10" s="241" customFormat="1" ht="15" customHeight="1">
      <c r="A18" s="323"/>
      <c r="B18" s="491"/>
      <c r="C18" s="501"/>
      <c r="D18" s="1022"/>
      <c r="E18" s="1022"/>
      <c r="F18" s="1022"/>
      <c r="G18" s="1022"/>
      <c r="H18" s="1022"/>
      <c r="I18" s="1023"/>
      <c r="J18" s="1024"/>
    </row>
    <row r="19" spans="1:10" s="241" customFormat="1" ht="15" customHeight="1">
      <c r="A19" s="323"/>
      <c r="B19" s="491"/>
      <c r="C19" s="501"/>
      <c r="D19" s="1022"/>
      <c r="E19" s="1022"/>
      <c r="F19" s="1022"/>
      <c r="G19" s="1022"/>
      <c r="H19" s="1022"/>
      <c r="I19" s="1023"/>
      <c r="J19" s="1024"/>
    </row>
    <row r="20" spans="1:10" s="241" customFormat="1" ht="15" customHeight="1">
      <c r="A20" s="323"/>
      <c r="B20" s="491"/>
      <c r="C20" s="501"/>
      <c r="D20" s="1022"/>
      <c r="E20" s="1022"/>
      <c r="F20" s="1022"/>
      <c r="G20" s="1022"/>
      <c r="H20" s="1022"/>
      <c r="I20" s="1023"/>
      <c r="J20" s="1024"/>
    </row>
    <row r="21" spans="1:10" s="241" customFormat="1" ht="15" customHeight="1">
      <c r="A21" s="323"/>
      <c r="B21" s="491"/>
      <c r="C21" s="501"/>
      <c r="D21" s="1022"/>
      <c r="E21" s="1022"/>
      <c r="F21" s="1022"/>
      <c r="G21" s="1022"/>
      <c r="H21" s="1022"/>
      <c r="I21" s="1023"/>
      <c r="J21" s="1024"/>
    </row>
    <row r="22" spans="1:10" s="241" customFormat="1" ht="15" customHeight="1" thickBot="1">
      <c r="A22" s="323"/>
      <c r="B22" s="492"/>
      <c r="C22" s="504"/>
      <c r="D22" s="1025"/>
      <c r="E22" s="1025"/>
      <c r="F22" s="1025"/>
      <c r="G22" s="1025"/>
      <c r="H22" s="1025"/>
      <c r="I22" s="1026"/>
      <c r="J22" s="1027"/>
    </row>
    <row r="23" spans="1:10" s="497" customFormat="1" ht="15" customHeight="1">
      <c r="A23" s="561"/>
      <c r="B23" s="493"/>
      <c r="C23" s="467"/>
      <c r="D23" s="494"/>
      <c r="E23" s="494"/>
      <c r="F23" s="494"/>
      <c r="G23" s="494"/>
      <c r="H23" s="494"/>
      <c r="I23" s="494"/>
      <c r="J23" s="494"/>
    </row>
    <row r="24" spans="1:10" s="497" customFormat="1" ht="15" customHeight="1">
      <c r="A24" s="561"/>
      <c r="B24" s="982" t="s">
        <v>880</v>
      </c>
      <c r="C24" s="982"/>
      <c r="D24" s="982"/>
      <c r="E24" s="982"/>
      <c r="F24" s="982"/>
      <c r="G24" s="982"/>
      <c r="H24" s="982"/>
      <c r="I24" s="982"/>
      <c r="J24" s="982"/>
    </row>
    <row r="25" spans="1:10" s="497" customFormat="1" ht="15" customHeight="1">
      <c r="A25" s="419"/>
      <c r="B25" s="549" t="s">
        <v>740</v>
      </c>
      <c r="C25" s="467"/>
      <c r="D25" s="494"/>
      <c r="E25" s="494"/>
      <c r="F25" s="494"/>
      <c r="G25" s="494"/>
      <c r="H25" s="494"/>
      <c r="I25" s="494"/>
      <c r="J25" s="494"/>
    </row>
    <row r="26" spans="1:10" s="497" customFormat="1" ht="15" customHeight="1">
      <c r="A26" s="419"/>
      <c r="B26" s="549" t="s">
        <v>758</v>
      </c>
      <c r="C26" s="467"/>
      <c r="D26" s="494"/>
      <c r="E26" s="494"/>
      <c r="F26" s="494"/>
      <c r="G26" s="494"/>
      <c r="H26" s="494"/>
      <c r="I26" s="494"/>
      <c r="J26" s="494"/>
    </row>
    <row r="27" spans="1:10" s="497" customFormat="1" ht="15" customHeight="1">
      <c r="A27" s="419"/>
      <c r="B27" s="549" t="s">
        <v>773</v>
      </c>
      <c r="C27" s="467"/>
      <c r="D27" s="494"/>
      <c r="E27" s="494"/>
      <c r="F27" s="494"/>
      <c r="G27" s="494"/>
      <c r="H27" s="494"/>
      <c r="I27" s="494"/>
      <c r="J27" s="494"/>
    </row>
    <row r="28" spans="1:10" s="497" customFormat="1" ht="15" customHeight="1">
      <c r="A28" s="419"/>
      <c r="B28" s="549" t="s">
        <v>782</v>
      </c>
      <c r="C28" s="467"/>
      <c r="D28" s="494"/>
      <c r="E28" s="494"/>
      <c r="F28" s="494"/>
      <c r="G28" s="494"/>
      <c r="H28" s="494"/>
      <c r="I28" s="494"/>
      <c r="J28" s="494"/>
    </row>
    <row r="29" spans="1:10" s="497" customFormat="1" ht="15" customHeight="1">
      <c r="A29" s="419"/>
      <c r="B29" s="549" t="s">
        <v>278</v>
      </c>
      <c r="C29" s="467"/>
      <c r="D29" s="494"/>
      <c r="E29" s="494"/>
      <c r="F29" s="494"/>
      <c r="G29" s="494"/>
      <c r="H29" s="494"/>
      <c r="I29" s="494"/>
      <c r="J29" s="494"/>
    </row>
    <row r="30" spans="1:10" s="497" customFormat="1" ht="15" customHeight="1">
      <c r="A30" s="561"/>
      <c r="B30" s="493"/>
      <c r="C30" s="467"/>
      <c r="D30" s="494"/>
      <c r="E30" s="494"/>
      <c r="F30" s="494"/>
      <c r="G30" s="494"/>
      <c r="H30" s="494"/>
      <c r="I30" s="494"/>
      <c r="J30" s="494"/>
    </row>
    <row r="31" spans="1:10">
      <c r="A31" s="510"/>
      <c r="B31" s="13" t="s">
        <v>740</v>
      </c>
      <c r="C31" s="13"/>
      <c r="D31" s="13"/>
    </row>
    <row r="32" spans="1:10">
      <c r="A32" s="510"/>
      <c r="B32" s="13"/>
      <c r="C32" s="13"/>
      <c r="D32" s="13"/>
    </row>
    <row r="33" spans="1:12">
      <c r="A33" s="510"/>
      <c r="B33" s="1" t="s">
        <v>741</v>
      </c>
      <c r="C33" s="13"/>
      <c r="D33" s="13"/>
    </row>
    <row r="34" spans="1:12" ht="15.75" thickBot="1"/>
    <row r="35" spans="1:12" ht="15.75" thickBot="1">
      <c r="B35" s="1586" t="s">
        <v>742</v>
      </c>
      <c r="C35" s="1587"/>
      <c r="D35" s="1587"/>
      <c r="E35" s="1587"/>
      <c r="F35" s="1587"/>
      <c r="G35" s="1603"/>
      <c r="H35" s="1603"/>
      <c r="I35" s="1603"/>
      <c r="J35" s="1603"/>
      <c r="K35" s="1603"/>
      <c r="L35" s="1604"/>
    </row>
    <row r="36" spans="1:12" ht="15.75" thickBot="1">
      <c r="B36" s="24"/>
      <c r="C36" s="24"/>
      <c r="D36" s="24"/>
      <c r="E36" s="24"/>
      <c r="F36" s="24"/>
      <c r="G36" s="511"/>
      <c r="H36" s="511"/>
      <c r="I36" s="511"/>
      <c r="J36" s="31"/>
      <c r="K36" s="31"/>
      <c r="L36" s="31"/>
    </row>
    <row r="37" spans="1:12">
      <c r="B37" s="1636" t="s">
        <v>743</v>
      </c>
      <c r="C37" s="1637"/>
      <c r="D37" s="1637"/>
      <c r="E37" s="1637"/>
      <c r="F37" s="1637"/>
      <c r="G37" s="1646"/>
      <c r="H37" s="1646"/>
      <c r="I37" s="1646"/>
      <c r="J37" s="1646"/>
      <c r="K37" s="1646"/>
      <c r="L37" s="1647"/>
    </row>
    <row r="38" spans="1:12" ht="15.75" thickBot="1">
      <c r="B38" s="1625" t="s">
        <v>744</v>
      </c>
      <c r="C38" s="1626"/>
      <c r="D38" s="1626"/>
      <c r="E38" s="1626"/>
      <c r="F38" s="1626"/>
      <c r="G38" s="1648"/>
      <c r="H38" s="1648"/>
      <c r="I38" s="1648"/>
      <c r="J38" s="1648"/>
      <c r="K38" s="1648"/>
      <c r="L38" s="1649"/>
    </row>
    <row r="39" spans="1:12" ht="15.75" thickBot="1">
      <c r="B39" s="24"/>
      <c r="C39" s="24"/>
      <c r="D39" s="24"/>
      <c r="E39" s="24"/>
      <c r="F39" s="24"/>
      <c r="G39" s="512"/>
      <c r="H39" s="512"/>
      <c r="I39" s="512"/>
      <c r="J39" s="512"/>
      <c r="K39" s="512"/>
      <c r="L39" s="512"/>
    </row>
    <row r="40" spans="1:12" ht="15.75" thickBot="1">
      <c r="B40" s="24"/>
      <c r="C40" s="24"/>
      <c r="D40" s="28"/>
      <c r="E40" s="28"/>
      <c r="F40" s="28"/>
      <c r="G40" s="1652" t="s">
        <v>745</v>
      </c>
      <c r="H40" s="1653"/>
      <c r="I40" s="1653" t="s">
        <v>746</v>
      </c>
      <c r="J40" s="1654"/>
    </row>
    <row r="41" spans="1:12">
      <c r="B41" s="1636" t="s">
        <v>747</v>
      </c>
      <c r="C41" s="1637"/>
      <c r="D41" s="1637"/>
      <c r="E41" s="1637"/>
      <c r="F41" s="1655"/>
      <c r="G41" s="1656"/>
      <c r="H41" s="1520"/>
      <c r="I41" s="1520"/>
      <c r="J41" s="1521"/>
      <c r="K41" s="1"/>
      <c r="L41" s="1"/>
    </row>
    <row r="42" spans="1:12" ht="15.75" thickBot="1">
      <c r="B42" s="1625" t="s">
        <v>748</v>
      </c>
      <c r="C42" s="1626"/>
      <c r="D42" s="1626"/>
      <c r="E42" s="1626"/>
      <c r="F42" s="1650"/>
      <c r="G42" s="1651"/>
      <c r="H42" s="1524"/>
      <c r="I42" s="1524"/>
      <c r="J42" s="1525"/>
      <c r="K42" s="1"/>
      <c r="L42" s="1"/>
    </row>
    <row r="43" spans="1:12" ht="15.75" thickBot="1">
      <c r="B43" s="24"/>
      <c r="C43" s="24"/>
      <c r="D43" s="24"/>
      <c r="E43" s="24"/>
      <c r="F43" s="24"/>
      <c r="G43" s="1"/>
      <c r="H43" s="1"/>
      <c r="I43" s="1"/>
    </row>
    <row r="44" spans="1:12">
      <c r="B44" s="1636" t="s">
        <v>749</v>
      </c>
      <c r="C44" s="1637"/>
      <c r="D44" s="1637"/>
      <c r="E44" s="1637"/>
      <c r="F44" s="1637"/>
      <c r="G44" s="1646"/>
      <c r="H44" s="1646"/>
      <c r="I44" s="1646"/>
      <c r="J44" s="1646"/>
      <c r="K44" s="1646"/>
      <c r="L44" s="1647"/>
    </row>
    <row r="45" spans="1:12" ht="15.75" thickBot="1">
      <c r="B45" s="1625" t="s">
        <v>750</v>
      </c>
      <c r="C45" s="1626"/>
      <c r="D45" s="1626"/>
      <c r="E45" s="1626"/>
      <c r="F45" s="1626"/>
      <c r="G45" s="1648"/>
      <c r="H45" s="1648"/>
      <c r="I45" s="1648"/>
      <c r="J45" s="1648"/>
      <c r="K45" s="1648"/>
      <c r="L45" s="1649"/>
    </row>
    <row r="46" spans="1:12" ht="15.75" thickBot="1">
      <c r="B46" s="24"/>
      <c r="C46" s="24"/>
      <c r="D46" s="24"/>
      <c r="E46" s="24"/>
      <c r="F46" s="24"/>
      <c r="G46" s="511"/>
      <c r="H46" s="511"/>
      <c r="I46" s="511"/>
      <c r="J46" s="31"/>
      <c r="K46" s="31"/>
      <c r="L46" s="31"/>
    </row>
    <row r="47" spans="1:12">
      <c r="B47" s="1636" t="s">
        <v>751</v>
      </c>
      <c r="C47" s="1637"/>
      <c r="D47" s="1637"/>
      <c r="E47" s="1637"/>
      <c r="F47" s="1637"/>
      <c r="G47" s="1646"/>
      <c r="H47" s="1646"/>
      <c r="I47" s="1646"/>
      <c r="J47" s="1646"/>
      <c r="K47" s="1646"/>
      <c r="L47" s="1647"/>
    </row>
    <row r="48" spans="1:12" ht="15.75" thickBot="1">
      <c r="B48" s="1625" t="s">
        <v>752</v>
      </c>
      <c r="C48" s="1626"/>
      <c r="D48" s="1626"/>
      <c r="E48" s="1626"/>
      <c r="F48" s="1626"/>
      <c r="G48" s="1648"/>
      <c r="H48" s="1648"/>
      <c r="I48" s="1648"/>
      <c r="J48" s="1648"/>
      <c r="K48" s="1648"/>
      <c r="L48" s="1649"/>
    </row>
    <row r="49" spans="1:12" ht="15.75" thickBot="1">
      <c r="B49" s="24"/>
      <c r="C49" s="24"/>
      <c r="D49" s="24"/>
      <c r="E49" s="24"/>
      <c r="F49" s="24"/>
      <c r="G49" s="511"/>
      <c r="H49" s="511"/>
      <c r="I49" s="511"/>
      <c r="J49" s="31"/>
      <c r="K49" s="31"/>
      <c r="L49" s="31"/>
    </row>
    <row r="50" spans="1:12">
      <c r="B50" s="1636" t="s">
        <v>753</v>
      </c>
      <c r="C50" s="1637"/>
      <c r="D50" s="1637"/>
      <c r="E50" s="1637"/>
      <c r="F50" s="1637"/>
      <c r="G50" s="1640"/>
      <c r="H50" s="1640"/>
      <c r="I50" s="1640"/>
      <c r="J50" s="1640"/>
      <c r="K50" s="1640"/>
      <c r="L50" s="1641"/>
    </row>
    <row r="51" spans="1:12" ht="15.75" thickBot="1">
      <c r="B51" s="1625" t="s">
        <v>754</v>
      </c>
      <c r="C51" s="1626"/>
      <c r="D51" s="1626"/>
      <c r="E51" s="1626"/>
      <c r="F51" s="1626"/>
      <c r="G51" s="1638"/>
      <c r="H51" s="1638"/>
      <c r="I51" s="1638"/>
      <c r="J51" s="1638"/>
      <c r="K51" s="1638"/>
      <c r="L51" s="1639"/>
    </row>
    <row r="52" spans="1:12" ht="15.75" thickBot="1">
      <c r="B52" s="24"/>
      <c r="C52" s="24"/>
      <c r="D52" s="24"/>
      <c r="E52" s="24"/>
      <c r="F52" s="24"/>
      <c r="G52" s="511"/>
      <c r="H52" s="511"/>
      <c r="I52" s="511"/>
      <c r="J52" s="31"/>
      <c r="K52" s="31"/>
      <c r="L52" s="31"/>
    </row>
    <row r="53" spans="1:12">
      <c r="B53" s="1636" t="s">
        <v>755</v>
      </c>
      <c r="C53" s="1637"/>
      <c r="D53" s="1637"/>
      <c r="E53" s="1637"/>
      <c r="F53" s="1637"/>
      <c r="G53" s="1640"/>
      <c r="H53" s="1640"/>
      <c r="I53" s="1640"/>
      <c r="J53" s="1640"/>
      <c r="K53" s="1640"/>
      <c r="L53" s="1641"/>
    </row>
    <row r="54" spans="1:12">
      <c r="B54" s="1526" t="s">
        <v>756</v>
      </c>
      <c r="C54" s="1527"/>
      <c r="D54" s="1527"/>
      <c r="E54" s="1527"/>
      <c r="F54" s="1527"/>
      <c r="G54" s="1642"/>
      <c r="H54" s="1642"/>
      <c r="I54" s="1642"/>
      <c r="J54" s="1642"/>
      <c r="K54" s="1642"/>
      <c r="L54" s="1643"/>
    </row>
    <row r="55" spans="1:12" ht="15.75" thickBot="1">
      <c r="B55" s="1625" t="s">
        <v>757</v>
      </c>
      <c r="C55" s="1626"/>
      <c r="D55" s="1626"/>
      <c r="E55" s="1626"/>
      <c r="F55" s="1626"/>
      <c r="G55" s="1638"/>
      <c r="H55" s="1638"/>
      <c r="I55" s="1638"/>
      <c r="J55" s="1638"/>
      <c r="K55" s="1638"/>
      <c r="L55" s="1639"/>
    </row>
    <row r="56" spans="1:12" ht="15.75" thickBot="1">
      <c r="B56" s="1"/>
      <c r="C56" s="1"/>
      <c r="D56" s="1"/>
      <c r="E56" s="1"/>
      <c r="F56" s="1"/>
      <c r="G56" s="1"/>
      <c r="H56" s="1"/>
      <c r="I56" s="1"/>
    </row>
    <row r="57" spans="1:12" ht="15.75" thickBot="1">
      <c r="B57" s="1586" t="s">
        <v>897</v>
      </c>
      <c r="C57" s="1587"/>
      <c r="D57" s="1587"/>
      <c r="E57" s="1587"/>
      <c r="F57" s="1587"/>
      <c r="G57" s="1644"/>
      <c r="H57" s="1644"/>
      <c r="I57" s="1644"/>
      <c r="J57" s="1644"/>
      <c r="K57" s="1644"/>
      <c r="L57" s="1645"/>
    </row>
    <row r="58" spans="1:12">
      <c r="B58" s="1"/>
      <c r="C58" s="1"/>
      <c r="D58" s="1"/>
      <c r="E58" s="1"/>
      <c r="F58" s="1"/>
      <c r="G58" s="1"/>
      <c r="H58" s="1"/>
      <c r="I58" s="1"/>
    </row>
    <row r="59" spans="1:12">
      <c r="A59" s="510"/>
      <c r="B59" s="13" t="s">
        <v>758</v>
      </c>
      <c r="C59" s="13"/>
      <c r="D59" s="13"/>
    </row>
    <row r="60" spans="1:12" ht="15.75" thickBot="1"/>
    <row r="61" spans="1:12" ht="15.75" thickBot="1">
      <c r="B61" s="1586" t="s">
        <v>759</v>
      </c>
      <c r="C61" s="1587"/>
      <c r="D61" s="1587"/>
      <c r="E61" s="1587"/>
      <c r="F61" s="1587"/>
      <c r="G61" s="1603"/>
      <c r="H61" s="1603"/>
      <c r="I61" s="1603"/>
      <c r="J61" s="1603"/>
      <c r="K61" s="1603"/>
      <c r="L61" s="1604"/>
    </row>
    <row r="62" spans="1:12" ht="15.75" thickBot="1">
      <c r="B62" s="24"/>
      <c r="C62" s="24"/>
      <c r="D62" s="24"/>
      <c r="E62" s="28"/>
      <c r="F62" s="28"/>
      <c r="G62" s="31"/>
      <c r="H62" s="31"/>
      <c r="I62" s="31"/>
      <c r="J62" s="31"/>
      <c r="K62" s="31"/>
      <c r="L62" s="31"/>
    </row>
    <row r="63" spans="1:12" ht="15.75" thickBot="1">
      <c r="B63" s="1586" t="s">
        <v>760</v>
      </c>
      <c r="C63" s="1587"/>
      <c r="D63" s="1587"/>
      <c r="E63" s="1587"/>
      <c r="F63" s="1587"/>
      <c r="G63" s="1603"/>
      <c r="H63" s="1603"/>
      <c r="I63" s="1603"/>
      <c r="J63" s="1603"/>
      <c r="K63" s="1603"/>
      <c r="L63" s="1604"/>
    </row>
    <row r="65" spans="2:12">
      <c r="B65" s="13" t="s">
        <v>100</v>
      </c>
      <c r="C65" s="13"/>
      <c r="D65" s="13"/>
    </row>
    <row r="66" spans="2:12" ht="15.75" thickBot="1">
      <c r="B66" s="13"/>
      <c r="C66" s="13"/>
      <c r="D66" s="13"/>
    </row>
    <row r="67" spans="2:12" ht="15.75" thickBot="1">
      <c r="B67" s="1586" t="s">
        <v>761</v>
      </c>
      <c r="C67" s="1587"/>
      <c r="D67" s="1587"/>
      <c r="E67" s="1587"/>
      <c r="F67" s="1587"/>
      <c r="G67" s="1603"/>
      <c r="H67" s="1603"/>
      <c r="I67" s="1603"/>
      <c r="J67" s="1603"/>
      <c r="K67" s="1603"/>
      <c r="L67" s="1604"/>
    </row>
    <row r="68" spans="2:12" ht="15.75" thickBot="1">
      <c r="B68" s="24"/>
      <c r="C68" s="24"/>
      <c r="D68" s="24"/>
      <c r="E68" s="24"/>
      <c r="F68" s="24"/>
      <c r="G68" s="511"/>
      <c r="H68" s="511"/>
      <c r="I68" s="511"/>
      <c r="J68" s="511"/>
      <c r="K68" s="31"/>
      <c r="L68" s="31"/>
    </row>
    <row r="69" spans="2:12">
      <c r="B69" s="1636" t="s">
        <v>762</v>
      </c>
      <c r="C69" s="1637"/>
      <c r="D69" s="1637"/>
      <c r="E69" s="1637"/>
      <c r="F69" s="1637"/>
      <c r="G69" s="1607"/>
      <c r="H69" s="1607"/>
      <c r="I69" s="1607"/>
      <c r="J69" s="1607"/>
      <c r="K69" s="1607"/>
      <c r="L69" s="1608"/>
    </row>
    <row r="70" spans="2:12" ht="15.75" thickBot="1">
      <c r="B70" s="1625" t="s">
        <v>763</v>
      </c>
      <c r="C70" s="1626"/>
      <c r="D70" s="1626"/>
      <c r="E70" s="1626"/>
      <c r="F70" s="1626"/>
      <c r="G70" s="1584"/>
      <c r="H70" s="1584"/>
      <c r="I70" s="1584"/>
      <c r="J70" s="1584"/>
      <c r="K70" s="1584"/>
      <c r="L70" s="1585"/>
    </row>
    <row r="71" spans="2:12" ht="15.75" thickBot="1">
      <c r="B71" s="24"/>
      <c r="C71" s="24"/>
      <c r="D71" s="24"/>
      <c r="E71" s="24"/>
      <c r="F71" s="24"/>
      <c r="G71" s="511"/>
      <c r="H71" s="511"/>
      <c r="I71" s="511"/>
      <c r="J71" s="511"/>
      <c r="K71" s="31"/>
      <c r="L71" s="31"/>
    </row>
    <row r="72" spans="2:12">
      <c r="B72" s="1636" t="s">
        <v>764</v>
      </c>
      <c r="C72" s="1637"/>
      <c r="D72" s="1637"/>
      <c r="E72" s="1637"/>
      <c r="F72" s="1637"/>
      <c r="G72" s="1607"/>
      <c r="H72" s="1607"/>
      <c r="I72" s="1607"/>
      <c r="J72" s="1607"/>
      <c r="K72" s="1607"/>
      <c r="L72" s="1608"/>
    </row>
    <row r="73" spans="2:12" ht="15.75" thickBot="1">
      <c r="B73" s="1625" t="s">
        <v>763</v>
      </c>
      <c r="C73" s="1626"/>
      <c r="D73" s="1626"/>
      <c r="E73" s="1626"/>
      <c r="F73" s="1626"/>
      <c r="G73" s="1584"/>
      <c r="H73" s="1584"/>
      <c r="I73" s="1584"/>
      <c r="J73" s="1584"/>
      <c r="K73" s="1584"/>
      <c r="L73" s="1585"/>
    </row>
    <row r="74" spans="2:12" ht="15.75" thickBot="1">
      <c r="B74" s="24"/>
      <c r="C74" s="24"/>
      <c r="D74" s="24"/>
      <c r="E74" s="24"/>
      <c r="F74" s="24"/>
      <c r="G74" s="511"/>
      <c r="H74" s="511"/>
      <c r="I74" s="511"/>
      <c r="J74" s="511"/>
      <c r="K74" s="31"/>
      <c r="L74" s="31"/>
    </row>
    <row r="75" spans="2:12" ht="15.75" thickBot="1">
      <c r="B75" s="1586" t="s">
        <v>765</v>
      </c>
      <c r="C75" s="1587"/>
      <c r="D75" s="1587"/>
      <c r="E75" s="1587"/>
      <c r="F75" s="1587"/>
      <c r="G75" s="1603"/>
      <c r="H75" s="1603"/>
      <c r="I75" s="1603"/>
      <c r="J75" s="1603"/>
      <c r="K75" s="1603"/>
      <c r="L75" s="1604"/>
    </row>
    <row r="77" spans="2:12">
      <c r="B77" s="13" t="s">
        <v>766</v>
      </c>
      <c r="C77" s="13"/>
      <c r="D77" s="13"/>
    </row>
    <row r="78" spans="2:12" ht="15.75" thickBot="1">
      <c r="B78" s="13"/>
      <c r="C78" s="13"/>
      <c r="D78" s="13"/>
    </row>
    <row r="79" spans="2:12" ht="15.75" thickBot="1">
      <c r="B79" s="1627" t="s">
        <v>767</v>
      </c>
      <c r="C79" s="1628"/>
      <c r="D79" s="1628"/>
      <c r="E79" s="1628"/>
      <c r="F79" s="1629"/>
      <c r="G79" s="1630"/>
      <c r="H79" s="1631"/>
      <c r="I79" s="1631"/>
      <c r="J79" s="1631"/>
      <c r="K79" s="1631"/>
      <c r="L79" s="1632"/>
    </row>
    <row r="80" spans="2:12" ht="15.75" thickBot="1">
      <c r="B80" s="24"/>
      <c r="C80" s="24"/>
      <c r="D80" s="24"/>
      <c r="E80" s="24"/>
      <c r="F80" s="24"/>
      <c r="G80" s="511"/>
      <c r="H80" s="511"/>
      <c r="I80" s="511"/>
      <c r="J80" s="511"/>
      <c r="K80" s="31"/>
      <c r="L80" s="31"/>
    </row>
    <row r="81" spans="1:13">
      <c r="B81" s="1633" t="s">
        <v>768</v>
      </c>
      <c r="C81" s="1634"/>
      <c r="D81" s="1634"/>
      <c r="E81" s="1634"/>
      <c r="F81" s="1635"/>
      <c r="G81" s="1607"/>
      <c r="H81" s="1607"/>
      <c r="I81" s="1607"/>
      <c r="J81" s="1607"/>
      <c r="K81" s="1607"/>
      <c r="L81" s="1608"/>
    </row>
    <row r="82" spans="1:13">
      <c r="B82" s="1526" t="s">
        <v>769</v>
      </c>
      <c r="C82" s="1527"/>
      <c r="D82" s="1527"/>
      <c r="E82" s="1527"/>
      <c r="F82" s="1527"/>
      <c r="G82" s="1580"/>
      <c r="H82" s="1580"/>
      <c r="I82" s="1580"/>
      <c r="J82" s="1580"/>
      <c r="K82" s="1580"/>
      <c r="L82" s="1581"/>
    </row>
    <row r="83" spans="1:13">
      <c r="B83" s="1526" t="s">
        <v>770</v>
      </c>
      <c r="C83" s="1527"/>
      <c r="D83" s="1527"/>
      <c r="E83" s="1527"/>
      <c r="F83" s="1527"/>
      <c r="G83" s="1580"/>
      <c r="H83" s="1580"/>
      <c r="I83" s="1580"/>
      <c r="J83" s="1580"/>
      <c r="K83" s="1580"/>
      <c r="L83" s="1581"/>
    </row>
    <row r="84" spans="1:13">
      <c r="B84" s="1526" t="s">
        <v>771</v>
      </c>
      <c r="C84" s="1527"/>
      <c r="D84" s="1527"/>
      <c r="E84" s="1527"/>
      <c r="F84" s="1527"/>
      <c r="G84" s="1580"/>
      <c r="H84" s="1580"/>
      <c r="I84" s="1580"/>
      <c r="J84" s="1580"/>
      <c r="K84" s="1580"/>
      <c r="L84" s="1581"/>
    </row>
    <row r="85" spans="1:13" ht="15.75" thickBot="1">
      <c r="B85" s="1625" t="s">
        <v>772</v>
      </c>
      <c r="C85" s="1626"/>
      <c r="D85" s="1626"/>
      <c r="E85" s="1626"/>
      <c r="F85" s="1626"/>
      <c r="G85" s="1584"/>
      <c r="H85" s="1584"/>
      <c r="I85" s="1584"/>
      <c r="J85" s="1584"/>
      <c r="K85" s="1584"/>
      <c r="L85" s="1585"/>
    </row>
    <row r="86" spans="1:13">
      <c r="B86" s="1"/>
      <c r="C86" s="1"/>
      <c r="D86" s="1"/>
      <c r="E86" s="1"/>
      <c r="F86" s="1"/>
      <c r="G86" s="1"/>
      <c r="H86" s="1"/>
      <c r="I86" s="1"/>
      <c r="J86" s="1"/>
    </row>
    <row r="87" spans="1:13">
      <c r="A87" s="510"/>
      <c r="B87" s="13" t="s">
        <v>773</v>
      </c>
      <c r="C87" s="13"/>
      <c r="D87" s="13"/>
    </row>
    <row r="88" spans="1:13" ht="15.75" thickBot="1"/>
    <row r="89" spans="1:13" ht="15.75" thickBot="1">
      <c r="B89" s="1621" t="s">
        <v>774</v>
      </c>
      <c r="C89" s="1622"/>
      <c r="D89" s="1622"/>
      <c r="E89" s="513" t="s">
        <v>775</v>
      </c>
      <c r="F89" s="1518" t="s">
        <v>776</v>
      </c>
      <c r="G89" s="1518"/>
      <c r="H89" s="1518" t="s">
        <v>777</v>
      </c>
      <c r="I89" s="1518"/>
      <c r="J89" s="1518" t="s">
        <v>898</v>
      </c>
      <c r="K89" s="1518"/>
      <c r="L89" s="1518" t="s">
        <v>899</v>
      </c>
      <c r="M89" s="1519"/>
    </row>
    <row r="90" spans="1:13">
      <c r="B90" s="1623"/>
      <c r="C90" s="1271"/>
      <c r="D90" s="1271"/>
      <c r="E90" s="530"/>
      <c r="F90" s="1624"/>
      <c r="G90" s="1624"/>
      <c r="H90" s="1624"/>
      <c r="I90" s="1624"/>
      <c r="J90" s="1520"/>
      <c r="K90" s="1520"/>
      <c r="L90" s="1520"/>
      <c r="M90" s="1521"/>
    </row>
    <row r="91" spans="1:13">
      <c r="B91" s="1619"/>
      <c r="C91" s="1248"/>
      <c r="D91" s="1248"/>
      <c r="E91" s="501"/>
      <c r="F91" s="1522"/>
      <c r="G91" s="1522"/>
      <c r="H91" s="1522"/>
      <c r="I91" s="1522"/>
      <c r="J91" s="1522"/>
      <c r="K91" s="1522"/>
      <c r="L91" s="1522"/>
      <c r="M91" s="1523"/>
    </row>
    <row r="92" spans="1:13">
      <c r="B92" s="1619"/>
      <c r="C92" s="1248"/>
      <c r="D92" s="1248"/>
      <c r="E92" s="501"/>
      <c r="F92" s="1522"/>
      <c r="G92" s="1522"/>
      <c r="H92" s="1522"/>
      <c r="I92" s="1522"/>
      <c r="J92" s="1522"/>
      <c r="K92" s="1522"/>
      <c r="L92" s="1522"/>
      <c r="M92" s="1523"/>
    </row>
    <row r="93" spans="1:13">
      <c r="B93" s="1619"/>
      <c r="C93" s="1248"/>
      <c r="D93" s="1248"/>
      <c r="E93" s="501"/>
      <c r="F93" s="1522"/>
      <c r="G93" s="1522"/>
      <c r="H93" s="1522"/>
      <c r="I93" s="1522"/>
      <c r="J93" s="1522"/>
      <c r="K93" s="1522"/>
      <c r="L93" s="1522"/>
      <c r="M93" s="1523"/>
    </row>
    <row r="94" spans="1:13">
      <c r="B94" s="1619"/>
      <c r="C94" s="1248"/>
      <c r="D94" s="1248"/>
      <c r="E94" s="501"/>
      <c r="F94" s="1522"/>
      <c r="G94" s="1522"/>
      <c r="H94" s="1522"/>
      <c r="I94" s="1522"/>
      <c r="J94" s="1522"/>
      <c r="K94" s="1522"/>
      <c r="L94" s="1522"/>
      <c r="M94" s="1523"/>
    </row>
    <row r="95" spans="1:13">
      <c r="B95" s="1619"/>
      <c r="C95" s="1248"/>
      <c r="D95" s="1248"/>
      <c r="E95" s="501"/>
      <c r="F95" s="1522"/>
      <c r="G95" s="1522"/>
      <c r="H95" s="1522"/>
      <c r="I95" s="1522"/>
      <c r="J95" s="1522"/>
      <c r="K95" s="1522"/>
      <c r="L95" s="1522"/>
      <c r="M95" s="1523"/>
    </row>
    <row r="96" spans="1:13" ht="15.75" thickBot="1">
      <c r="B96" s="1620"/>
      <c r="C96" s="1258"/>
      <c r="D96" s="1258"/>
      <c r="E96" s="531"/>
      <c r="F96" s="1524"/>
      <c r="G96" s="1524"/>
      <c r="H96" s="1524"/>
      <c r="I96" s="1524"/>
      <c r="J96" s="1524"/>
      <c r="K96" s="1524"/>
      <c r="L96" s="1524"/>
      <c r="M96" s="1525"/>
    </row>
    <row r="98" spans="1:16">
      <c r="B98" s="13" t="s">
        <v>778</v>
      </c>
      <c r="C98" s="13"/>
      <c r="D98" s="13"/>
    </row>
    <row r="99" spans="1:16" ht="15.75" thickBot="1"/>
    <row r="100" spans="1:16" ht="15.75" thickBot="1">
      <c r="B100" s="1609" t="s">
        <v>775</v>
      </c>
      <c r="C100" s="1610"/>
      <c r="D100" s="1611" t="s">
        <v>338</v>
      </c>
      <c r="E100" s="1612"/>
    </row>
    <row r="101" spans="1:16">
      <c r="B101" s="1613" t="s">
        <v>779</v>
      </c>
      <c r="C101" s="1614"/>
      <c r="D101" s="1615"/>
      <c r="E101" s="1616"/>
    </row>
    <row r="102" spans="1:16">
      <c r="B102" s="1617" t="s">
        <v>780</v>
      </c>
      <c r="C102" s="1618"/>
      <c r="D102" s="1593"/>
      <c r="E102" s="1595"/>
    </row>
    <row r="103" spans="1:16" ht="15.75" thickBot="1">
      <c r="B103" s="1596" t="s">
        <v>781</v>
      </c>
      <c r="C103" s="1597"/>
      <c r="D103" s="1598"/>
      <c r="E103" s="1599"/>
    </row>
    <row r="105" spans="1:16">
      <c r="A105" s="510"/>
      <c r="B105" s="13" t="s">
        <v>782</v>
      </c>
      <c r="C105" s="13"/>
      <c r="D105" s="13"/>
    </row>
    <row r="106" spans="1:16">
      <c r="A106" s="510"/>
      <c r="B106" s="13"/>
      <c r="C106" s="13"/>
      <c r="D106" s="13"/>
    </row>
    <row r="107" spans="1:16" ht="30.75" customHeight="1">
      <c r="A107" s="510"/>
      <c r="B107" s="1600" t="s">
        <v>783</v>
      </c>
      <c r="C107" s="1600"/>
      <c r="D107" s="1600"/>
      <c r="E107" s="1600"/>
      <c r="F107" s="1600"/>
      <c r="G107" s="1600"/>
      <c r="H107" s="1600"/>
      <c r="I107" s="1600"/>
      <c r="J107" s="1600"/>
      <c r="K107" s="1600"/>
      <c r="L107" s="1600"/>
      <c r="M107" s="7"/>
      <c r="N107" s="7"/>
      <c r="O107" s="7"/>
      <c r="P107" s="7"/>
    </row>
    <row r="108" spans="1:16" ht="15.75" thickBot="1">
      <c r="A108" s="510"/>
      <c r="B108" s="102"/>
      <c r="C108" s="102"/>
      <c r="D108" s="102"/>
      <c r="E108" s="102"/>
      <c r="F108" s="102"/>
      <c r="G108" s="102"/>
      <c r="H108" s="102"/>
      <c r="I108" s="102"/>
      <c r="J108" s="102"/>
      <c r="K108" s="102"/>
      <c r="L108" s="102"/>
      <c r="M108" s="102"/>
      <c r="N108" s="102"/>
      <c r="O108" s="102"/>
      <c r="P108" s="102"/>
    </row>
    <row r="109" spans="1:16" ht="15.75" thickBot="1">
      <c r="A109" s="510"/>
      <c r="B109" s="1601" t="s">
        <v>784</v>
      </c>
      <c r="C109" s="1602"/>
      <c r="D109" s="1602"/>
      <c r="E109" s="1602"/>
      <c r="F109" s="1602"/>
      <c r="G109" s="1603"/>
      <c r="H109" s="1603"/>
      <c r="I109" s="1603"/>
      <c r="J109" s="1603"/>
      <c r="K109" s="1603"/>
      <c r="L109" s="1604"/>
      <c r="M109" s="102"/>
      <c r="N109" s="102"/>
      <c r="O109" s="102"/>
      <c r="P109" s="102"/>
    </row>
    <row r="110" spans="1:16" ht="15.75" thickBot="1">
      <c r="B110" s="24"/>
      <c r="C110" s="24"/>
      <c r="D110" s="24"/>
      <c r="E110" s="24"/>
      <c r="F110" s="24"/>
      <c r="G110" s="511"/>
      <c r="H110" s="511"/>
      <c r="I110" s="511"/>
      <c r="J110" s="511"/>
      <c r="K110" s="511"/>
      <c r="L110" s="511"/>
      <c r="M110" s="1"/>
      <c r="N110" s="1"/>
      <c r="O110" s="1"/>
      <c r="P110" s="1"/>
    </row>
    <row r="111" spans="1:16">
      <c r="B111" s="1605" t="s">
        <v>785</v>
      </c>
      <c r="C111" s="1606"/>
      <c r="D111" s="1606"/>
      <c r="E111" s="1606"/>
      <c r="F111" s="1606"/>
      <c r="G111" s="1607"/>
      <c r="H111" s="1607"/>
      <c r="I111" s="1607"/>
      <c r="J111" s="1607"/>
      <c r="K111" s="1607"/>
      <c r="L111" s="1608"/>
      <c r="M111" s="1"/>
      <c r="N111" s="1"/>
      <c r="O111" s="1"/>
      <c r="P111" s="1"/>
    </row>
    <row r="112" spans="1:16">
      <c r="B112" s="1535" t="s">
        <v>786</v>
      </c>
      <c r="C112" s="1536"/>
      <c r="D112" s="1536"/>
      <c r="E112" s="1536"/>
      <c r="F112" s="1536"/>
      <c r="G112" s="1580"/>
      <c r="H112" s="1580"/>
      <c r="I112" s="1580"/>
      <c r="J112" s="1580"/>
      <c r="K112" s="1580"/>
      <c r="L112" s="1581"/>
      <c r="M112" s="1"/>
      <c r="N112" s="1"/>
      <c r="O112" s="1"/>
      <c r="P112" s="1"/>
    </row>
    <row r="113" spans="1:16" ht="30.75" customHeight="1">
      <c r="B113" s="1535" t="s">
        <v>787</v>
      </c>
      <c r="C113" s="1536"/>
      <c r="D113" s="1536"/>
      <c r="E113" s="1536"/>
      <c r="F113" s="1536"/>
      <c r="G113" s="1580"/>
      <c r="H113" s="1580"/>
      <c r="I113" s="1580"/>
      <c r="J113" s="1580"/>
      <c r="K113" s="1580"/>
      <c r="L113" s="1581"/>
      <c r="M113" s="1"/>
      <c r="N113" s="1"/>
      <c r="O113" s="1"/>
      <c r="P113" s="1"/>
    </row>
    <row r="114" spans="1:16" ht="30.75" customHeight="1">
      <c r="B114" s="1535" t="s">
        <v>788</v>
      </c>
      <c r="C114" s="1536"/>
      <c r="D114" s="1536"/>
      <c r="E114" s="1536"/>
      <c r="F114" s="1536"/>
      <c r="G114" s="1580"/>
      <c r="H114" s="1580"/>
      <c r="I114" s="1580"/>
      <c r="J114" s="1580"/>
      <c r="K114" s="1580"/>
      <c r="L114" s="1581"/>
      <c r="M114" s="1"/>
      <c r="N114" s="1"/>
      <c r="O114" s="1"/>
      <c r="P114" s="1"/>
    </row>
    <row r="115" spans="1:16" ht="30.75" customHeight="1">
      <c r="B115" s="1590" t="s">
        <v>913</v>
      </c>
      <c r="C115" s="1591"/>
      <c r="D115" s="1591"/>
      <c r="E115" s="1591"/>
      <c r="F115" s="1592"/>
      <c r="G115" s="1593"/>
      <c r="H115" s="1594"/>
      <c r="I115" s="1594"/>
      <c r="J115" s="1594"/>
      <c r="K115" s="1594"/>
      <c r="L115" s="1595"/>
      <c r="M115" s="1"/>
      <c r="N115" s="1"/>
      <c r="O115" s="1"/>
      <c r="P115" s="1"/>
    </row>
    <row r="116" spans="1:16" ht="30.75" customHeight="1">
      <c r="B116" s="1535" t="s">
        <v>789</v>
      </c>
      <c r="C116" s="1536"/>
      <c r="D116" s="1536"/>
      <c r="E116" s="1536"/>
      <c r="F116" s="1536"/>
      <c r="G116" s="1580"/>
      <c r="H116" s="1580"/>
      <c r="I116" s="1580"/>
      <c r="J116" s="1580"/>
      <c r="K116" s="1580"/>
      <c r="L116" s="1581"/>
      <c r="M116" s="1"/>
      <c r="N116" s="1"/>
      <c r="O116" s="1"/>
      <c r="P116" s="1"/>
    </row>
    <row r="117" spans="1:16" ht="31.5" customHeight="1" thickBot="1">
      <c r="B117" s="1582" t="s">
        <v>790</v>
      </c>
      <c r="C117" s="1583"/>
      <c r="D117" s="1583"/>
      <c r="E117" s="1583"/>
      <c r="F117" s="1583"/>
      <c r="G117" s="1584"/>
      <c r="H117" s="1584"/>
      <c r="I117" s="1584"/>
      <c r="J117" s="1584"/>
      <c r="K117" s="1584"/>
      <c r="L117" s="1585"/>
      <c r="M117" s="1"/>
      <c r="N117" s="1"/>
      <c r="O117" s="1"/>
      <c r="P117" s="1"/>
    </row>
    <row r="119" spans="1:16">
      <c r="A119" s="510"/>
      <c r="B119" s="514" t="s">
        <v>278</v>
      </c>
      <c r="C119" s="1"/>
      <c r="D119" s="1"/>
      <c r="E119" s="1"/>
      <c r="F119" s="1"/>
      <c r="G119" s="1"/>
      <c r="H119" s="1"/>
      <c r="I119" s="1"/>
      <c r="J119" s="1"/>
      <c r="K119" s="1"/>
    </row>
    <row r="120" spans="1:16" ht="15.75" thickBot="1">
      <c r="B120" s="1"/>
      <c r="C120" s="1"/>
      <c r="D120" s="1"/>
      <c r="E120" s="1"/>
      <c r="F120" s="1"/>
      <c r="G120" s="1"/>
      <c r="H120" s="1"/>
      <c r="I120" s="1"/>
      <c r="J120" s="1"/>
      <c r="K120" s="1"/>
    </row>
    <row r="121" spans="1:16" ht="15.75" thickBot="1">
      <c r="B121" s="1586" t="s">
        <v>791</v>
      </c>
      <c r="C121" s="1587"/>
      <c r="D121" s="1587"/>
      <c r="E121" s="1587"/>
      <c r="F121" s="1587"/>
      <c r="G121" s="1588"/>
      <c r="H121" s="1588"/>
      <c r="I121" s="1588"/>
      <c r="J121" s="1588"/>
      <c r="K121" s="1588"/>
      <c r="L121" s="1589"/>
    </row>
    <row r="122" spans="1:16">
      <c r="B122" s="24"/>
      <c r="C122" s="24"/>
      <c r="D122" s="24"/>
      <c r="E122" s="24"/>
      <c r="F122" s="24"/>
      <c r="G122" s="511"/>
      <c r="H122" s="511"/>
      <c r="I122" s="511"/>
      <c r="J122" s="31"/>
      <c r="K122" s="31"/>
      <c r="L122" s="31"/>
    </row>
    <row r="123" spans="1:16">
      <c r="B123" s="2" t="s">
        <v>792</v>
      </c>
      <c r="C123" s="2"/>
      <c r="D123" s="1"/>
      <c r="E123" s="1"/>
      <c r="H123" s="1"/>
      <c r="I123" s="2" t="s">
        <v>793</v>
      </c>
      <c r="J123" s="1"/>
      <c r="K123" s="1"/>
      <c r="L123" s="1"/>
    </row>
    <row r="124" spans="1:16" ht="15.75" thickBot="1">
      <c r="B124" s="2"/>
      <c r="C124" s="2"/>
      <c r="D124" s="1"/>
      <c r="E124" s="1"/>
      <c r="F124" s="515"/>
      <c r="H124" s="1"/>
      <c r="I124" s="1"/>
      <c r="J124" s="1"/>
      <c r="K124" s="1"/>
      <c r="L124" s="1"/>
    </row>
    <row r="125" spans="1:16" ht="15.75" customHeight="1" thickBot="1">
      <c r="B125" s="1567" t="s">
        <v>277</v>
      </c>
      <c r="C125" s="1568"/>
      <c r="D125" s="1568"/>
      <c r="E125" s="1568"/>
      <c r="F125" s="1568"/>
      <c r="G125" s="1569"/>
      <c r="H125" s="1"/>
      <c r="I125" s="1567" t="s">
        <v>138</v>
      </c>
      <c r="J125" s="1568"/>
      <c r="K125" s="1568"/>
      <c r="L125" s="1568"/>
      <c r="M125" s="1570" t="s">
        <v>139</v>
      </c>
      <c r="N125" s="1571"/>
      <c r="O125" s="1572"/>
    </row>
    <row r="126" spans="1:16">
      <c r="B126" s="1573"/>
      <c r="C126" s="1574"/>
      <c r="D126" s="1574"/>
      <c r="E126" s="1574"/>
      <c r="F126" s="1574"/>
      <c r="G126" s="1575"/>
      <c r="H126" s="1"/>
      <c r="I126" s="1576"/>
      <c r="J126" s="1577"/>
      <c r="K126" s="1577"/>
      <c r="L126" s="1577"/>
      <c r="M126" s="1578"/>
      <c r="N126" s="1578"/>
      <c r="O126" s="1579"/>
    </row>
    <row r="127" spans="1:16" ht="15" customHeight="1">
      <c r="B127" s="1541" t="s">
        <v>794</v>
      </c>
      <c r="C127" s="1542"/>
      <c r="D127" s="1542"/>
      <c r="E127" s="1542"/>
      <c r="F127" s="1542"/>
      <c r="G127" s="1543"/>
      <c r="H127" s="1"/>
      <c r="I127" s="1563"/>
      <c r="J127" s="1564"/>
      <c r="K127" s="1564"/>
      <c r="L127" s="1564"/>
      <c r="M127" s="1565"/>
      <c r="N127" s="1565"/>
      <c r="O127" s="1566"/>
    </row>
    <row r="128" spans="1:16">
      <c r="B128" s="1535" t="s">
        <v>795</v>
      </c>
      <c r="C128" s="1536"/>
      <c r="D128" s="1536"/>
      <c r="E128" s="1536"/>
      <c r="F128" s="1536"/>
      <c r="G128" s="1537"/>
      <c r="H128" s="516"/>
      <c r="I128" s="1563"/>
      <c r="J128" s="1564"/>
      <c r="K128" s="1564"/>
      <c r="L128" s="1564"/>
      <c r="M128" s="1565"/>
      <c r="N128" s="1565"/>
      <c r="O128" s="1566"/>
    </row>
    <row r="129" spans="2:15">
      <c r="B129" s="1535" t="s">
        <v>796</v>
      </c>
      <c r="C129" s="1536"/>
      <c r="D129" s="1536"/>
      <c r="E129" s="1536"/>
      <c r="F129" s="1536"/>
      <c r="G129" s="1537"/>
      <c r="H129" s="1"/>
      <c r="I129" s="1563"/>
      <c r="J129" s="1564"/>
      <c r="K129" s="1564"/>
      <c r="L129" s="1564"/>
      <c r="M129" s="1565"/>
      <c r="N129" s="1565"/>
      <c r="O129" s="1566"/>
    </row>
    <row r="130" spans="2:15">
      <c r="B130" s="1535" t="s">
        <v>797</v>
      </c>
      <c r="C130" s="1536"/>
      <c r="D130" s="1536"/>
      <c r="E130" s="1536"/>
      <c r="F130" s="1536"/>
      <c r="G130" s="1537"/>
      <c r="H130" s="1"/>
      <c r="I130" s="1563"/>
      <c r="J130" s="1564"/>
      <c r="K130" s="1564"/>
      <c r="L130" s="1564"/>
      <c r="M130" s="1565"/>
      <c r="N130" s="1565"/>
      <c r="O130" s="1566"/>
    </row>
    <row r="131" spans="2:15">
      <c r="B131" s="1535" t="s">
        <v>240</v>
      </c>
      <c r="C131" s="1536"/>
      <c r="D131" s="1536"/>
      <c r="E131" s="1536"/>
      <c r="F131" s="1536"/>
      <c r="G131" s="1537"/>
      <c r="H131" s="1"/>
      <c r="I131" s="1563"/>
      <c r="J131" s="1564"/>
      <c r="K131" s="1564"/>
      <c r="L131" s="1564"/>
      <c r="M131" s="1565"/>
      <c r="N131" s="1565"/>
      <c r="O131" s="1566"/>
    </row>
    <row r="132" spans="2:15">
      <c r="B132" s="1535" t="s">
        <v>798</v>
      </c>
      <c r="C132" s="1536"/>
      <c r="D132" s="1536"/>
      <c r="E132" s="1536"/>
      <c r="F132" s="1536"/>
      <c r="G132" s="1537"/>
      <c r="H132" s="1"/>
      <c r="I132" s="1563"/>
      <c r="J132" s="1564"/>
      <c r="K132" s="1564"/>
      <c r="L132" s="1564"/>
      <c r="M132" s="1565"/>
      <c r="N132" s="1565"/>
      <c r="O132" s="1566"/>
    </row>
    <row r="133" spans="2:15">
      <c r="B133" s="1535" t="s">
        <v>93</v>
      </c>
      <c r="C133" s="1536"/>
      <c r="D133" s="1536"/>
      <c r="E133" s="1536"/>
      <c r="F133" s="1536"/>
      <c r="G133" s="1537"/>
      <c r="H133" s="1"/>
      <c r="I133" s="1563"/>
      <c r="J133" s="1564"/>
      <c r="K133" s="1564"/>
      <c r="L133" s="1564"/>
      <c r="M133" s="1565"/>
      <c r="N133" s="1565"/>
      <c r="O133" s="1566"/>
    </row>
    <row r="134" spans="2:15">
      <c r="B134" s="1535" t="s">
        <v>313</v>
      </c>
      <c r="C134" s="1536"/>
      <c r="D134" s="1536"/>
      <c r="E134" s="1536"/>
      <c r="F134" s="1536"/>
      <c r="G134" s="1537"/>
      <c r="H134" s="1"/>
      <c r="I134" s="1563"/>
      <c r="J134" s="1564"/>
      <c r="K134" s="1564"/>
      <c r="L134" s="1564"/>
      <c r="M134" s="1565"/>
      <c r="N134" s="1565"/>
      <c r="O134" s="1566"/>
    </row>
    <row r="135" spans="2:15">
      <c r="B135" s="1535" t="s">
        <v>799</v>
      </c>
      <c r="C135" s="1536"/>
      <c r="D135" s="1536"/>
      <c r="E135" s="1536"/>
      <c r="F135" s="1536"/>
      <c r="G135" s="1537"/>
      <c r="H135" s="1"/>
      <c r="I135" s="1563"/>
      <c r="J135" s="1564"/>
      <c r="K135" s="1564"/>
      <c r="L135" s="1564"/>
      <c r="M135" s="1565"/>
      <c r="N135" s="1565"/>
      <c r="O135" s="1566"/>
    </row>
    <row r="136" spans="2:15">
      <c r="B136" s="1535" t="s">
        <v>800</v>
      </c>
      <c r="C136" s="1536"/>
      <c r="D136" s="1536"/>
      <c r="E136" s="1536"/>
      <c r="F136" s="1536"/>
      <c r="G136" s="1537"/>
      <c r="H136" s="1"/>
      <c r="I136" s="1563"/>
      <c r="J136" s="1564"/>
      <c r="K136" s="1564"/>
      <c r="L136" s="1564"/>
      <c r="M136" s="1565"/>
      <c r="N136" s="1565"/>
      <c r="O136" s="1566"/>
    </row>
    <row r="137" spans="2:15">
      <c r="B137" s="1535" t="s">
        <v>801</v>
      </c>
      <c r="C137" s="1536"/>
      <c r="D137" s="1536"/>
      <c r="E137" s="1536"/>
      <c r="F137" s="1536"/>
      <c r="G137" s="1537"/>
      <c r="H137" s="1"/>
      <c r="I137" s="1563"/>
      <c r="J137" s="1564"/>
      <c r="K137" s="1564"/>
      <c r="L137" s="1564"/>
      <c r="M137" s="1565"/>
      <c r="N137" s="1565"/>
      <c r="O137" s="1566"/>
    </row>
    <row r="138" spans="2:15">
      <c r="B138" s="1535" t="s">
        <v>250</v>
      </c>
      <c r="C138" s="1536"/>
      <c r="D138" s="1536"/>
      <c r="E138" s="1536"/>
      <c r="F138" s="1536"/>
      <c r="G138" s="1537"/>
      <c r="H138" s="1"/>
      <c r="I138" s="1563"/>
      <c r="J138" s="1564"/>
      <c r="K138" s="1564"/>
      <c r="L138" s="1564"/>
      <c r="M138" s="1565"/>
      <c r="N138" s="1565"/>
      <c r="O138" s="1566"/>
    </row>
    <row r="139" spans="2:15">
      <c r="B139" s="1535" t="s">
        <v>242</v>
      </c>
      <c r="C139" s="1536"/>
      <c r="D139" s="1536"/>
      <c r="E139" s="1536"/>
      <c r="F139" s="1536"/>
      <c r="G139" s="1537"/>
      <c r="H139" s="1"/>
      <c r="I139" s="1563"/>
      <c r="J139" s="1564"/>
      <c r="K139" s="1564"/>
      <c r="L139" s="1564"/>
      <c r="M139" s="1565"/>
      <c r="N139" s="1565"/>
      <c r="O139" s="1566"/>
    </row>
    <row r="140" spans="2:15">
      <c r="B140" s="1535" t="s">
        <v>243</v>
      </c>
      <c r="C140" s="1536"/>
      <c r="D140" s="1536"/>
      <c r="E140" s="1536"/>
      <c r="F140" s="1536"/>
      <c r="G140" s="1537"/>
      <c r="H140" s="1"/>
      <c r="I140" s="1563"/>
      <c r="J140" s="1564"/>
      <c r="K140" s="1564"/>
      <c r="L140" s="1564"/>
      <c r="M140" s="1565"/>
      <c r="N140" s="1565"/>
      <c r="O140" s="1566"/>
    </row>
    <row r="141" spans="2:15">
      <c r="B141" s="1535" t="s">
        <v>244</v>
      </c>
      <c r="C141" s="1536"/>
      <c r="D141" s="1536"/>
      <c r="E141" s="1536"/>
      <c r="F141" s="1536"/>
      <c r="G141" s="1537"/>
      <c r="H141" s="1"/>
      <c r="I141" s="1563"/>
      <c r="J141" s="1564"/>
      <c r="K141" s="1564"/>
      <c r="L141" s="1564"/>
      <c r="M141" s="1565"/>
      <c r="N141" s="1565"/>
      <c r="O141" s="1566"/>
    </row>
    <row r="142" spans="2:15">
      <c r="B142" s="1535" t="s">
        <v>245</v>
      </c>
      <c r="C142" s="1536"/>
      <c r="D142" s="1536"/>
      <c r="E142" s="1536"/>
      <c r="F142" s="1536"/>
      <c r="G142" s="1537"/>
      <c r="H142" s="1"/>
      <c r="I142" s="1563"/>
      <c r="J142" s="1564"/>
      <c r="K142" s="1564"/>
      <c r="L142" s="1564"/>
      <c r="M142" s="1565"/>
      <c r="N142" s="1565"/>
      <c r="O142" s="1566"/>
    </row>
    <row r="143" spans="2:15">
      <c r="B143" s="1535" t="s">
        <v>246</v>
      </c>
      <c r="C143" s="1536"/>
      <c r="D143" s="1536"/>
      <c r="E143" s="1536"/>
      <c r="F143" s="1536"/>
      <c r="G143" s="1537"/>
      <c r="H143" s="1"/>
      <c r="I143" s="1563"/>
      <c r="J143" s="1564"/>
      <c r="K143" s="1564"/>
      <c r="L143" s="1564"/>
      <c r="M143" s="1565"/>
      <c r="N143" s="1565"/>
      <c r="O143" s="1566"/>
    </row>
    <row r="144" spans="2:15">
      <c r="B144" s="1535" t="s">
        <v>802</v>
      </c>
      <c r="C144" s="1536"/>
      <c r="D144" s="1536"/>
      <c r="E144" s="1536"/>
      <c r="F144" s="1536"/>
      <c r="G144" s="1537"/>
      <c r="H144" s="1"/>
      <c r="I144" s="1563"/>
      <c r="J144" s="1564"/>
      <c r="K144" s="1564"/>
      <c r="L144" s="1564"/>
      <c r="M144" s="1565"/>
      <c r="N144" s="1565"/>
      <c r="O144" s="1566"/>
    </row>
    <row r="145" spans="2:15">
      <c r="B145" s="1535" t="s">
        <v>803</v>
      </c>
      <c r="C145" s="1536"/>
      <c r="D145" s="1536"/>
      <c r="E145" s="1536"/>
      <c r="F145" s="1536"/>
      <c r="G145" s="1537"/>
      <c r="H145" s="1"/>
      <c r="I145" s="1563"/>
      <c r="J145" s="1564"/>
      <c r="K145" s="1564"/>
      <c r="L145" s="1564"/>
      <c r="M145" s="1565"/>
      <c r="N145" s="1565"/>
      <c r="O145" s="1566"/>
    </row>
    <row r="146" spans="2:15">
      <c r="B146" s="1535" t="s">
        <v>804</v>
      </c>
      <c r="C146" s="1536"/>
      <c r="D146" s="1536"/>
      <c r="E146" s="1536"/>
      <c r="F146" s="1536"/>
      <c r="G146" s="1537"/>
      <c r="H146" s="1"/>
      <c r="I146" s="1563"/>
      <c r="J146" s="1564"/>
      <c r="K146" s="1564"/>
      <c r="L146" s="1564"/>
      <c r="M146" s="1565"/>
      <c r="N146" s="1565"/>
      <c r="O146" s="1566"/>
    </row>
    <row r="147" spans="2:15">
      <c r="B147" s="1535" t="s">
        <v>805</v>
      </c>
      <c r="C147" s="1536"/>
      <c r="D147" s="1536"/>
      <c r="E147" s="1536"/>
      <c r="F147" s="1536"/>
      <c r="G147" s="1537"/>
      <c r="H147" s="1"/>
      <c r="I147" s="1563"/>
      <c r="J147" s="1564"/>
      <c r="K147" s="1564"/>
      <c r="L147" s="1564"/>
      <c r="M147" s="1565"/>
      <c r="N147" s="1565"/>
      <c r="O147" s="1566"/>
    </row>
    <row r="148" spans="2:15">
      <c r="B148" s="1535" t="s">
        <v>806</v>
      </c>
      <c r="C148" s="1536"/>
      <c r="D148" s="1536"/>
      <c r="E148" s="1536"/>
      <c r="F148" s="1536"/>
      <c r="G148" s="1537"/>
      <c r="H148" s="1"/>
      <c r="I148" s="1563"/>
      <c r="J148" s="1564"/>
      <c r="K148" s="1564"/>
      <c r="L148" s="1564"/>
      <c r="M148" s="1565"/>
      <c r="N148" s="1565"/>
      <c r="O148" s="1566"/>
    </row>
    <row r="149" spans="2:15" ht="15.75" thickBot="1">
      <c r="B149" s="1535" t="s">
        <v>807</v>
      </c>
      <c r="C149" s="1536"/>
      <c r="D149" s="1536"/>
      <c r="E149" s="1536"/>
      <c r="F149" s="1536"/>
      <c r="G149" s="1537"/>
      <c r="H149" s="1"/>
      <c r="I149" s="1559"/>
      <c r="J149" s="1560"/>
      <c r="K149" s="1560"/>
      <c r="L149" s="1560"/>
      <c r="M149" s="1561"/>
      <c r="N149" s="1561"/>
      <c r="O149" s="1562"/>
    </row>
    <row r="150" spans="2:15">
      <c r="B150" s="1535" t="s">
        <v>808</v>
      </c>
      <c r="C150" s="1536"/>
      <c r="D150" s="1536"/>
      <c r="E150" s="1536"/>
      <c r="F150" s="1536"/>
      <c r="G150" s="1537"/>
      <c r="H150" s="1"/>
      <c r="I150" s="1547"/>
      <c r="J150" s="1547"/>
      <c r="K150" s="1547"/>
      <c r="L150" s="1547"/>
      <c r="M150" s="1548"/>
      <c r="N150" s="1548"/>
      <c r="O150" s="1548"/>
    </row>
    <row r="151" spans="2:15">
      <c r="B151" s="1535" t="s">
        <v>809</v>
      </c>
      <c r="C151" s="1536"/>
      <c r="D151" s="1536"/>
      <c r="E151" s="1536"/>
      <c r="F151" s="1536"/>
      <c r="G151" s="1537"/>
      <c r="H151" s="1"/>
      <c r="I151" s="1547"/>
      <c r="J151" s="1547"/>
      <c r="K151" s="1547"/>
      <c r="L151" s="1547"/>
      <c r="M151" s="1548"/>
      <c r="N151" s="1548"/>
      <c r="O151" s="1548"/>
    </row>
    <row r="152" spans="2:15">
      <c r="B152" s="1535" t="s">
        <v>810</v>
      </c>
      <c r="C152" s="1536"/>
      <c r="D152" s="1536"/>
      <c r="E152" s="1536"/>
      <c r="F152" s="1536"/>
      <c r="G152" s="1537"/>
      <c r="H152" s="1"/>
      <c r="I152" s="1558" t="s">
        <v>130</v>
      </c>
      <c r="J152" s="1558"/>
      <c r="K152" s="1558"/>
      <c r="L152" s="1558"/>
      <c r="M152" s="1548"/>
      <c r="N152" s="1548"/>
      <c r="O152" s="1548"/>
    </row>
    <row r="153" spans="2:15" ht="15.75" thickBot="1">
      <c r="B153" s="1535"/>
      <c r="C153" s="1536"/>
      <c r="D153" s="1536"/>
      <c r="E153" s="1536"/>
      <c r="F153" s="1536"/>
      <c r="G153" s="1537"/>
      <c r="H153" s="1"/>
      <c r="I153" s="1547"/>
      <c r="J153" s="1547"/>
      <c r="K153" s="1547"/>
      <c r="L153" s="1547"/>
      <c r="M153" s="1548"/>
      <c r="N153" s="1548"/>
      <c r="O153" s="1548"/>
    </row>
    <row r="154" spans="2:15">
      <c r="B154" s="1541" t="s">
        <v>811</v>
      </c>
      <c r="C154" s="1542"/>
      <c r="D154" s="1542"/>
      <c r="E154" s="1542"/>
      <c r="F154" s="1542"/>
      <c r="G154" s="1543"/>
      <c r="H154" s="1"/>
      <c r="I154" s="1549"/>
      <c r="J154" s="1550"/>
      <c r="K154" s="1550"/>
      <c r="L154" s="1550"/>
      <c r="M154" s="1550"/>
      <c r="N154" s="1550"/>
      <c r="O154" s="1551"/>
    </row>
    <row r="155" spans="2:15" ht="15" customHeight="1">
      <c r="B155" s="1535" t="s">
        <v>812</v>
      </c>
      <c r="C155" s="1536"/>
      <c r="D155" s="1536"/>
      <c r="E155" s="1536"/>
      <c r="F155" s="1536"/>
      <c r="G155" s="1537"/>
      <c r="H155" s="1"/>
      <c r="I155" s="1552"/>
      <c r="J155" s="1553"/>
      <c r="K155" s="1553"/>
      <c r="L155" s="1553"/>
      <c r="M155" s="1553"/>
      <c r="N155" s="1553"/>
      <c r="O155" s="1554"/>
    </row>
    <row r="156" spans="2:15" ht="15" customHeight="1">
      <c r="B156" s="1535" t="s">
        <v>813</v>
      </c>
      <c r="C156" s="1536"/>
      <c r="D156" s="1536"/>
      <c r="E156" s="1536"/>
      <c r="F156" s="1536"/>
      <c r="G156" s="1537"/>
      <c r="H156" s="1"/>
      <c r="I156" s="1552"/>
      <c r="J156" s="1553"/>
      <c r="K156" s="1553"/>
      <c r="L156" s="1553"/>
      <c r="M156" s="1553"/>
      <c r="N156" s="1553"/>
      <c r="O156" s="1554"/>
    </row>
    <row r="157" spans="2:15" ht="15" customHeight="1">
      <c r="B157" s="1535"/>
      <c r="C157" s="1536"/>
      <c r="D157" s="1536"/>
      <c r="E157" s="1536"/>
      <c r="F157" s="1536"/>
      <c r="G157" s="1537"/>
      <c r="H157" s="1"/>
      <c r="I157" s="1552"/>
      <c r="J157" s="1553"/>
      <c r="K157" s="1553"/>
      <c r="L157" s="1553"/>
      <c r="M157" s="1553"/>
      <c r="N157" s="1553"/>
      <c r="O157" s="1554"/>
    </row>
    <row r="158" spans="2:15" ht="15" customHeight="1">
      <c r="B158" s="1541" t="s">
        <v>814</v>
      </c>
      <c r="C158" s="1542"/>
      <c r="D158" s="1542"/>
      <c r="E158" s="1542"/>
      <c r="F158" s="1542"/>
      <c r="G158" s="1543"/>
      <c r="H158" s="1"/>
      <c r="I158" s="1552"/>
      <c r="J158" s="1553"/>
      <c r="K158" s="1553"/>
      <c r="L158" s="1553"/>
      <c r="M158" s="1553"/>
      <c r="N158" s="1553"/>
      <c r="O158" s="1554"/>
    </row>
    <row r="159" spans="2:15" ht="15" customHeight="1">
      <c r="B159" s="1535" t="s">
        <v>815</v>
      </c>
      <c r="C159" s="1536"/>
      <c r="D159" s="1536"/>
      <c r="E159" s="1536"/>
      <c r="F159" s="1536"/>
      <c r="G159" s="1537"/>
      <c r="H159" s="1"/>
      <c r="I159" s="1552"/>
      <c r="J159" s="1553"/>
      <c r="K159" s="1553"/>
      <c r="L159" s="1553"/>
      <c r="M159" s="1553"/>
      <c r="N159" s="1553"/>
      <c r="O159" s="1554"/>
    </row>
    <row r="160" spans="2:15" ht="15" customHeight="1">
      <c r="B160" s="1535" t="s">
        <v>816</v>
      </c>
      <c r="C160" s="1536"/>
      <c r="D160" s="1536"/>
      <c r="E160" s="1536"/>
      <c r="F160" s="1536"/>
      <c r="G160" s="1537"/>
      <c r="H160" s="1"/>
      <c r="I160" s="1552"/>
      <c r="J160" s="1553"/>
      <c r="K160" s="1553"/>
      <c r="L160" s="1553"/>
      <c r="M160" s="1553"/>
      <c r="N160" s="1553"/>
      <c r="O160" s="1554"/>
    </row>
    <row r="161" spans="2:15">
      <c r="B161" s="1535" t="s">
        <v>5</v>
      </c>
      <c r="C161" s="1536"/>
      <c r="D161" s="1536"/>
      <c r="E161" s="1536"/>
      <c r="F161" s="1536"/>
      <c r="G161" s="1537"/>
      <c r="H161" s="1"/>
      <c r="I161" s="1552"/>
      <c r="J161" s="1553"/>
      <c r="K161" s="1553"/>
      <c r="L161" s="1553"/>
      <c r="M161" s="1553"/>
      <c r="N161" s="1553"/>
      <c r="O161" s="1554"/>
    </row>
    <row r="162" spans="2:15">
      <c r="B162" s="1541"/>
      <c r="C162" s="1542"/>
      <c r="D162" s="1542"/>
      <c r="E162" s="1542"/>
      <c r="F162" s="1542"/>
      <c r="G162" s="1543"/>
      <c r="H162" s="1"/>
      <c r="I162" s="1552"/>
      <c r="J162" s="1553"/>
      <c r="K162" s="1553"/>
      <c r="L162" s="1553"/>
      <c r="M162" s="1553"/>
      <c r="N162" s="1553"/>
      <c r="O162" s="1554"/>
    </row>
    <row r="163" spans="2:15" ht="15" customHeight="1">
      <c r="B163" s="1541" t="s">
        <v>817</v>
      </c>
      <c r="C163" s="1542"/>
      <c r="D163" s="1542"/>
      <c r="E163" s="1542"/>
      <c r="F163" s="1542"/>
      <c r="G163" s="1543"/>
      <c r="H163" s="1"/>
      <c r="I163" s="1552"/>
      <c r="J163" s="1553"/>
      <c r="K163" s="1553"/>
      <c r="L163" s="1553"/>
      <c r="M163" s="1553"/>
      <c r="N163" s="1553"/>
      <c r="O163" s="1554"/>
    </row>
    <row r="164" spans="2:15" ht="15" customHeight="1">
      <c r="B164" s="1535" t="s">
        <v>818</v>
      </c>
      <c r="C164" s="1536"/>
      <c r="D164" s="1536"/>
      <c r="E164" s="1536"/>
      <c r="F164" s="1536"/>
      <c r="G164" s="1537"/>
      <c r="H164" s="1"/>
      <c r="I164" s="1552"/>
      <c r="J164" s="1553"/>
      <c r="K164" s="1553"/>
      <c r="L164" s="1553"/>
      <c r="M164" s="1553"/>
      <c r="N164" s="1553"/>
      <c r="O164" s="1554"/>
    </row>
    <row r="165" spans="2:15">
      <c r="B165" s="1535" t="s">
        <v>819</v>
      </c>
      <c r="C165" s="1536"/>
      <c r="D165" s="1536"/>
      <c r="E165" s="1536"/>
      <c r="F165" s="1536"/>
      <c r="G165" s="1537"/>
      <c r="H165" s="1"/>
      <c r="I165" s="1552"/>
      <c r="J165" s="1553"/>
      <c r="K165" s="1553"/>
      <c r="L165" s="1553"/>
      <c r="M165" s="1553"/>
      <c r="N165" s="1553"/>
      <c r="O165" s="1554"/>
    </row>
    <row r="166" spans="2:15">
      <c r="B166" s="1535"/>
      <c r="C166" s="1536"/>
      <c r="D166" s="1536"/>
      <c r="E166" s="1536"/>
      <c r="F166" s="1536"/>
      <c r="G166" s="1537"/>
      <c r="H166" s="1"/>
      <c r="I166" s="1552"/>
      <c r="J166" s="1553"/>
      <c r="K166" s="1553"/>
      <c r="L166" s="1553"/>
      <c r="M166" s="1553"/>
      <c r="N166" s="1553"/>
      <c r="O166" s="1554"/>
    </row>
    <row r="167" spans="2:15">
      <c r="B167" s="1541" t="s">
        <v>820</v>
      </c>
      <c r="C167" s="1542"/>
      <c r="D167" s="1542"/>
      <c r="E167" s="1542"/>
      <c r="F167" s="1542"/>
      <c r="G167" s="1543"/>
      <c r="H167" s="1"/>
      <c r="I167" s="1552"/>
      <c r="J167" s="1553"/>
      <c r="K167" s="1553"/>
      <c r="L167" s="1553"/>
      <c r="M167" s="1553"/>
      <c r="N167" s="1553"/>
      <c r="O167" s="1554"/>
    </row>
    <row r="168" spans="2:15">
      <c r="B168" s="1535" t="s">
        <v>5</v>
      </c>
      <c r="C168" s="1536"/>
      <c r="D168" s="1536"/>
      <c r="E168" s="1536"/>
      <c r="F168" s="1536"/>
      <c r="G168" s="1537"/>
      <c r="H168" s="1"/>
      <c r="I168" s="1552"/>
      <c r="J168" s="1553"/>
      <c r="K168" s="1553"/>
      <c r="L168" s="1553"/>
      <c r="M168" s="1553"/>
      <c r="N168" s="1553"/>
      <c r="O168" s="1554"/>
    </row>
    <row r="169" spans="2:15">
      <c r="B169" s="1535" t="s">
        <v>821</v>
      </c>
      <c r="C169" s="1536"/>
      <c r="D169" s="1536"/>
      <c r="E169" s="1536"/>
      <c r="F169" s="1536"/>
      <c r="G169" s="1537"/>
      <c r="H169" s="1"/>
      <c r="I169" s="1552"/>
      <c r="J169" s="1553"/>
      <c r="K169" s="1553"/>
      <c r="L169" s="1553"/>
      <c r="M169" s="1553"/>
      <c r="N169" s="1553"/>
      <c r="O169" s="1554"/>
    </row>
    <row r="170" spans="2:15" ht="15" customHeight="1">
      <c r="B170" s="1535" t="s">
        <v>822</v>
      </c>
      <c r="C170" s="1536"/>
      <c r="D170" s="1536"/>
      <c r="E170" s="1536"/>
      <c r="F170" s="1536"/>
      <c r="G170" s="1537"/>
      <c r="H170" s="1"/>
      <c r="I170" s="1552"/>
      <c r="J170" s="1553"/>
      <c r="K170" s="1553"/>
      <c r="L170" s="1553"/>
      <c r="M170" s="1553"/>
      <c r="N170" s="1553"/>
      <c r="O170" s="1554"/>
    </row>
    <row r="171" spans="2:15" ht="15" customHeight="1">
      <c r="B171" s="1535" t="s">
        <v>823</v>
      </c>
      <c r="C171" s="1536"/>
      <c r="D171" s="1536"/>
      <c r="E171" s="1536"/>
      <c r="F171" s="1536"/>
      <c r="G171" s="1537"/>
      <c r="H171" s="1"/>
      <c r="I171" s="1552"/>
      <c r="J171" s="1553"/>
      <c r="K171" s="1553"/>
      <c r="L171" s="1553"/>
      <c r="M171" s="1553"/>
      <c r="N171" s="1553"/>
      <c r="O171" s="1554"/>
    </row>
    <row r="172" spans="2:15" ht="15" customHeight="1">
      <c r="B172" s="1535" t="s">
        <v>142</v>
      </c>
      <c r="C172" s="1536"/>
      <c r="D172" s="1536"/>
      <c r="E172" s="1536"/>
      <c r="F172" s="1536"/>
      <c r="G172" s="1537"/>
      <c r="H172" s="517"/>
      <c r="I172" s="1552"/>
      <c r="J172" s="1553"/>
      <c r="K172" s="1553"/>
      <c r="L172" s="1553"/>
      <c r="M172" s="1553"/>
      <c r="N172" s="1553"/>
      <c r="O172" s="1554"/>
    </row>
    <row r="173" spans="2:15">
      <c r="B173" s="1538"/>
      <c r="C173" s="1539"/>
      <c r="D173" s="1539"/>
      <c r="E173" s="1539"/>
      <c r="F173" s="1539"/>
      <c r="G173" s="1540"/>
      <c r="H173" s="517"/>
      <c r="I173" s="1552"/>
      <c r="J173" s="1553"/>
      <c r="K173" s="1553"/>
      <c r="L173" s="1553"/>
      <c r="M173" s="1553"/>
      <c r="N173" s="1553"/>
      <c r="O173" s="1554"/>
    </row>
    <row r="174" spans="2:15">
      <c r="B174" s="1541" t="s">
        <v>824</v>
      </c>
      <c r="C174" s="1542"/>
      <c r="D174" s="1542"/>
      <c r="E174" s="1542"/>
      <c r="F174" s="1542"/>
      <c r="G174" s="1543"/>
      <c r="H174" s="517"/>
      <c r="I174" s="1552"/>
      <c r="J174" s="1553"/>
      <c r="K174" s="1553"/>
      <c r="L174" s="1553"/>
      <c r="M174" s="1553"/>
      <c r="N174" s="1553"/>
      <c r="O174" s="1554"/>
    </row>
    <row r="175" spans="2:15">
      <c r="B175" s="1535" t="s">
        <v>825</v>
      </c>
      <c r="C175" s="1536"/>
      <c r="D175" s="1536"/>
      <c r="E175" s="1536"/>
      <c r="F175" s="1536"/>
      <c r="G175" s="1537"/>
      <c r="H175" s="517"/>
      <c r="I175" s="1552"/>
      <c r="J175" s="1553"/>
      <c r="K175" s="1553"/>
      <c r="L175" s="1553"/>
      <c r="M175" s="1553"/>
      <c r="N175" s="1553"/>
      <c r="O175" s="1554"/>
    </row>
    <row r="176" spans="2:15">
      <c r="B176" s="1535" t="s">
        <v>826</v>
      </c>
      <c r="C176" s="1536"/>
      <c r="D176" s="1536"/>
      <c r="E176" s="1536"/>
      <c r="F176" s="1536"/>
      <c r="G176" s="1537"/>
      <c r="H176" s="517"/>
      <c r="I176" s="1552"/>
      <c r="J176" s="1553"/>
      <c r="K176" s="1553"/>
      <c r="L176" s="1553"/>
      <c r="M176" s="1553"/>
      <c r="N176" s="1553"/>
      <c r="O176" s="1554"/>
    </row>
    <row r="177" spans="2:15">
      <c r="B177" s="1535" t="s">
        <v>825</v>
      </c>
      <c r="C177" s="1536"/>
      <c r="D177" s="1536"/>
      <c r="E177" s="1536"/>
      <c r="F177" s="1536"/>
      <c r="G177" s="1537"/>
      <c r="H177" s="517"/>
      <c r="I177" s="1552"/>
      <c r="J177" s="1553"/>
      <c r="K177" s="1553"/>
      <c r="L177" s="1553"/>
      <c r="M177" s="1553"/>
      <c r="N177" s="1553"/>
      <c r="O177" s="1554"/>
    </row>
    <row r="178" spans="2:15">
      <c r="B178" s="1535" t="s">
        <v>827</v>
      </c>
      <c r="C178" s="1536"/>
      <c r="D178" s="1536"/>
      <c r="E178" s="1536"/>
      <c r="F178" s="1536"/>
      <c r="G178" s="1537"/>
      <c r="H178" s="517"/>
      <c r="I178" s="1552"/>
      <c r="J178" s="1553"/>
      <c r="K178" s="1553"/>
      <c r="L178" s="1553"/>
      <c r="M178" s="1553"/>
      <c r="N178" s="1553"/>
      <c r="O178" s="1554"/>
    </row>
    <row r="179" spans="2:15">
      <c r="B179" s="1535" t="s">
        <v>828</v>
      </c>
      <c r="C179" s="1536"/>
      <c r="D179" s="1536"/>
      <c r="E179" s="1536"/>
      <c r="F179" s="1536"/>
      <c r="G179" s="1537"/>
      <c r="H179" s="517"/>
      <c r="I179" s="1552"/>
      <c r="J179" s="1553"/>
      <c r="K179" s="1553"/>
      <c r="L179" s="1553"/>
      <c r="M179" s="1553"/>
      <c r="N179" s="1553"/>
      <c r="O179" s="1554"/>
    </row>
    <row r="180" spans="2:15">
      <c r="B180" s="1535" t="s">
        <v>827</v>
      </c>
      <c r="C180" s="1536"/>
      <c r="D180" s="1536"/>
      <c r="E180" s="1536"/>
      <c r="F180" s="1536"/>
      <c r="G180" s="1537"/>
      <c r="H180" s="517"/>
      <c r="I180" s="1552"/>
      <c r="J180" s="1553"/>
      <c r="K180" s="1553"/>
      <c r="L180" s="1553"/>
      <c r="M180" s="1553"/>
      <c r="N180" s="1553"/>
      <c r="O180" s="1554"/>
    </row>
    <row r="181" spans="2:15">
      <c r="B181" s="1535" t="s">
        <v>829</v>
      </c>
      <c r="C181" s="1536"/>
      <c r="D181" s="1536"/>
      <c r="E181" s="1536"/>
      <c r="F181" s="1536"/>
      <c r="G181" s="1537"/>
      <c r="H181" s="517"/>
      <c r="I181" s="1552"/>
      <c r="J181" s="1553"/>
      <c r="K181" s="1553"/>
      <c r="L181" s="1553"/>
      <c r="M181" s="1553"/>
      <c r="N181" s="1553"/>
      <c r="O181" s="1554"/>
    </row>
    <row r="182" spans="2:15">
      <c r="B182" s="1535" t="s">
        <v>830</v>
      </c>
      <c r="C182" s="1536"/>
      <c r="D182" s="1536"/>
      <c r="E182" s="1536"/>
      <c r="F182" s="1536"/>
      <c r="G182" s="1537"/>
      <c r="H182" s="517"/>
      <c r="I182" s="1552"/>
      <c r="J182" s="1553"/>
      <c r="K182" s="1553"/>
      <c r="L182" s="1553"/>
      <c r="M182" s="1553"/>
      <c r="N182" s="1553"/>
      <c r="O182" s="1554"/>
    </row>
    <row r="183" spans="2:15" ht="15" customHeight="1">
      <c r="B183" s="1535" t="s">
        <v>831</v>
      </c>
      <c r="C183" s="1536"/>
      <c r="D183" s="1536"/>
      <c r="E183" s="1536"/>
      <c r="F183" s="1536"/>
      <c r="G183" s="1537"/>
      <c r="H183" s="517"/>
      <c r="I183" s="1552"/>
      <c r="J183" s="1553"/>
      <c r="K183" s="1553"/>
      <c r="L183" s="1553"/>
      <c r="M183" s="1553"/>
      <c r="N183" s="1553"/>
      <c r="O183" s="1554"/>
    </row>
    <row r="184" spans="2:15">
      <c r="B184" s="1535"/>
      <c r="C184" s="1536"/>
      <c r="D184" s="1536"/>
      <c r="E184" s="1536"/>
      <c r="F184" s="1536"/>
      <c r="G184" s="1537"/>
      <c r="H184" s="517"/>
      <c r="I184" s="1552"/>
      <c r="J184" s="1553"/>
      <c r="K184" s="1553"/>
      <c r="L184" s="1553"/>
      <c r="M184" s="1553"/>
      <c r="N184" s="1553"/>
      <c r="O184" s="1554"/>
    </row>
    <row r="185" spans="2:15">
      <c r="B185" s="1541" t="s">
        <v>832</v>
      </c>
      <c r="C185" s="1542"/>
      <c r="D185" s="1542"/>
      <c r="E185" s="1542"/>
      <c r="F185" s="1542"/>
      <c r="G185" s="1543"/>
      <c r="H185" s="517"/>
      <c r="I185" s="1552"/>
      <c r="J185" s="1553"/>
      <c r="K185" s="1553"/>
      <c r="L185" s="1553"/>
      <c r="M185" s="1553"/>
      <c r="N185" s="1553"/>
      <c r="O185" s="1554"/>
    </row>
    <row r="186" spans="2:15">
      <c r="B186" s="1535" t="s">
        <v>833</v>
      </c>
      <c r="C186" s="1536"/>
      <c r="D186" s="1536"/>
      <c r="E186" s="1536"/>
      <c r="F186" s="1536"/>
      <c r="G186" s="1537"/>
      <c r="H186" s="517"/>
      <c r="I186" s="1552"/>
      <c r="J186" s="1553"/>
      <c r="K186" s="1553"/>
      <c r="L186" s="1553"/>
      <c r="M186" s="1553"/>
      <c r="N186" s="1553"/>
      <c r="O186" s="1554"/>
    </row>
    <row r="187" spans="2:15">
      <c r="B187" s="1535" t="s">
        <v>834</v>
      </c>
      <c r="C187" s="1536"/>
      <c r="D187" s="1536"/>
      <c r="E187" s="1536"/>
      <c r="F187" s="1536"/>
      <c r="G187" s="1537"/>
      <c r="H187" s="517"/>
      <c r="I187" s="1552"/>
      <c r="J187" s="1553"/>
      <c r="K187" s="1553"/>
      <c r="L187" s="1553"/>
      <c r="M187" s="1553"/>
      <c r="N187" s="1553"/>
      <c r="O187" s="1554"/>
    </row>
    <row r="188" spans="2:15">
      <c r="B188" s="1529" t="s">
        <v>835</v>
      </c>
      <c r="C188" s="1530"/>
      <c r="D188" s="1530"/>
      <c r="E188" s="1530"/>
      <c r="F188" s="1530"/>
      <c r="G188" s="1531"/>
      <c r="H188" s="517"/>
      <c r="I188" s="1552"/>
      <c r="J188" s="1553"/>
      <c r="K188" s="1553"/>
      <c r="L188" s="1553"/>
      <c r="M188" s="1553"/>
      <c r="N188" s="1553"/>
      <c r="O188" s="1554"/>
    </row>
    <row r="189" spans="2:15">
      <c r="B189" s="1529" t="s">
        <v>836</v>
      </c>
      <c r="C189" s="1530"/>
      <c r="D189" s="1530"/>
      <c r="E189" s="1530"/>
      <c r="F189" s="1530"/>
      <c r="G189" s="1531"/>
      <c r="I189" s="1552"/>
      <c r="J189" s="1553"/>
      <c r="K189" s="1553"/>
      <c r="L189" s="1553"/>
      <c r="M189" s="1553"/>
      <c r="N189" s="1553"/>
      <c r="O189" s="1554"/>
    </row>
    <row r="190" spans="2:15">
      <c r="B190" s="1529" t="s">
        <v>837</v>
      </c>
      <c r="C190" s="1530"/>
      <c r="D190" s="1530"/>
      <c r="E190" s="1530"/>
      <c r="F190" s="1530"/>
      <c r="G190" s="1531"/>
      <c r="I190" s="1552"/>
      <c r="J190" s="1553"/>
      <c r="K190" s="1553"/>
      <c r="L190" s="1553"/>
      <c r="M190" s="1553"/>
      <c r="N190" s="1553"/>
      <c r="O190" s="1554"/>
    </row>
    <row r="191" spans="2:15">
      <c r="B191" s="1529"/>
      <c r="C191" s="1530"/>
      <c r="D191" s="1530"/>
      <c r="E191" s="1530"/>
      <c r="F191" s="1530"/>
      <c r="G191" s="1531"/>
      <c r="I191" s="1552"/>
      <c r="J191" s="1553"/>
      <c r="K191" s="1553"/>
      <c r="L191" s="1553"/>
      <c r="M191" s="1553"/>
      <c r="N191" s="1553"/>
      <c r="O191" s="1554"/>
    </row>
    <row r="192" spans="2:15">
      <c r="B192" s="1532" t="s">
        <v>838</v>
      </c>
      <c r="C192" s="1533"/>
      <c r="D192" s="1533"/>
      <c r="E192" s="1533"/>
      <c r="F192" s="1533"/>
      <c r="G192" s="1534"/>
      <c r="I192" s="1552"/>
      <c r="J192" s="1553"/>
      <c r="K192" s="1553"/>
      <c r="L192" s="1553"/>
      <c r="M192" s="1553"/>
      <c r="N192" s="1553"/>
      <c r="O192" s="1554"/>
    </row>
    <row r="193" spans="2:15">
      <c r="B193" s="1526" t="s">
        <v>839</v>
      </c>
      <c r="C193" s="1527"/>
      <c r="D193" s="1527"/>
      <c r="E193" s="1527"/>
      <c r="F193" s="1527"/>
      <c r="G193" s="1528"/>
      <c r="I193" s="1552"/>
      <c r="J193" s="1553"/>
      <c r="K193" s="1553"/>
      <c r="L193" s="1553"/>
      <c r="M193" s="1553"/>
      <c r="N193" s="1553"/>
      <c r="O193" s="1554"/>
    </row>
    <row r="194" spans="2:15">
      <c r="B194" s="1526" t="s">
        <v>840</v>
      </c>
      <c r="C194" s="1527"/>
      <c r="D194" s="1527"/>
      <c r="E194" s="1527"/>
      <c r="F194" s="1527"/>
      <c r="G194" s="1528"/>
      <c r="I194" s="1552"/>
      <c r="J194" s="1553"/>
      <c r="K194" s="1553"/>
      <c r="L194" s="1553"/>
      <c r="M194" s="1553"/>
      <c r="N194" s="1553"/>
      <c r="O194" s="1554"/>
    </row>
    <row r="195" spans="2:15">
      <c r="B195" s="1526" t="s">
        <v>900</v>
      </c>
      <c r="C195" s="1527"/>
      <c r="D195" s="1527"/>
      <c r="E195" s="1527"/>
      <c r="F195" s="1527"/>
      <c r="G195" s="1528"/>
      <c r="I195" s="1552"/>
      <c r="J195" s="1553"/>
      <c r="K195" s="1553"/>
      <c r="L195" s="1553"/>
      <c r="M195" s="1553"/>
      <c r="N195" s="1553"/>
      <c r="O195" s="1554"/>
    </row>
    <row r="196" spans="2:15">
      <c r="B196" s="1526" t="s">
        <v>901</v>
      </c>
      <c r="C196" s="1527"/>
      <c r="D196" s="1527"/>
      <c r="E196" s="1527"/>
      <c r="F196" s="1527"/>
      <c r="G196" s="1528"/>
      <c r="I196" s="1552"/>
      <c r="J196" s="1553"/>
      <c r="K196" s="1553"/>
      <c r="L196" s="1553"/>
      <c r="M196" s="1553"/>
      <c r="N196" s="1553"/>
      <c r="O196" s="1554"/>
    </row>
    <row r="197" spans="2:15">
      <c r="B197" s="1526" t="s">
        <v>902</v>
      </c>
      <c r="C197" s="1527"/>
      <c r="D197" s="1527"/>
      <c r="E197" s="1527"/>
      <c r="F197" s="1527"/>
      <c r="G197" s="1528"/>
      <c r="I197" s="1552"/>
      <c r="J197" s="1553"/>
      <c r="K197" s="1553"/>
      <c r="L197" s="1553"/>
      <c r="M197" s="1553"/>
      <c r="N197" s="1553"/>
      <c r="O197" s="1554"/>
    </row>
    <row r="198" spans="2:15" ht="15.75" thickBot="1">
      <c r="B198" s="1544"/>
      <c r="C198" s="1545"/>
      <c r="D198" s="1545"/>
      <c r="E198" s="1545"/>
      <c r="F198" s="1545"/>
      <c r="G198" s="1546"/>
      <c r="I198" s="1555"/>
      <c r="J198" s="1556"/>
      <c r="K198" s="1556"/>
      <c r="L198" s="1556"/>
      <c r="M198" s="1556"/>
      <c r="N198" s="1556"/>
      <c r="O198" s="1557"/>
    </row>
  </sheetData>
  <sheetProtection password="83AF" sheet="1" objects="1" scenarios="1" formatCells="0" formatColumns="0" formatRows="0"/>
  <mergeCells count="317">
    <mergeCell ref="D5:E5"/>
    <mergeCell ref="F5:H5"/>
    <mergeCell ref="I5:J5"/>
    <mergeCell ref="D6:E6"/>
    <mergeCell ref="B38:F38"/>
    <mergeCell ref="G38:L38"/>
    <mergeCell ref="G40:H40"/>
    <mergeCell ref="I40:J40"/>
    <mergeCell ref="B41:F41"/>
    <mergeCell ref="G41:H41"/>
    <mergeCell ref="I41:J41"/>
    <mergeCell ref="B35:F35"/>
    <mergeCell ref="G35:L35"/>
    <mergeCell ref="B37:F37"/>
    <mergeCell ref="G37:L37"/>
    <mergeCell ref="D9:E9"/>
    <mergeCell ref="F9:H9"/>
    <mergeCell ref="I9:J9"/>
    <mergeCell ref="D10:E10"/>
    <mergeCell ref="F10:H10"/>
    <mergeCell ref="I10:J10"/>
    <mergeCell ref="F6:H6"/>
    <mergeCell ref="I6:J6"/>
    <mergeCell ref="D7:E7"/>
    <mergeCell ref="B47:F47"/>
    <mergeCell ref="G47:L47"/>
    <mergeCell ref="B48:F48"/>
    <mergeCell ref="G48:L48"/>
    <mergeCell ref="B50:F50"/>
    <mergeCell ref="G50:L50"/>
    <mergeCell ref="B42:F42"/>
    <mergeCell ref="G42:H42"/>
    <mergeCell ref="I42:J42"/>
    <mergeCell ref="B44:F44"/>
    <mergeCell ref="G44:L44"/>
    <mergeCell ref="B45:F45"/>
    <mergeCell ref="G45:L45"/>
    <mergeCell ref="B55:F55"/>
    <mergeCell ref="G55:L55"/>
    <mergeCell ref="B61:F61"/>
    <mergeCell ref="G61:L61"/>
    <mergeCell ref="B63:F63"/>
    <mergeCell ref="G63:L63"/>
    <mergeCell ref="B51:F51"/>
    <mergeCell ref="G51:L51"/>
    <mergeCell ref="B53:F53"/>
    <mergeCell ref="G53:L53"/>
    <mergeCell ref="B54:F54"/>
    <mergeCell ref="G54:L54"/>
    <mergeCell ref="B57:F57"/>
    <mergeCell ref="G57:L57"/>
    <mergeCell ref="B72:F72"/>
    <mergeCell ref="G72:L72"/>
    <mergeCell ref="B73:F73"/>
    <mergeCell ref="G73:L73"/>
    <mergeCell ref="B75:F75"/>
    <mergeCell ref="G75:L75"/>
    <mergeCell ref="B67:F67"/>
    <mergeCell ref="G67:L67"/>
    <mergeCell ref="B69:F69"/>
    <mergeCell ref="G69:L69"/>
    <mergeCell ref="B70:F70"/>
    <mergeCell ref="G70:L70"/>
    <mergeCell ref="B83:F83"/>
    <mergeCell ref="G83:L83"/>
    <mergeCell ref="B84:F84"/>
    <mergeCell ref="G84:L84"/>
    <mergeCell ref="B85:F85"/>
    <mergeCell ref="G85:L85"/>
    <mergeCell ref="B79:F79"/>
    <mergeCell ref="G79:L79"/>
    <mergeCell ref="B81:F81"/>
    <mergeCell ref="G81:L81"/>
    <mergeCell ref="B82:F82"/>
    <mergeCell ref="G82:L82"/>
    <mergeCell ref="B91:D91"/>
    <mergeCell ref="F91:G91"/>
    <mergeCell ref="H91:I91"/>
    <mergeCell ref="J91:K91"/>
    <mergeCell ref="B92:D92"/>
    <mergeCell ref="F92:G92"/>
    <mergeCell ref="H92:I92"/>
    <mergeCell ref="J92:K92"/>
    <mergeCell ref="B89:D89"/>
    <mergeCell ref="F89:G89"/>
    <mergeCell ref="H89:I89"/>
    <mergeCell ref="J89:K89"/>
    <mergeCell ref="B90:D90"/>
    <mergeCell ref="F90:G90"/>
    <mergeCell ref="H90:I90"/>
    <mergeCell ref="J90:K90"/>
    <mergeCell ref="B95:D95"/>
    <mergeCell ref="F95:G95"/>
    <mergeCell ref="H95:I95"/>
    <mergeCell ref="J95:K95"/>
    <mergeCell ref="B96:D96"/>
    <mergeCell ref="F96:G96"/>
    <mergeCell ref="H96:I96"/>
    <mergeCell ref="J96:K96"/>
    <mergeCell ref="B93:D93"/>
    <mergeCell ref="F93:G93"/>
    <mergeCell ref="H93:I93"/>
    <mergeCell ref="J93:K93"/>
    <mergeCell ref="B94:D94"/>
    <mergeCell ref="F94:G94"/>
    <mergeCell ref="H94:I94"/>
    <mergeCell ref="J94:K94"/>
    <mergeCell ref="B103:C103"/>
    <mergeCell ref="D103:E103"/>
    <mergeCell ref="B107:L107"/>
    <mergeCell ref="B109:F109"/>
    <mergeCell ref="G109:L109"/>
    <mergeCell ref="B111:F111"/>
    <mergeCell ref="G111:L111"/>
    <mergeCell ref="B100:C100"/>
    <mergeCell ref="D100:E100"/>
    <mergeCell ref="B101:C101"/>
    <mergeCell ref="D101:E101"/>
    <mergeCell ref="B102:C102"/>
    <mergeCell ref="D102:E102"/>
    <mergeCell ref="B116:F116"/>
    <mergeCell ref="G116:L116"/>
    <mergeCell ref="B117:F117"/>
    <mergeCell ref="G117:L117"/>
    <mergeCell ref="B121:F121"/>
    <mergeCell ref="G121:L121"/>
    <mergeCell ref="B112:F112"/>
    <mergeCell ref="G112:L112"/>
    <mergeCell ref="B113:F113"/>
    <mergeCell ref="G113:L113"/>
    <mergeCell ref="B114:F114"/>
    <mergeCell ref="G114:L114"/>
    <mergeCell ref="B115:F115"/>
    <mergeCell ref="G115:L115"/>
    <mergeCell ref="B127:G127"/>
    <mergeCell ref="I127:L127"/>
    <mergeCell ref="M127:O127"/>
    <mergeCell ref="B128:G128"/>
    <mergeCell ref="I128:L128"/>
    <mergeCell ref="M128:O128"/>
    <mergeCell ref="B125:G125"/>
    <mergeCell ref="I125:L125"/>
    <mergeCell ref="M125:O125"/>
    <mergeCell ref="B126:G126"/>
    <mergeCell ref="I126:L126"/>
    <mergeCell ref="M126:O126"/>
    <mergeCell ref="B131:G131"/>
    <mergeCell ref="I131:L131"/>
    <mergeCell ref="M131:O131"/>
    <mergeCell ref="B132:G132"/>
    <mergeCell ref="I132:L132"/>
    <mergeCell ref="M132:O132"/>
    <mergeCell ref="B129:G129"/>
    <mergeCell ref="I129:L129"/>
    <mergeCell ref="M129:O129"/>
    <mergeCell ref="B130:G130"/>
    <mergeCell ref="I130:L130"/>
    <mergeCell ref="M130:O130"/>
    <mergeCell ref="B135:G135"/>
    <mergeCell ref="I135:L135"/>
    <mergeCell ref="M135:O135"/>
    <mergeCell ref="B136:G136"/>
    <mergeCell ref="I136:L136"/>
    <mergeCell ref="M136:O136"/>
    <mergeCell ref="B133:G133"/>
    <mergeCell ref="I133:L133"/>
    <mergeCell ref="M133:O133"/>
    <mergeCell ref="B134:G134"/>
    <mergeCell ref="I134:L134"/>
    <mergeCell ref="M134:O134"/>
    <mergeCell ref="B139:G139"/>
    <mergeCell ref="I139:L139"/>
    <mergeCell ref="M139:O139"/>
    <mergeCell ref="B140:G140"/>
    <mergeCell ref="I140:L140"/>
    <mergeCell ref="M140:O140"/>
    <mergeCell ref="B137:G137"/>
    <mergeCell ref="I137:L137"/>
    <mergeCell ref="M137:O137"/>
    <mergeCell ref="B138:G138"/>
    <mergeCell ref="I138:L138"/>
    <mergeCell ref="M138:O138"/>
    <mergeCell ref="B143:G143"/>
    <mergeCell ref="I143:L143"/>
    <mergeCell ref="M143:O143"/>
    <mergeCell ref="B144:G144"/>
    <mergeCell ref="I144:L144"/>
    <mergeCell ref="M144:O144"/>
    <mergeCell ref="B141:G141"/>
    <mergeCell ref="I141:L141"/>
    <mergeCell ref="M141:O141"/>
    <mergeCell ref="B142:G142"/>
    <mergeCell ref="I142:L142"/>
    <mergeCell ref="M142:O142"/>
    <mergeCell ref="B147:G147"/>
    <mergeCell ref="I147:L147"/>
    <mergeCell ref="M147:O147"/>
    <mergeCell ref="B148:G148"/>
    <mergeCell ref="I148:L148"/>
    <mergeCell ref="M148:O148"/>
    <mergeCell ref="B145:G145"/>
    <mergeCell ref="I145:L145"/>
    <mergeCell ref="M145:O145"/>
    <mergeCell ref="B146:G146"/>
    <mergeCell ref="I146:L146"/>
    <mergeCell ref="M146:O146"/>
    <mergeCell ref="B151:G151"/>
    <mergeCell ref="I151:L151"/>
    <mergeCell ref="M151:O151"/>
    <mergeCell ref="B152:G152"/>
    <mergeCell ref="I152:L152"/>
    <mergeCell ref="M152:O152"/>
    <mergeCell ref="B149:G149"/>
    <mergeCell ref="I149:L149"/>
    <mergeCell ref="M149:O149"/>
    <mergeCell ref="B150:G150"/>
    <mergeCell ref="I150:L150"/>
    <mergeCell ref="M150:O150"/>
    <mergeCell ref="B153:G153"/>
    <mergeCell ref="I153:L153"/>
    <mergeCell ref="M153:O153"/>
    <mergeCell ref="B154:G154"/>
    <mergeCell ref="I154:O198"/>
    <mergeCell ref="B155:G155"/>
    <mergeCell ref="B156:G156"/>
    <mergeCell ref="B157:G157"/>
    <mergeCell ref="B158:G158"/>
    <mergeCell ref="B159:G159"/>
    <mergeCell ref="B166:G166"/>
    <mergeCell ref="B167:G167"/>
    <mergeCell ref="B168:G168"/>
    <mergeCell ref="B169:G169"/>
    <mergeCell ref="B170:G170"/>
    <mergeCell ref="B171:G171"/>
    <mergeCell ref="B160:G160"/>
    <mergeCell ref="B161:G161"/>
    <mergeCell ref="B162:G162"/>
    <mergeCell ref="B163:G163"/>
    <mergeCell ref="B164:G164"/>
    <mergeCell ref="B165:G165"/>
    <mergeCell ref="B178:G178"/>
    <mergeCell ref="B179:G179"/>
    <mergeCell ref="B198:G198"/>
    <mergeCell ref="B184:G184"/>
    <mergeCell ref="B185:G185"/>
    <mergeCell ref="B186:G186"/>
    <mergeCell ref="B187:G187"/>
    <mergeCell ref="B188:G188"/>
    <mergeCell ref="B189:G189"/>
    <mergeCell ref="B196:G196"/>
    <mergeCell ref="B197:G197"/>
    <mergeCell ref="F7:H7"/>
    <mergeCell ref="I7:J7"/>
    <mergeCell ref="D8:E8"/>
    <mergeCell ref="F8:H8"/>
    <mergeCell ref="I8:J8"/>
    <mergeCell ref="D13:E13"/>
    <mergeCell ref="F13:H13"/>
    <mergeCell ref="I13:J13"/>
    <mergeCell ref="D14:E14"/>
    <mergeCell ref="F14:H14"/>
    <mergeCell ref="I14:J14"/>
    <mergeCell ref="D11:E11"/>
    <mergeCell ref="F11:H11"/>
    <mergeCell ref="I11:J11"/>
    <mergeCell ref="D12:E12"/>
    <mergeCell ref="F12:H12"/>
    <mergeCell ref="I12:J12"/>
    <mergeCell ref="D17:E17"/>
    <mergeCell ref="F17:H17"/>
    <mergeCell ref="I17:J17"/>
    <mergeCell ref="D18:E18"/>
    <mergeCell ref="F18:H18"/>
    <mergeCell ref="I18:J18"/>
    <mergeCell ref="D15:E15"/>
    <mergeCell ref="F15:H15"/>
    <mergeCell ref="I15:J15"/>
    <mergeCell ref="D16:E16"/>
    <mergeCell ref="F16:H16"/>
    <mergeCell ref="I16:J16"/>
    <mergeCell ref="B24:J24"/>
    <mergeCell ref="D21:E21"/>
    <mergeCell ref="F21:H21"/>
    <mergeCell ref="I21:J21"/>
    <mergeCell ref="D22:E22"/>
    <mergeCell ref="F22:H22"/>
    <mergeCell ref="I22:J22"/>
    <mergeCell ref="D19:E19"/>
    <mergeCell ref="F19:H19"/>
    <mergeCell ref="I19:J19"/>
    <mergeCell ref="D20:E20"/>
    <mergeCell ref="F20:H20"/>
    <mergeCell ref="I20:J20"/>
    <mergeCell ref="L89:M89"/>
    <mergeCell ref="L90:M90"/>
    <mergeCell ref="L91:M91"/>
    <mergeCell ref="L92:M92"/>
    <mergeCell ref="L93:M93"/>
    <mergeCell ref="L94:M94"/>
    <mergeCell ref="L95:M95"/>
    <mergeCell ref="L96:M96"/>
    <mergeCell ref="B195:G195"/>
    <mergeCell ref="B190:G190"/>
    <mergeCell ref="B191:G191"/>
    <mergeCell ref="B192:G192"/>
    <mergeCell ref="B193:G193"/>
    <mergeCell ref="B194:G194"/>
    <mergeCell ref="B180:G180"/>
    <mergeCell ref="B181:G181"/>
    <mergeCell ref="B182:G182"/>
    <mergeCell ref="B183:G183"/>
    <mergeCell ref="B172:G172"/>
    <mergeCell ref="B173:G173"/>
    <mergeCell ref="B174:G174"/>
    <mergeCell ref="B175:G175"/>
    <mergeCell ref="B176:G176"/>
    <mergeCell ref="B177:G177"/>
  </mergeCells>
  <dataValidations count="7">
    <dataValidation type="list" allowBlank="1" showInputMessage="1" showErrorMessage="1" sqref="E69 JA69 SW69 ACS69 AMO69 AWK69 BGG69 BQC69 BZY69 CJU69 CTQ69 DDM69 DNI69 DXE69 EHA69 EQW69 FAS69 FKO69 FUK69 GEG69 GOC69 GXY69 HHU69 HRQ69 IBM69 ILI69 IVE69 JFA69 JOW69 JYS69 KIO69 KSK69 LCG69 LMC69 LVY69 MFU69 MPQ69 MZM69 NJI69 NTE69 ODA69 OMW69 OWS69 PGO69 PQK69 QAG69 QKC69 QTY69 RDU69 RNQ69 RXM69 SHI69 SRE69 TBA69 TKW69 TUS69 UEO69 UOK69 UYG69 VIC69 VRY69 WBU69 WLQ69 WVM69 E65609 JA65609 SW65609 ACS65609 AMO65609 AWK65609 BGG65609 BQC65609 BZY65609 CJU65609 CTQ65609 DDM65609 DNI65609 DXE65609 EHA65609 EQW65609 FAS65609 FKO65609 FUK65609 GEG65609 GOC65609 GXY65609 HHU65609 HRQ65609 IBM65609 ILI65609 IVE65609 JFA65609 JOW65609 JYS65609 KIO65609 KSK65609 LCG65609 LMC65609 LVY65609 MFU65609 MPQ65609 MZM65609 NJI65609 NTE65609 ODA65609 OMW65609 OWS65609 PGO65609 PQK65609 QAG65609 QKC65609 QTY65609 RDU65609 RNQ65609 RXM65609 SHI65609 SRE65609 TBA65609 TKW65609 TUS65609 UEO65609 UOK65609 UYG65609 VIC65609 VRY65609 WBU65609 WLQ65609 WVM65609 E131145 JA131145 SW131145 ACS131145 AMO131145 AWK131145 BGG131145 BQC131145 BZY131145 CJU131145 CTQ131145 DDM131145 DNI131145 DXE131145 EHA131145 EQW131145 FAS131145 FKO131145 FUK131145 GEG131145 GOC131145 GXY131145 HHU131145 HRQ131145 IBM131145 ILI131145 IVE131145 JFA131145 JOW131145 JYS131145 KIO131145 KSK131145 LCG131145 LMC131145 LVY131145 MFU131145 MPQ131145 MZM131145 NJI131145 NTE131145 ODA131145 OMW131145 OWS131145 PGO131145 PQK131145 QAG131145 QKC131145 QTY131145 RDU131145 RNQ131145 RXM131145 SHI131145 SRE131145 TBA131145 TKW131145 TUS131145 UEO131145 UOK131145 UYG131145 VIC131145 VRY131145 WBU131145 WLQ131145 WVM131145 E196681 JA196681 SW196681 ACS196681 AMO196681 AWK196681 BGG196681 BQC196681 BZY196681 CJU196681 CTQ196681 DDM196681 DNI196681 DXE196681 EHA196681 EQW196681 FAS196681 FKO196681 FUK196681 GEG196681 GOC196681 GXY196681 HHU196681 HRQ196681 IBM196681 ILI196681 IVE196681 JFA196681 JOW196681 JYS196681 KIO196681 KSK196681 LCG196681 LMC196681 LVY196681 MFU196681 MPQ196681 MZM196681 NJI196681 NTE196681 ODA196681 OMW196681 OWS196681 PGO196681 PQK196681 QAG196681 QKC196681 QTY196681 RDU196681 RNQ196681 RXM196681 SHI196681 SRE196681 TBA196681 TKW196681 TUS196681 UEO196681 UOK196681 UYG196681 VIC196681 VRY196681 WBU196681 WLQ196681 WVM196681 E262217 JA262217 SW262217 ACS262217 AMO262217 AWK262217 BGG262217 BQC262217 BZY262217 CJU262217 CTQ262217 DDM262217 DNI262217 DXE262217 EHA262217 EQW262217 FAS262217 FKO262217 FUK262217 GEG262217 GOC262217 GXY262217 HHU262217 HRQ262217 IBM262217 ILI262217 IVE262217 JFA262217 JOW262217 JYS262217 KIO262217 KSK262217 LCG262217 LMC262217 LVY262217 MFU262217 MPQ262217 MZM262217 NJI262217 NTE262217 ODA262217 OMW262217 OWS262217 PGO262217 PQK262217 QAG262217 QKC262217 QTY262217 RDU262217 RNQ262217 RXM262217 SHI262217 SRE262217 TBA262217 TKW262217 TUS262217 UEO262217 UOK262217 UYG262217 VIC262217 VRY262217 WBU262217 WLQ262217 WVM262217 E327753 JA327753 SW327753 ACS327753 AMO327753 AWK327753 BGG327753 BQC327753 BZY327753 CJU327753 CTQ327753 DDM327753 DNI327753 DXE327753 EHA327753 EQW327753 FAS327753 FKO327753 FUK327753 GEG327753 GOC327753 GXY327753 HHU327753 HRQ327753 IBM327753 ILI327753 IVE327753 JFA327753 JOW327753 JYS327753 KIO327753 KSK327753 LCG327753 LMC327753 LVY327753 MFU327753 MPQ327753 MZM327753 NJI327753 NTE327753 ODA327753 OMW327753 OWS327753 PGO327753 PQK327753 QAG327753 QKC327753 QTY327753 RDU327753 RNQ327753 RXM327753 SHI327753 SRE327753 TBA327753 TKW327753 TUS327753 UEO327753 UOK327753 UYG327753 VIC327753 VRY327753 WBU327753 WLQ327753 WVM327753 E393289 JA393289 SW393289 ACS393289 AMO393289 AWK393289 BGG393289 BQC393289 BZY393289 CJU393289 CTQ393289 DDM393289 DNI393289 DXE393289 EHA393289 EQW393289 FAS393289 FKO393289 FUK393289 GEG393289 GOC393289 GXY393289 HHU393289 HRQ393289 IBM393289 ILI393289 IVE393289 JFA393289 JOW393289 JYS393289 KIO393289 KSK393289 LCG393289 LMC393289 LVY393289 MFU393289 MPQ393289 MZM393289 NJI393289 NTE393289 ODA393289 OMW393289 OWS393289 PGO393289 PQK393289 QAG393289 QKC393289 QTY393289 RDU393289 RNQ393289 RXM393289 SHI393289 SRE393289 TBA393289 TKW393289 TUS393289 UEO393289 UOK393289 UYG393289 VIC393289 VRY393289 WBU393289 WLQ393289 WVM393289 E458825 JA458825 SW458825 ACS458825 AMO458825 AWK458825 BGG458825 BQC458825 BZY458825 CJU458825 CTQ458825 DDM458825 DNI458825 DXE458825 EHA458825 EQW458825 FAS458825 FKO458825 FUK458825 GEG458825 GOC458825 GXY458825 HHU458825 HRQ458825 IBM458825 ILI458825 IVE458825 JFA458825 JOW458825 JYS458825 KIO458825 KSK458825 LCG458825 LMC458825 LVY458825 MFU458825 MPQ458825 MZM458825 NJI458825 NTE458825 ODA458825 OMW458825 OWS458825 PGO458825 PQK458825 QAG458825 QKC458825 QTY458825 RDU458825 RNQ458825 RXM458825 SHI458825 SRE458825 TBA458825 TKW458825 TUS458825 UEO458825 UOK458825 UYG458825 VIC458825 VRY458825 WBU458825 WLQ458825 WVM458825 E524361 JA524361 SW524361 ACS524361 AMO524361 AWK524361 BGG524361 BQC524361 BZY524361 CJU524361 CTQ524361 DDM524361 DNI524361 DXE524361 EHA524361 EQW524361 FAS524361 FKO524361 FUK524361 GEG524361 GOC524361 GXY524361 HHU524361 HRQ524361 IBM524361 ILI524361 IVE524361 JFA524361 JOW524361 JYS524361 KIO524361 KSK524361 LCG524361 LMC524361 LVY524361 MFU524361 MPQ524361 MZM524361 NJI524361 NTE524361 ODA524361 OMW524361 OWS524361 PGO524361 PQK524361 QAG524361 QKC524361 QTY524361 RDU524361 RNQ524361 RXM524361 SHI524361 SRE524361 TBA524361 TKW524361 TUS524361 UEO524361 UOK524361 UYG524361 VIC524361 VRY524361 WBU524361 WLQ524361 WVM524361 E589897 JA589897 SW589897 ACS589897 AMO589897 AWK589897 BGG589897 BQC589897 BZY589897 CJU589897 CTQ589897 DDM589897 DNI589897 DXE589897 EHA589897 EQW589897 FAS589897 FKO589897 FUK589897 GEG589897 GOC589897 GXY589897 HHU589897 HRQ589897 IBM589897 ILI589897 IVE589897 JFA589897 JOW589897 JYS589897 KIO589897 KSK589897 LCG589897 LMC589897 LVY589897 MFU589897 MPQ589897 MZM589897 NJI589897 NTE589897 ODA589897 OMW589897 OWS589897 PGO589897 PQK589897 QAG589897 QKC589897 QTY589897 RDU589897 RNQ589897 RXM589897 SHI589897 SRE589897 TBA589897 TKW589897 TUS589897 UEO589897 UOK589897 UYG589897 VIC589897 VRY589897 WBU589897 WLQ589897 WVM589897 E655433 JA655433 SW655433 ACS655433 AMO655433 AWK655433 BGG655433 BQC655433 BZY655433 CJU655433 CTQ655433 DDM655433 DNI655433 DXE655433 EHA655433 EQW655433 FAS655433 FKO655433 FUK655433 GEG655433 GOC655433 GXY655433 HHU655433 HRQ655433 IBM655433 ILI655433 IVE655433 JFA655433 JOW655433 JYS655433 KIO655433 KSK655433 LCG655433 LMC655433 LVY655433 MFU655433 MPQ655433 MZM655433 NJI655433 NTE655433 ODA655433 OMW655433 OWS655433 PGO655433 PQK655433 QAG655433 QKC655433 QTY655433 RDU655433 RNQ655433 RXM655433 SHI655433 SRE655433 TBA655433 TKW655433 TUS655433 UEO655433 UOK655433 UYG655433 VIC655433 VRY655433 WBU655433 WLQ655433 WVM655433 E720969 JA720969 SW720969 ACS720969 AMO720969 AWK720969 BGG720969 BQC720969 BZY720969 CJU720969 CTQ720969 DDM720969 DNI720969 DXE720969 EHA720969 EQW720969 FAS720969 FKO720969 FUK720969 GEG720969 GOC720969 GXY720969 HHU720969 HRQ720969 IBM720969 ILI720969 IVE720969 JFA720969 JOW720969 JYS720969 KIO720969 KSK720969 LCG720969 LMC720969 LVY720969 MFU720969 MPQ720969 MZM720969 NJI720969 NTE720969 ODA720969 OMW720969 OWS720969 PGO720969 PQK720969 QAG720969 QKC720969 QTY720969 RDU720969 RNQ720969 RXM720969 SHI720969 SRE720969 TBA720969 TKW720969 TUS720969 UEO720969 UOK720969 UYG720969 VIC720969 VRY720969 WBU720969 WLQ720969 WVM720969 E786505 JA786505 SW786505 ACS786505 AMO786505 AWK786505 BGG786505 BQC786505 BZY786505 CJU786505 CTQ786505 DDM786505 DNI786505 DXE786505 EHA786505 EQW786505 FAS786505 FKO786505 FUK786505 GEG786505 GOC786505 GXY786505 HHU786505 HRQ786505 IBM786505 ILI786505 IVE786505 JFA786505 JOW786505 JYS786505 KIO786505 KSK786505 LCG786505 LMC786505 LVY786505 MFU786505 MPQ786505 MZM786505 NJI786505 NTE786505 ODA786505 OMW786505 OWS786505 PGO786505 PQK786505 QAG786505 QKC786505 QTY786505 RDU786505 RNQ786505 RXM786505 SHI786505 SRE786505 TBA786505 TKW786505 TUS786505 UEO786505 UOK786505 UYG786505 VIC786505 VRY786505 WBU786505 WLQ786505 WVM786505 E852041 JA852041 SW852041 ACS852041 AMO852041 AWK852041 BGG852041 BQC852041 BZY852041 CJU852041 CTQ852041 DDM852041 DNI852041 DXE852041 EHA852041 EQW852041 FAS852041 FKO852041 FUK852041 GEG852041 GOC852041 GXY852041 HHU852041 HRQ852041 IBM852041 ILI852041 IVE852041 JFA852041 JOW852041 JYS852041 KIO852041 KSK852041 LCG852041 LMC852041 LVY852041 MFU852041 MPQ852041 MZM852041 NJI852041 NTE852041 ODA852041 OMW852041 OWS852041 PGO852041 PQK852041 QAG852041 QKC852041 QTY852041 RDU852041 RNQ852041 RXM852041 SHI852041 SRE852041 TBA852041 TKW852041 TUS852041 UEO852041 UOK852041 UYG852041 VIC852041 VRY852041 WBU852041 WLQ852041 WVM852041 E917577 JA917577 SW917577 ACS917577 AMO917577 AWK917577 BGG917577 BQC917577 BZY917577 CJU917577 CTQ917577 DDM917577 DNI917577 DXE917577 EHA917577 EQW917577 FAS917577 FKO917577 FUK917577 GEG917577 GOC917577 GXY917577 HHU917577 HRQ917577 IBM917577 ILI917577 IVE917577 JFA917577 JOW917577 JYS917577 KIO917577 KSK917577 LCG917577 LMC917577 LVY917577 MFU917577 MPQ917577 MZM917577 NJI917577 NTE917577 ODA917577 OMW917577 OWS917577 PGO917577 PQK917577 QAG917577 QKC917577 QTY917577 RDU917577 RNQ917577 RXM917577 SHI917577 SRE917577 TBA917577 TKW917577 TUS917577 UEO917577 UOK917577 UYG917577 VIC917577 VRY917577 WBU917577 WLQ917577 WVM917577 E983113 JA983113 SW983113 ACS983113 AMO983113 AWK983113 BGG983113 BQC983113 BZY983113 CJU983113 CTQ983113 DDM983113 DNI983113 DXE983113 EHA983113 EQW983113 FAS983113 FKO983113 FUK983113 GEG983113 GOC983113 GXY983113 HHU983113 HRQ983113 IBM983113 ILI983113 IVE983113 JFA983113 JOW983113 JYS983113 KIO983113 KSK983113 LCG983113 LMC983113 LVY983113 MFU983113 MPQ983113 MZM983113 NJI983113 NTE983113 ODA983113 OMW983113 OWS983113 PGO983113 PQK983113 QAG983113 QKC983113 QTY983113 RDU983113 RNQ983113 RXM983113 SHI983113 SRE983113 TBA983113 TKW983113 TUS983113 UEO983113 UOK983113 UYG983113 VIC983113 VRY983113 WBU983113 WLQ983113 WVM983113 E72 JA72 SW72 ACS72 AMO72 AWK72 BGG72 BQC72 BZY72 CJU72 CTQ72 DDM72 DNI72 DXE72 EHA72 EQW72 FAS72 FKO72 FUK72 GEG72 GOC72 GXY72 HHU72 HRQ72 IBM72 ILI72 IVE72 JFA72 JOW72 JYS72 KIO72 KSK72 LCG72 LMC72 LVY72 MFU72 MPQ72 MZM72 NJI72 NTE72 ODA72 OMW72 OWS72 PGO72 PQK72 QAG72 QKC72 QTY72 RDU72 RNQ72 RXM72 SHI72 SRE72 TBA72 TKW72 TUS72 UEO72 UOK72 UYG72 VIC72 VRY72 WBU72 WLQ72 WVM72 E65612 JA65612 SW65612 ACS65612 AMO65612 AWK65612 BGG65612 BQC65612 BZY65612 CJU65612 CTQ65612 DDM65612 DNI65612 DXE65612 EHA65612 EQW65612 FAS65612 FKO65612 FUK65612 GEG65612 GOC65612 GXY65612 HHU65612 HRQ65612 IBM65612 ILI65612 IVE65612 JFA65612 JOW65612 JYS65612 KIO65612 KSK65612 LCG65612 LMC65612 LVY65612 MFU65612 MPQ65612 MZM65612 NJI65612 NTE65612 ODA65612 OMW65612 OWS65612 PGO65612 PQK65612 QAG65612 QKC65612 QTY65612 RDU65612 RNQ65612 RXM65612 SHI65612 SRE65612 TBA65612 TKW65612 TUS65612 UEO65612 UOK65612 UYG65612 VIC65612 VRY65612 WBU65612 WLQ65612 WVM65612 E131148 JA131148 SW131148 ACS131148 AMO131148 AWK131148 BGG131148 BQC131148 BZY131148 CJU131148 CTQ131148 DDM131148 DNI131148 DXE131148 EHA131148 EQW131148 FAS131148 FKO131148 FUK131148 GEG131148 GOC131148 GXY131148 HHU131148 HRQ131148 IBM131148 ILI131148 IVE131148 JFA131148 JOW131148 JYS131148 KIO131148 KSK131148 LCG131148 LMC131148 LVY131148 MFU131148 MPQ131148 MZM131148 NJI131148 NTE131148 ODA131148 OMW131148 OWS131148 PGO131148 PQK131148 QAG131148 QKC131148 QTY131148 RDU131148 RNQ131148 RXM131148 SHI131148 SRE131148 TBA131148 TKW131148 TUS131148 UEO131148 UOK131148 UYG131148 VIC131148 VRY131148 WBU131148 WLQ131148 WVM131148 E196684 JA196684 SW196684 ACS196684 AMO196684 AWK196684 BGG196684 BQC196684 BZY196684 CJU196684 CTQ196684 DDM196684 DNI196684 DXE196684 EHA196684 EQW196684 FAS196684 FKO196684 FUK196684 GEG196684 GOC196684 GXY196684 HHU196684 HRQ196684 IBM196684 ILI196684 IVE196684 JFA196684 JOW196684 JYS196684 KIO196684 KSK196684 LCG196684 LMC196684 LVY196684 MFU196684 MPQ196684 MZM196684 NJI196684 NTE196684 ODA196684 OMW196684 OWS196684 PGO196684 PQK196684 QAG196684 QKC196684 QTY196684 RDU196684 RNQ196684 RXM196684 SHI196684 SRE196684 TBA196684 TKW196684 TUS196684 UEO196684 UOK196684 UYG196684 VIC196684 VRY196684 WBU196684 WLQ196684 WVM196684 E262220 JA262220 SW262220 ACS262220 AMO262220 AWK262220 BGG262220 BQC262220 BZY262220 CJU262220 CTQ262220 DDM262220 DNI262220 DXE262220 EHA262220 EQW262220 FAS262220 FKO262220 FUK262220 GEG262220 GOC262220 GXY262220 HHU262220 HRQ262220 IBM262220 ILI262220 IVE262220 JFA262220 JOW262220 JYS262220 KIO262220 KSK262220 LCG262220 LMC262220 LVY262220 MFU262220 MPQ262220 MZM262220 NJI262220 NTE262220 ODA262220 OMW262220 OWS262220 PGO262220 PQK262220 QAG262220 QKC262220 QTY262220 RDU262220 RNQ262220 RXM262220 SHI262220 SRE262220 TBA262220 TKW262220 TUS262220 UEO262220 UOK262220 UYG262220 VIC262220 VRY262220 WBU262220 WLQ262220 WVM262220 E327756 JA327756 SW327756 ACS327756 AMO327756 AWK327756 BGG327756 BQC327756 BZY327756 CJU327756 CTQ327756 DDM327756 DNI327756 DXE327756 EHA327756 EQW327756 FAS327756 FKO327756 FUK327756 GEG327756 GOC327756 GXY327756 HHU327756 HRQ327756 IBM327756 ILI327756 IVE327756 JFA327756 JOW327756 JYS327756 KIO327756 KSK327756 LCG327756 LMC327756 LVY327756 MFU327756 MPQ327756 MZM327756 NJI327756 NTE327756 ODA327756 OMW327756 OWS327756 PGO327756 PQK327756 QAG327756 QKC327756 QTY327756 RDU327756 RNQ327756 RXM327756 SHI327756 SRE327756 TBA327756 TKW327756 TUS327756 UEO327756 UOK327756 UYG327756 VIC327756 VRY327756 WBU327756 WLQ327756 WVM327756 E393292 JA393292 SW393292 ACS393292 AMO393292 AWK393292 BGG393292 BQC393292 BZY393292 CJU393292 CTQ393292 DDM393292 DNI393292 DXE393292 EHA393292 EQW393292 FAS393292 FKO393292 FUK393292 GEG393292 GOC393292 GXY393292 HHU393292 HRQ393292 IBM393292 ILI393292 IVE393292 JFA393292 JOW393292 JYS393292 KIO393292 KSK393292 LCG393292 LMC393292 LVY393292 MFU393292 MPQ393292 MZM393292 NJI393292 NTE393292 ODA393292 OMW393292 OWS393292 PGO393292 PQK393292 QAG393292 QKC393292 QTY393292 RDU393292 RNQ393292 RXM393292 SHI393292 SRE393292 TBA393292 TKW393292 TUS393292 UEO393292 UOK393292 UYG393292 VIC393292 VRY393292 WBU393292 WLQ393292 WVM393292 E458828 JA458828 SW458828 ACS458828 AMO458828 AWK458828 BGG458828 BQC458828 BZY458828 CJU458828 CTQ458828 DDM458828 DNI458828 DXE458828 EHA458828 EQW458828 FAS458828 FKO458828 FUK458828 GEG458828 GOC458828 GXY458828 HHU458828 HRQ458828 IBM458828 ILI458828 IVE458828 JFA458828 JOW458828 JYS458828 KIO458828 KSK458828 LCG458828 LMC458828 LVY458828 MFU458828 MPQ458828 MZM458828 NJI458828 NTE458828 ODA458828 OMW458828 OWS458828 PGO458828 PQK458828 QAG458828 QKC458828 QTY458828 RDU458828 RNQ458828 RXM458828 SHI458828 SRE458828 TBA458828 TKW458828 TUS458828 UEO458828 UOK458828 UYG458828 VIC458828 VRY458828 WBU458828 WLQ458828 WVM458828 E524364 JA524364 SW524364 ACS524364 AMO524364 AWK524364 BGG524364 BQC524364 BZY524364 CJU524364 CTQ524364 DDM524364 DNI524364 DXE524364 EHA524364 EQW524364 FAS524364 FKO524364 FUK524364 GEG524364 GOC524364 GXY524364 HHU524364 HRQ524364 IBM524364 ILI524364 IVE524364 JFA524364 JOW524364 JYS524364 KIO524364 KSK524364 LCG524364 LMC524364 LVY524364 MFU524364 MPQ524364 MZM524364 NJI524364 NTE524364 ODA524364 OMW524364 OWS524364 PGO524364 PQK524364 QAG524364 QKC524364 QTY524364 RDU524364 RNQ524364 RXM524364 SHI524364 SRE524364 TBA524364 TKW524364 TUS524364 UEO524364 UOK524364 UYG524364 VIC524364 VRY524364 WBU524364 WLQ524364 WVM524364 E589900 JA589900 SW589900 ACS589900 AMO589900 AWK589900 BGG589900 BQC589900 BZY589900 CJU589900 CTQ589900 DDM589900 DNI589900 DXE589900 EHA589900 EQW589900 FAS589900 FKO589900 FUK589900 GEG589900 GOC589900 GXY589900 HHU589900 HRQ589900 IBM589900 ILI589900 IVE589900 JFA589900 JOW589900 JYS589900 KIO589900 KSK589900 LCG589900 LMC589900 LVY589900 MFU589900 MPQ589900 MZM589900 NJI589900 NTE589900 ODA589900 OMW589900 OWS589900 PGO589900 PQK589900 QAG589900 QKC589900 QTY589900 RDU589900 RNQ589900 RXM589900 SHI589900 SRE589900 TBA589900 TKW589900 TUS589900 UEO589900 UOK589900 UYG589900 VIC589900 VRY589900 WBU589900 WLQ589900 WVM589900 E655436 JA655436 SW655436 ACS655436 AMO655436 AWK655436 BGG655436 BQC655436 BZY655436 CJU655436 CTQ655436 DDM655436 DNI655436 DXE655436 EHA655436 EQW655436 FAS655436 FKO655436 FUK655436 GEG655436 GOC655436 GXY655436 HHU655436 HRQ655436 IBM655436 ILI655436 IVE655436 JFA655436 JOW655436 JYS655436 KIO655436 KSK655436 LCG655436 LMC655436 LVY655436 MFU655436 MPQ655436 MZM655436 NJI655436 NTE655436 ODA655436 OMW655436 OWS655436 PGO655436 PQK655436 QAG655436 QKC655436 QTY655436 RDU655436 RNQ655436 RXM655436 SHI655436 SRE655436 TBA655436 TKW655436 TUS655436 UEO655436 UOK655436 UYG655436 VIC655436 VRY655436 WBU655436 WLQ655436 WVM655436 E720972 JA720972 SW720972 ACS720972 AMO720972 AWK720972 BGG720972 BQC720972 BZY720972 CJU720972 CTQ720972 DDM720972 DNI720972 DXE720972 EHA720972 EQW720972 FAS720972 FKO720972 FUK720972 GEG720972 GOC720972 GXY720972 HHU720972 HRQ720972 IBM720972 ILI720972 IVE720972 JFA720972 JOW720972 JYS720972 KIO720972 KSK720972 LCG720972 LMC720972 LVY720972 MFU720972 MPQ720972 MZM720972 NJI720972 NTE720972 ODA720972 OMW720972 OWS720972 PGO720972 PQK720972 QAG720972 QKC720972 QTY720972 RDU720972 RNQ720972 RXM720972 SHI720972 SRE720972 TBA720972 TKW720972 TUS720972 UEO720972 UOK720972 UYG720972 VIC720972 VRY720972 WBU720972 WLQ720972 WVM720972 E786508 JA786508 SW786508 ACS786508 AMO786508 AWK786508 BGG786508 BQC786508 BZY786508 CJU786508 CTQ786508 DDM786508 DNI786508 DXE786508 EHA786508 EQW786508 FAS786508 FKO786508 FUK786508 GEG786508 GOC786508 GXY786508 HHU786508 HRQ786508 IBM786508 ILI786508 IVE786508 JFA786508 JOW786508 JYS786508 KIO786508 KSK786508 LCG786508 LMC786508 LVY786508 MFU786508 MPQ786508 MZM786508 NJI786508 NTE786508 ODA786508 OMW786508 OWS786508 PGO786508 PQK786508 QAG786508 QKC786508 QTY786508 RDU786508 RNQ786508 RXM786508 SHI786508 SRE786508 TBA786508 TKW786508 TUS786508 UEO786508 UOK786508 UYG786508 VIC786508 VRY786508 WBU786508 WLQ786508 WVM786508 E852044 JA852044 SW852044 ACS852044 AMO852044 AWK852044 BGG852044 BQC852044 BZY852044 CJU852044 CTQ852044 DDM852044 DNI852044 DXE852044 EHA852044 EQW852044 FAS852044 FKO852044 FUK852044 GEG852044 GOC852044 GXY852044 HHU852044 HRQ852044 IBM852044 ILI852044 IVE852044 JFA852044 JOW852044 JYS852044 KIO852044 KSK852044 LCG852044 LMC852044 LVY852044 MFU852044 MPQ852044 MZM852044 NJI852044 NTE852044 ODA852044 OMW852044 OWS852044 PGO852044 PQK852044 QAG852044 QKC852044 QTY852044 RDU852044 RNQ852044 RXM852044 SHI852044 SRE852044 TBA852044 TKW852044 TUS852044 UEO852044 UOK852044 UYG852044 VIC852044 VRY852044 WBU852044 WLQ852044 WVM852044 E917580 JA917580 SW917580 ACS917580 AMO917580 AWK917580 BGG917580 BQC917580 BZY917580 CJU917580 CTQ917580 DDM917580 DNI917580 DXE917580 EHA917580 EQW917580 FAS917580 FKO917580 FUK917580 GEG917580 GOC917580 GXY917580 HHU917580 HRQ917580 IBM917580 ILI917580 IVE917580 JFA917580 JOW917580 JYS917580 KIO917580 KSK917580 LCG917580 LMC917580 LVY917580 MFU917580 MPQ917580 MZM917580 NJI917580 NTE917580 ODA917580 OMW917580 OWS917580 PGO917580 PQK917580 QAG917580 QKC917580 QTY917580 RDU917580 RNQ917580 RXM917580 SHI917580 SRE917580 TBA917580 TKW917580 TUS917580 UEO917580 UOK917580 UYG917580 VIC917580 VRY917580 WBU917580 WLQ917580 WVM917580 E983116 JA983116 SW983116 ACS983116 AMO983116 AWK983116 BGG983116 BQC983116 BZY983116 CJU983116 CTQ983116 DDM983116 DNI983116 DXE983116 EHA983116 EQW983116 FAS983116 FKO983116 FUK983116 GEG983116 GOC983116 GXY983116 HHU983116 HRQ983116 IBM983116 ILI983116 IVE983116 JFA983116 JOW983116 JYS983116 KIO983116 KSK983116 LCG983116 LMC983116 LVY983116 MFU983116 MPQ983116 MZM983116 NJI983116 NTE983116 ODA983116 OMW983116 OWS983116 PGO983116 PQK983116 QAG983116 QKC983116 QTY983116 RDU983116 RNQ983116 RXM983116 SHI983116 SRE983116 TBA983116 TKW983116 TUS983116 UEO983116 UOK983116 UYG983116 VIC983116 VRY983116 WBU983116 WLQ983116 WVM983116">
      <formula1>"Age Related Scale,Service Related Scale, Scale not used, Scheme Specific Scale"</formula1>
    </dataValidation>
    <dataValidation type="list" allowBlank="1" showInputMessage="1" showErrorMessage="1" sqref="E70 JA70 SW70 ACS70 AMO70 AWK70 BGG70 BQC70 BZY70 CJU70 CTQ70 DDM70 DNI70 DXE70 EHA70 EQW70 FAS70 FKO70 FUK70 GEG70 GOC70 GXY70 HHU70 HRQ70 IBM70 ILI70 IVE70 JFA70 JOW70 JYS70 KIO70 KSK70 LCG70 LMC70 LVY70 MFU70 MPQ70 MZM70 NJI70 NTE70 ODA70 OMW70 OWS70 PGO70 PQK70 QAG70 QKC70 QTY70 RDU70 RNQ70 RXM70 SHI70 SRE70 TBA70 TKW70 TUS70 UEO70 UOK70 UYG70 VIC70 VRY70 WBU70 WLQ70 WVM70 E65610 JA65610 SW65610 ACS65610 AMO65610 AWK65610 BGG65610 BQC65610 BZY65610 CJU65610 CTQ65610 DDM65610 DNI65610 DXE65610 EHA65610 EQW65610 FAS65610 FKO65610 FUK65610 GEG65610 GOC65610 GXY65610 HHU65610 HRQ65610 IBM65610 ILI65610 IVE65610 JFA65610 JOW65610 JYS65610 KIO65610 KSK65610 LCG65610 LMC65610 LVY65610 MFU65610 MPQ65610 MZM65610 NJI65610 NTE65610 ODA65610 OMW65610 OWS65610 PGO65610 PQK65610 QAG65610 QKC65610 QTY65610 RDU65610 RNQ65610 RXM65610 SHI65610 SRE65610 TBA65610 TKW65610 TUS65610 UEO65610 UOK65610 UYG65610 VIC65610 VRY65610 WBU65610 WLQ65610 WVM65610 E131146 JA131146 SW131146 ACS131146 AMO131146 AWK131146 BGG131146 BQC131146 BZY131146 CJU131146 CTQ131146 DDM131146 DNI131146 DXE131146 EHA131146 EQW131146 FAS131146 FKO131146 FUK131146 GEG131146 GOC131146 GXY131146 HHU131146 HRQ131146 IBM131146 ILI131146 IVE131146 JFA131146 JOW131146 JYS131146 KIO131146 KSK131146 LCG131146 LMC131146 LVY131146 MFU131146 MPQ131146 MZM131146 NJI131146 NTE131146 ODA131146 OMW131146 OWS131146 PGO131146 PQK131146 QAG131146 QKC131146 QTY131146 RDU131146 RNQ131146 RXM131146 SHI131146 SRE131146 TBA131146 TKW131146 TUS131146 UEO131146 UOK131146 UYG131146 VIC131146 VRY131146 WBU131146 WLQ131146 WVM131146 E196682 JA196682 SW196682 ACS196682 AMO196682 AWK196682 BGG196682 BQC196682 BZY196682 CJU196682 CTQ196682 DDM196682 DNI196682 DXE196682 EHA196682 EQW196682 FAS196682 FKO196682 FUK196682 GEG196682 GOC196682 GXY196682 HHU196682 HRQ196682 IBM196682 ILI196682 IVE196682 JFA196682 JOW196682 JYS196682 KIO196682 KSK196682 LCG196682 LMC196682 LVY196682 MFU196682 MPQ196682 MZM196682 NJI196682 NTE196682 ODA196682 OMW196682 OWS196682 PGO196682 PQK196682 QAG196682 QKC196682 QTY196682 RDU196682 RNQ196682 RXM196682 SHI196682 SRE196682 TBA196682 TKW196682 TUS196682 UEO196682 UOK196682 UYG196682 VIC196682 VRY196682 WBU196682 WLQ196682 WVM196682 E262218 JA262218 SW262218 ACS262218 AMO262218 AWK262218 BGG262218 BQC262218 BZY262218 CJU262218 CTQ262218 DDM262218 DNI262218 DXE262218 EHA262218 EQW262218 FAS262218 FKO262218 FUK262218 GEG262218 GOC262218 GXY262218 HHU262218 HRQ262218 IBM262218 ILI262218 IVE262218 JFA262218 JOW262218 JYS262218 KIO262218 KSK262218 LCG262218 LMC262218 LVY262218 MFU262218 MPQ262218 MZM262218 NJI262218 NTE262218 ODA262218 OMW262218 OWS262218 PGO262218 PQK262218 QAG262218 QKC262218 QTY262218 RDU262218 RNQ262218 RXM262218 SHI262218 SRE262218 TBA262218 TKW262218 TUS262218 UEO262218 UOK262218 UYG262218 VIC262218 VRY262218 WBU262218 WLQ262218 WVM262218 E327754 JA327754 SW327754 ACS327754 AMO327754 AWK327754 BGG327754 BQC327754 BZY327754 CJU327754 CTQ327754 DDM327754 DNI327754 DXE327754 EHA327754 EQW327754 FAS327754 FKO327754 FUK327754 GEG327754 GOC327754 GXY327754 HHU327754 HRQ327754 IBM327754 ILI327754 IVE327754 JFA327754 JOW327754 JYS327754 KIO327754 KSK327754 LCG327754 LMC327754 LVY327754 MFU327754 MPQ327754 MZM327754 NJI327754 NTE327754 ODA327754 OMW327754 OWS327754 PGO327754 PQK327754 QAG327754 QKC327754 QTY327754 RDU327754 RNQ327754 RXM327754 SHI327754 SRE327754 TBA327754 TKW327754 TUS327754 UEO327754 UOK327754 UYG327754 VIC327754 VRY327754 WBU327754 WLQ327754 WVM327754 E393290 JA393290 SW393290 ACS393290 AMO393290 AWK393290 BGG393290 BQC393290 BZY393290 CJU393290 CTQ393290 DDM393290 DNI393290 DXE393290 EHA393290 EQW393290 FAS393290 FKO393290 FUK393290 GEG393290 GOC393290 GXY393290 HHU393290 HRQ393290 IBM393290 ILI393290 IVE393290 JFA393290 JOW393290 JYS393290 KIO393290 KSK393290 LCG393290 LMC393290 LVY393290 MFU393290 MPQ393290 MZM393290 NJI393290 NTE393290 ODA393290 OMW393290 OWS393290 PGO393290 PQK393290 QAG393290 QKC393290 QTY393290 RDU393290 RNQ393290 RXM393290 SHI393290 SRE393290 TBA393290 TKW393290 TUS393290 UEO393290 UOK393290 UYG393290 VIC393290 VRY393290 WBU393290 WLQ393290 WVM393290 E458826 JA458826 SW458826 ACS458826 AMO458826 AWK458826 BGG458826 BQC458826 BZY458826 CJU458826 CTQ458826 DDM458826 DNI458826 DXE458826 EHA458826 EQW458826 FAS458826 FKO458826 FUK458826 GEG458826 GOC458826 GXY458826 HHU458826 HRQ458826 IBM458826 ILI458826 IVE458826 JFA458826 JOW458826 JYS458826 KIO458826 KSK458826 LCG458826 LMC458826 LVY458826 MFU458826 MPQ458826 MZM458826 NJI458826 NTE458826 ODA458826 OMW458826 OWS458826 PGO458826 PQK458826 QAG458826 QKC458826 QTY458826 RDU458826 RNQ458826 RXM458826 SHI458826 SRE458826 TBA458826 TKW458826 TUS458826 UEO458826 UOK458826 UYG458826 VIC458826 VRY458826 WBU458826 WLQ458826 WVM458826 E524362 JA524362 SW524362 ACS524362 AMO524362 AWK524362 BGG524362 BQC524362 BZY524362 CJU524362 CTQ524362 DDM524362 DNI524362 DXE524362 EHA524362 EQW524362 FAS524362 FKO524362 FUK524362 GEG524362 GOC524362 GXY524362 HHU524362 HRQ524362 IBM524362 ILI524362 IVE524362 JFA524362 JOW524362 JYS524362 KIO524362 KSK524362 LCG524362 LMC524362 LVY524362 MFU524362 MPQ524362 MZM524362 NJI524362 NTE524362 ODA524362 OMW524362 OWS524362 PGO524362 PQK524362 QAG524362 QKC524362 QTY524362 RDU524362 RNQ524362 RXM524362 SHI524362 SRE524362 TBA524362 TKW524362 TUS524362 UEO524362 UOK524362 UYG524362 VIC524362 VRY524362 WBU524362 WLQ524362 WVM524362 E589898 JA589898 SW589898 ACS589898 AMO589898 AWK589898 BGG589898 BQC589898 BZY589898 CJU589898 CTQ589898 DDM589898 DNI589898 DXE589898 EHA589898 EQW589898 FAS589898 FKO589898 FUK589898 GEG589898 GOC589898 GXY589898 HHU589898 HRQ589898 IBM589898 ILI589898 IVE589898 JFA589898 JOW589898 JYS589898 KIO589898 KSK589898 LCG589898 LMC589898 LVY589898 MFU589898 MPQ589898 MZM589898 NJI589898 NTE589898 ODA589898 OMW589898 OWS589898 PGO589898 PQK589898 QAG589898 QKC589898 QTY589898 RDU589898 RNQ589898 RXM589898 SHI589898 SRE589898 TBA589898 TKW589898 TUS589898 UEO589898 UOK589898 UYG589898 VIC589898 VRY589898 WBU589898 WLQ589898 WVM589898 E655434 JA655434 SW655434 ACS655434 AMO655434 AWK655434 BGG655434 BQC655434 BZY655434 CJU655434 CTQ655434 DDM655434 DNI655434 DXE655434 EHA655434 EQW655434 FAS655434 FKO655434 FUK655434 GEG655434 GOC655434 GXY655434 HHU655434 HRQ655434 IBM655434 ILI655434 IVE655434 JFA655434 JOW655434 JYS655434 KIO655434 KSK655434 LCG655434 LMC655434 LVY655434 MFU655434 MPQ655434 MZM655434 NJI655434 NTE655434 ODA655434 OMW655434 OWS655434 PGO655434 PQK655434 QAG655434 QKC655434 QTY655434 RDU655434 RNQ655434 RXM655434 SHI655434 SRE655434 TBA655434 TKW655434 TUS655434 UEO655434 UOK655434 UYG655434 VIC655434 VRY655434 WBU655434 WLQ655434 WVM655434 E720970 JA720970 SW720970 ACS720970 AMO720970 AWK720970 BGG720970 BQC720970 BZY720970 CJU720970 CTQ720970 DDM720970 DNI720970 DXE720970 EHA720970 EQW720970 FAS720970 FKO720970 FUK720970 GEG720970 GOC720970 GXY720970 HHU720970 HRQ720970 IBM720970 ILI720970 IVE720970 JFA720970 JOW720970 JYS720970 KIO720970 KSK720970 LCG720970 LMC720970 LVY720970 MFU720970 MPQ720970 MZM720970 NJI720970 NTE720970 ODA720970 OMW720970 OWS720970 PGO720970 PQK720970 QAG720970 QKC720970 QTY720970 RDU720970 RNQ720970 RXM720970 SHI720970 SRE720970 TBA720970 TKW720970 TUS720970 UEO720970 UOK720970 UYG720970 VIC720970 VRY720970 WBU720970 WLQ720970 WVM720970 E786506 JA786506 SW786506 ACS786506 AMO786506 AWK786506 BGG786506 BQC786506 BZY786506 CJU786506 CTQ786506 DDM786506 DNI786506 DXE786506 EHA786506 EQW786506 FAS786506 FKO786506 FUK786506 GEG786506 GOC786506 GXY786506 HHU786506 HRQ786506 IBM786506 ILI786506 IVE786506 JFA786506 JOW786506 JYS786506 KIO786506 KSK786506 LCG786506 LMC786506 LVY786506 MFU786506 MPQ786506 MZM786506 NJI786506 NTE786506 ODA786506 OMW786506 OWS786506 PGO786506 PQK786506 QAG786506 QKC786506 QTY786506 RDU786506 RNQ786506 RXM786506 SHI786506 SRE786506 TBA786506 TKW786506 TUS786506 UEO786506 UOK786506 UYG786506 VIC786506 VRY786506 WBU786506 WLQ786506 WVM786506 E852042 JA852042 SW852042 ACS852042 AMO852042 AWK852042 BGG852042 BQC852042 BZY852042 CJU852042 CTQ852042 DDM852042 DNI852042 DXE852042 EHA852042 EQW852042 FAS852042 FKO852042 FUK852042 GEG852042 GOC852042 GXY852042 HHU852042 HRQ852042 IBM852042 ILI852042 IVE852042 JFA852042 JOW852042 JYS852042 KIO852042 KSK852042 LCG852042 LMC852042 LVY852042 MFU852042 MPQ852042 MZM852042 NJI852042 NTE852042 ODA852042 OMW852042 OWS852042 PGO852042 PQK852042 QAG852042 QKC852042 QTY852042 RDU852042 RNQ852042 RXM852042 SHI852042 SRE852042 TBA852042 TKW852042 TUS852042 UEO852042 UOK852042 UYG852042 VIC852042 VRY852042 WBU852042 WLQ852042 WVM852042 E917578 JA917578 SW917578 ACS917578 AMO917578 AWK917578 BGG917578 BQC917578 BZY917578 CJU917578 CTQ917578 DDM917578 DNI917578 DXE917578 EHA917578 EQW917578 FAS917578 FKO917578 FUK917578 GEG917578 GOC917578 GXY917578 HHU917578 HRQ917578 IBM917578 ILI917578 IVE917578 JFA917578 JOW917578 JYS917578 KIO917578 KSK917578 LCG917578 LMC917578 LVY917578 MFU917578 MPQ917578 MZM917578 NJI917578 NTE917578 ODA917578 OMW917578 OWS917578 PGO917578 PQK917578 QAG917578 QKC917578 QTY917578 RDU917578 RNQ917578 RXM917578 SHI917578 SRE917578 TBA917578 TKW917578 TUS917578 UEO917578 UOK917578 UYG917578 VIC917578 VRY917578 WBU917578 WLQ917578 WVM917578 E983114 JA983114 SW983114 ACS983114 AMO983114 AWK983114 BGG983114 BQC983114 BZY983114 CJU983114 CTQ983114 DDM983114 DNI983114 DXE983114 EHA983114 EQW983114 FAS983114 FKO983114 FUK983114 GEG983114 GOC983114 GXY983114 HHU983114 HRQ983114 IBM983114 ILI983114 IVE983114 JFA983114 JOW983114 JYS983114 KIO983114 KSK983114 LCG983114 LMC983114 LVY983114 MFU983114 MPQ983114 MZM983114 NJI983114 NTE983114 ODA983114 OMW983114 OWS983114 PGO983114 PQK983114 QAG983114 QKC983114 QTY983114 RDU983114 RNQ983114 RXM983114 SHI983114 SRE983114 TBA983114 TKW983114 TUS983114 UEO983114 UOK983114 UYG983114 VIC983114 VRY983114 WBU983114 WLQ983114 WVM983114 E73 JA73 SW73 ACS73 AMO73 AWK73 BGG73 BQC73 BZY73 CJU73 CTQ73 DDM73 DNI73 DXE73 EHA73 EQW73 FAS73 FKO73 FUK73 GEG73 GOC73 GXY73 HHU73 HRQ73 IBM73 ILI73 IVE73 JFA73 JOW73 JYS73 KIO73 KSK73 LCG73 LMC73 LVY73 MFU73 MPQ73 MZM73 NJI73 NTE73 ODA73 OMW73 OWS73 PGO73 PQK73 QAG73 QKC73 QTY73 RDU73 RNQ73 RXM73 SHI73 SRE73 TBA73 TKW73 TUS73 UEO73 UOK73 UYG73 VIC73 VRY73 WBU73 WLQ73 WVM73 E65613 JA65613 SW65613 ACS65613 AMO65613 AWK65613 BGG65613 BQC65613 BZY65613 CJU65613 CTQ65613 DDM65613 DNI65613 DXE65613 EHA65613 EQW65613 FAS65613 FKO65613 FUK65613 GEG65613 GOC65613 GXY65613 HHU65613 HRQ65613 IBM65613 ILI65613 IVE65613 JFA65613 JOW65613 JYS65613 KIO65613 KSK65613 LCG65613 LMC65613 LVY65613 MFU65613 MPQ65613 MZM65613 NJI65613 NTE65613 ODA65613 OMW65613 OWS65613 PGO65613 PQK65613 QAG65613 QKC65613 QTY65613 RDU65613 RNQ65613 RXM65613 SHI65613 SRE65613 TBA65613 TKW65613 TUS65613 UEO65613 UOK65613 UYG65613 VIC65613 VRY65613 WBU65613 WLQ65613 WVM65613 E131149 JA131149 SW131149 ACS131149 AMO131149 AWK131149 BGG131149 BQC131149 BZY131149 CJU131149 CTQ131149 DDM131149 DNI131149 DXE131149 EHA131149 EQW131149 FAS131149 FKO131149 FUK131149 GEG131149 GOC131149 GXY131149 HHU131149 HRQ131149 IBM131149 ILI131149 IVE131149 JFA131149 JOW131149 JYS131149 KIO131149 KSK131149 LCG131149 LMC131149 LVY131149 MFU131149 MPQ131149 MZM131149 NJI131149 NTE131149 ODA131149 OMW131149 OWS131149 PGO131149 PQK131149 QAG131149 QKC131149 QTY131149 RDU131149 RNQ131149 RXM131149 SHI131149 SRE131149 TBA131149 TKW131149 TUS131149 UEO131149 UOK131149 UYG131149 VIC131149 VRY131149 WBU131149 WLQ131149 WVM131149 E196685 JA196685 SW196685 ACS196685 AMO196685 AWK196685 BGG196685 BQC196685 BZY196685 CJU196685 CTQ196685 DDM196685 DNI196685 DXE196685 EHA196685 EQW196685 FAS196685 FKO196685 FUK196685 GEG196685 GOC196685 GXY196685 HHU196685 HRQ196685 IBM196685 ILI196685 IVE196685 JFA196685 JOW196685 JYS196685 KIO196685 KSK196685 LCG196685 LMC196685 LVY196685 MFU196685 MPQ196685 MZM196685 NJI196685 NTE196685 ODA196685 OMW196685 OWS196685 PGO196685 PQK196685 QAG196685 QKC196685 QTY196685 RDU196685 RNQ196685 RXM196685 SHI196685 SRE196685 TBA196685 TKW196685 TUS196685 UEO196685 UOK196685 UYG196685 VIC196685 VRY196685 WBU196685 WLQ196685 WVM196685 E262221 JA262221 SW262221 ACS262221 AMO262221 AWK262221 BGG262221 BQC262221 BZY262221 CJU262221 CTQ262221 DDM262221 DNI262221 DXE262221 EHA262221 EQW262221 FAS262221 FKO262221 FUK262221 GEG262221 GOC262221 GXY262221 HHU262221 HRQ262221 IBM262221 ILI262221 IVE262221 JFA262221 JOW262221 JYS262221 KIO262221 KSK262221 LCG262221 LMC262221 LVY262221 MFU262221 MPQ262221 MZM262221 NJI262221 NTE262221 ODA262221 OMW262221 OWS262221 PGO262221 PQK262221 QAG262221 QKC262221 QTY262221 RDU262221 RNQ262221 RXM262221 SHI262221 SRE262221 TBA262221 TKW262221 TUS262221 UEO262221 UOK262221 UYG262221 VIC262221 VRY262221 WBU262221 WLQ262221 WVM262221 E327757 JA327757 SW327757 ACS327757 AMO327757 AWK327757 BGG327757 BQC327757 BZY327757 CJU327757 CTQ327757 DDM327757 DNI327757 DXE327757 EHA327757 EQW327757 FAS327757 FKO327757 FUK327757 GEG327757 GOC327757 GXY327757 HHU327757 HRQ327757 IBM327757 ILI327757 IVE327757 JFA327757 JOW327757 JYS327757 KIO327757 KSK327757 LCG327757 LMC327757 LVY327757 MFU327757 MPQ327757 MZM327757 NJI327757 NTE327757 ODA327757 OMW327757 OWS327757 PGO327757 PQK327757 QAG327757 QKC327757 QTY327757 RDU327757 RNQ327757 RXM327757 SHI327757 SRE327757 TBA327757 TKW327757 TUS327757 UEO327757 UOK327757 UYG327757 VIC327757 VRY327757 WBU327757 WLQ327757 WVM327757 E393293 JA393293 SW393293 ACS393293 AMO393293 AWK393293 BGG393293 BQC393293 BZY393293 CJU393293 CTQ393293 DDM393293 DNI393293 DXE393293 EHA393293 EQW393293 FAS393293 FKO393293 FUK393293 GEG393293 GOC393293 GXY393293 HHU393293 HRQ393293 IBM393293 ILI393293 IVE393293 JFA393293 JOW393293 JYS393293 KIO393293 KSK393293 LCG393293 LMC393293 LVY393293 MFU393293 MPQ393293 MZM393293 NJI393293 NTE393293 ODA393293 OMW393293 OWS393293 PGO393293 PQK393293 QAG393293 QKC393293 QTY393293 RDU393293 RNQ393293 RXM393293 SHI393293 SRE393293 TBA393293 TKW393293 TUS393293 UEO393293 UOK393293 UYG393293 VIC393293 VRY393293 WBU393293 WLQ393293 WVM393293 E458829 JA458829 SW458829 ACS458829 AMO458829 AWK458829 BGG458829 BQC458829 BZY458829 CJU458829 CTQ458829 DDM458829 DNI458829 DXE458829 EHA458829 EQW458829 FAS458829 FKO458829 FUK458829 GEG458829 GOC458829 GXY458829 HHU458829 HRQ458829 IBM458829 ILI458829 IVE458829 JFA458829 JOW458829 JYS458829 KIO458829 KSK458829 LCG458829 LMC458829 LVY458829 MFU458829 MPQ458829 MZM458829 NJI458829 NTE458829 ODA458829 OMW458829 OWS458829 PGO458829 PQK458829 QAG458829 QKC458829 QTY458829 RDU458829 RNQ458829 RXM458829 SHI458829 SRE458829 TBA458829 TKW458829 TUS458829 UEO458829 UOK458829 UYG458829 VIC458829 VRY458829 WBU458829 WLQ458829 WVM458829 E524365 JA524365 SW524365 ACS524365 AMO524365 AWK524365 BGG524365 BQC524365 BZY524365 CJU524365 CTQ524365 DDM524365 DNI524365 DXE524365 EHA524365 EQW524365 FAS524365 FKO524365 FUK524365 GEG524365 GOC524365 GXY524365 HHU524365 HRQ524365 IBM524365 ILI524365 IVE524365 JFA524365 JOW524365 JYS524365 KIO524365 KSK524365 LCG524365 LMC524365 LVY524365 MFU524365 MPQ524365 MZM524365 NJI524365 NTE524365 ODA524365 OMW524365 OWS524365 PGO524365 PQK524365 QAG524365 QKC524365 QTY524365 RDU524365 RNQ524365 RXM524365 SHI524365 SRE524365 TBA524365 TKW524365 TUS524365 UEO524365 UOK524365 UYG524365 VIC524365 VRY524365 WBU524365 WLQ524365 WVM524365 E589901 JA589901 SW589901 ACS589901 AMO589901 AWK589901 BGG589901 BQC589901 BZY589901 CJU589901 CTQ589901 DDM589901 DNI589901 DXE589901 EHA589901 EQW589901 FAS589901 FKO589901 FUK589901 GEG589901 GOC589901 GXY589901 HHU589901 HRQ589901 IBM589901 ILI589901 IVE589901 JFA589901 JOW589901 JYS589901 KIO589901 KSK589901 LCG589901 LMC589901 LVY589901 MFU589901 MPQ589901 MZM589901 NJI589901 NTE589901 ODA589901 OMW589901 OWS589901 PGO589901 PQK589901 QAG589901 QKC589901 QTY589901 RDU589901 RNQ589901 RXM589901 SHI589901 SRE589901 TBA589901 TKW589901 TUS589901 UEO589901 UOK589901 UYG589901 VIC589901 VRY589901 WBU589901 WLQ589901 WVM589901 E655437 JA655437 SW655437 ACS655437 AMO655437 AWK655437 BGG655437 BQC655437 BZY655437 CJU655437 CTQ655437 DDM655437 DNI655437 DXE655437 EHA655437 EQW655437 FAS655437 FKO655437 FUK655437 GEG655437 GOC655437 GXY655437 HHU655437 HRQ655437 IBM655437 ILI655437 IVE655437 JFA655437 JOW655437 JYS655437 KIO655437 KSK655437 LCG655437 LMC655437 LVY655437 MFU655437 MPQ655437 MZM655437 NJI655437 NTE655437 ODA655437 OMW655437 OWS655437 PGO655437 PQK655437 QAG655437 QKC655437 QTY655437 RDU655437 RNQ655437 RXM655437 SHI655437 SRE655437 TBA655437 TKW655437 TUS655437 UEO655437 UOK655437 UYG655437 VIC655437 VRY655437 WBU655437 WLQ655437 WVM655437 E720973 JA720973 SW720973 ACS720973 AMO720973 AWK720973 BGG720973 BQC720973 BZY720973 CJU720973 CTQ720973 DDM720973 DNI720973 DXE720973 EHA720973 EQW720973 FAS720973 FKO720973 FUK720973 GEG720973 GOC720973 GXY720973 HHU720973 HRQ720973 IBM720973 ILI720973 IVE720973 JFA720973 JOW720973 JYS720973 KIO720973 KSK720973 LCG720973 LMC720973 LVY720973 MFU720973 MPQ720973 MZM720973 NJI720973 NTE720973 ODA720973 OMW720973 OWS720973 PGO720973 PQK720973 QAG720973 QKC720973 QTY720973 RDU720973 RNQ720973 RXM720973 SHI720973 SRE720973 TBA720973 TKW720973 TUS720973 UEO720973 UOK720973 UYG720973 VIC720973 VRY720973 WBU720973 WLQ720973 WVM720973 E786509 JA786509 SW786509 ACS786509 AMO786509 AWK786509 BGG786509 BQC786509 BZY786509 CJU786509 CTQ786509 DDM786509 DNI786509 DXE786509 EHA786509 EQW786509 FAS786509 FKO786509 FUK786509 GEG786509 GOC786509 GXY786509 HHU786509 HRQ786509 IBM786509 ILI786509 IVE786509 JFA786509 JOW786509 JYS786509 KIO786509 KSK786509 LCG786509 LMC786509 LVY786509 MFU786509 MPQ786509 MZM786509 NJI786509 NTE786509 ODA786509 OMW786509 OWS786509 PGO786509 PQK786509 QAG786509 QKC786509 QTY786509 RDU786509 RNQ786509 RXM786509 SHI786509 SRE786509 TBA786509 TKW786509 TUS786509 UEO786509 UOK786509 UYG786509 VIC786509 VRY786509 WBU786509 WLQ786509 WVM786509 E852045 JA852045 SW852045 ACS852045 AMO852045 AWK852045 BGG852045 BQC852045 BZY852045 CJU852045 CTQ852045 DDM852045 DNI852045 DXE852045 EHA852045 EQW852045 FAS852045 FKO852045 FUK852045 GEG852045 GOC852045 GXY852045 HHU852045 HRQ852045 IBM852045 ILI852045 IVE852045 JFA852045 JOW852045 JYS852045 KIO852045 KSK852045 LCG852045 LMC852045 LVY852045 MFU852045 MPQ852045 MZM852045 NJI852045 NTE852045 ODA852045 OMW852045 OWS852045 PGO852045 PQK852045 QAG852045 QKC852045 QTY852045 RDU852045 RNQ852045 RXM852045 SHI852045 SRE852045 TBA852045 TKW852045 TUS852045 UEO852045 UOK852045 UYG852045 VIC852045 VRY852045 WBU852045 WLQ852045 WVM852045 E917581 JA917581 SW917581 ACS917581 AMO917581 AWK917581 BGG917581 BQC917581 BZY917581 CJU917581 CTQ917581 DDM917581 DNI917581 DXE917581 EHA917581 EQW917581 FAS917581 FKO917581 FUK917581 GEG917581 GOC917581 GXY917581 HHU917581 HRQ917581 IBM917581 ILI917581 IVE917581 JFA917581 JOW917581 JYS917581 KIO917581 KSK917581 LCG917581 LMC917581 LVY917581 MFU917581 MPQ917581 MZM917581 NJI917581 NTE917581 ODA917581 OMW917581 OWS917581 PGO917581 PQK917581 QAG917581 QKC917581 QTY917581 RDU917581 RNQ917581 RXM917581 SHI917581 SRE917581 TBA917581 TKW917581 TUS917581 UEO917581 UOK917581 UYG917581 VIC917581 VRY917581 WBU917581 WLQ917581 WVM917581 E983117 JA983117 SW983117 ACS983117 AMO983117 AWK983117 BGG983117 BQC983117 BZY983117 CJU983117 CTQ983117 DDM983117 DNI983117 DXE983117 EHA983117 EQW983117 FAS983117 FKO983117 FUK983117 GEG983117 GOC983117 GXY983117 HHU983117 HRQ983117 IBM983117 ILI983117 IVE983117 JFA983117 JOW983117 JYS983117 KIO983117 KSK983117 LCG983117 LMC983117 LVY983117 MFU983117 MPQ983117 MZM983117 NJI983117 NTE983117 ODA983117 OMW983117 OWS983117 PGO983117 PQK983117 QAG983117 QKC983117 QTY983117 RDU983117 RNQ983117 RXM983117 SHI983117 SRE983117 TBA983117 TKW983117 TUS983117 UEO983117 UOK983117 UYG983117 VIC983117 VRY983117 WBU983117 WLQ983117 WVM983117">
      <formula1>"ARS/ARS, ARS/SRS"</formula1>
    </dataValidation>
    <dataValidation type="list" allowBlank="1" showInputMessage="1" showErrorMessage="1" sqref="G63:L63 JC63:JH63 SY63:TD63 ACU63:ACZ63 AMQ63:AMV63 AWM63:AWR63 BGI63:BGN63 BQE63:BQJ63 CAA63:CAF63 CJW63:CKB63 CTS63:CTX63 DDO63:DDT63 DNK63:DNP63 DXG63:DXL63 EHC63:EHH63 EQY63:ERD63 FAU63:FAZ63 FKQ63:FKV63 FUM63:FUR63 GEI63:GEN63 GOE63:GOJ63 GYA63:GYF63 HHW63:HIB63 HRS63:HRX63 IBO63:IBT63 ILK63:ILP63 IVG63:IVL63 JFC63:JFH63 JOY63:JPD63 JYU63:JYZ63 KIQ63:KIV63 KSM63:KSR63 LCI63:LCN63 LME63:LMJ63 LWA63:LWF63 MFW63:MGB63 MPS63:MPX63 MZO63:MZT63 NJK63:NJP63 NTG63:NTL63 ODC63:ODH63 OMY63:OND63 OWU63:OWZ63 PGQ63:PGV63 PQM63:PQR63 QAI63:QAN63 QKE63:QKJ63 QUA63:QUF63 RDW63:REB63 RNS63:RNX63 RXO63:RXT63 SHK63:SHP63 SRG63:SRL63 TBC63:TBH63 TKY63:TLD63 TUU63:TUZ63 UEQ63:UEV63 UOM63:UOR63 UYI63:UYN63 VIE63:VIJ63 VSA63:VSF63 WBW63:WCB63 WLS63:WLX63 WVO63:WVT63 G65603:L65603 JC65603:JH65603 SY65603:TD65603 ACU65603:ACZ65603 AMQ65603:AMV65603 AWM65603:AWR65603 BGI65603:BGN65603 BQE65603:BQJ65603 CAA65603:CAF65603 CJW65603:CKB65603 CTS65603:CTX65603 DDO65603:DDT65603 DNK65603:DNP65603 DXG65603:DXL65603 EHC65603:EHH65603 EQY65603:ERD65603 FAU65603:FAZ65603 FKQ65603:FKV65603 FUM65603:FUR65603 GEI65603:GEN65603 GOE65603:GOJ65603 GYA65603:GYF65603 HHW65603:HIB65603 HRS65603:HRX65603 IBO65603:IBT65603 ILK65603:ILP65603 IVG65603:IVL65603 JFC65603:JFH65603 JOY65603:JPD65603 JYU65603:JYZ65603 KIQ65603:KIV65603 KSM65603:KSR65603 LCI65603:LCN65603 LME65603:LMJ65603 LWA65603:LWF65603 MFW65603:MGB65603 MPS65603:MPX65603 MZO65603:MZT65603 NJK65603:NJP65603 NTG65603:NTL65603 ODC65603:ODH65603 OMY65603:OND65603 OWU65603:OWZ65603 PGQ65603:PGV65603 PQM65603:PQR65603 QAI65603:QAN65603 QKE65603:QKJ65603 QUA65603:QUF65603 RDW65603:REB65603 RNS65603:RNX65603 RXO65603:RXT65603 SHK65603:SHP65603 SRG65603:SRL65603 TBC65603:TBH65603 TKY65603:TLD65603 TUU65603:TUZ65603 UEQ65603:UEV65603 UOM65603:UOR65603 UYI65603:UYN65603 VIE65603:VIJ65603 VSA65603:VSF65603 WBW65603:WCB65603 WLS65603:WLX65603 WVO65603:WVT65603 G131139:L131139 JC131139:JH131139 SY131139:TD131139 ACU131139:ACZ131139 AMQ131139:AMV131139 AWM131139:AWR131139 BGI131139:BGN131139 BQE131139:BQJ131139 CAA131139:CAF131139 CJW131139:CKB131139 CTS131139:CTX131139 DDO131139:DDT131139 DNK131139:DNP131139 DXG131139:DXL131139 EHC131139:EHH131139 EQY131139:ERD131139 FAU131139:FAZ131139 FKQ131139:FKV131139 FUM131139:FUR131139 GEI131139:GEN131139 GOE131139:GOJ131139 GYA131139:GYF131139 HHW131139:HIB131139 HRS131139:HRX131139 IBO131139:IBT131139 ILK131139:ILP131139 IVG131139:IVL131139 JFC131139:JFH131139 JOY131139:JPD131139 JYU131139:JYZ131139 KIQ131139:KIV131139 KSM131139:KSR131139 LCI131139:LCN131139 LME131139:LMJ131139 LWA131139:LWF131139 MFW131139:MGB131139 MPS131139:MPX131139 MZO131139:MZT131139 NJK131139:NJP131139 NTG131139:NTL131139 ODC131139:ODH131139 OMY131139:OND131139 OWU131139:OWZ131139 PGQ131139:PGV131139 PQM131139:PQR131139 QAI131139:QAN131139 QKE131139:QKJ131139 QUA131139:QUF131139 RDW131139:REB131139 RNS131139:RNX131139 RXO131139:RXT131139 SHK131139:SHP131139 SRG131139:SRL131139 TBC131139:TBH131139 TKY131139:TLD131139 TUU131139:TUZ131139 UEQ131139:UEV131139 UOM131139:UOR131139 UYI131139:UYN131139 VIE131139:VIJ131139 VSA131139:VSF131139 WBW131139:WCB131139 WLS131139:WLX131139 WVO131139:WVT131139 G196675:L196675 JC196675:JH196675 SY196675:TD196675 ACU196675:ACZ196675 AMQ196675:AMV196675 AWM196675:AWR196675 BGI196675:BGN196675 BQE196675:BQJ196675 CAA196675:CAF196675 CJW196675:CKB196675 CTS196675:CTX196675 DDO196675:DDT196675 DNK196675:DNP196675 DXG196675:DXL196675 EHC196675:EHH196675 EQY196675:ERD196675 FAU196675:FAZ196675 FKQ196675:FKV196675 FUM196675:FUR196675 GEI196675:GEN196675 GOE196675:GOJ196675 GYA196675:GYF196675 HHW196675:HIB196675 HRS196675:HRX196675 IBO196675:IBT196675 ILK196675:ILP196675 IVG196675:IVL196675 JFC196675:JFH196675 JOY196675:JPD196675 JYU196675:JYZ196675 KIQ196675:KIV196675 KSM196675:KSR196675 LCI196675:LCN196675 LME196675:LMJ196675 LWA196675:LWF196675 MFW196675:MGB196675 MPS196675:MPX196675 MZO196675:MZT196675 NJK196675:NJP196675 NTG196675:NTL196675 ODC196675:ODH196675 OMY196675:OND196675 OWU196675:OWZ196675 PGQ196675:PGV196675 PQM196675:PQR196675 QAI196675:QAN196675 QKE196675:QKJ196675 QUA196675:QUF196675 RDW196675:REB196675 RNS196675:RNX196675 RXO196675:RXT196675 SHK196675:SHP196675 SRG196675:SRL196675 TBC196675:TBH196675 TKY196675:TLD196675 TUU196675:TUZ196675 UEQ196675:UEV196675 UOM196675:UOR196675 UYI196675:UYN196675 VIE196675:VIJ196675 VSA196675:VSF196675 WBW196675:WCB196675 WLS196675:WLX196675 WVO196675:WVT196675 G262211:L262211 JC262211:JH262211 SY262211:TD262211 ACU262211:ACZ262211 AMQ262211:AMV262211 AWM262211:AWR262211 BGI262211:BGN262211 BQE262211:BQJ262211 CAA262211:CAF262211 CJW262211:CKB262211 CTS262211:CTX262211 DDO262211:DDT262211 DNK262211:DNP262211 DXG262211:DXL262211 EHC262211:EHH262211 EQY262211:ERD262211 FAU262211:FAZ262211 FKQ262211:FKV262211 FUM262211:FUR262211 GEI262211:GEN262211 GOE262211:GOJ262211 GYA262211:GYF262211 HHW262211:HIB262211 HRS262211:HRX262211 IBO262211:IBT262211 ILK262211:ILP262211 IVG262211:IVL262211 JFC262211:JFH262211 JOY262211:JPD262211 JYU262211:JYZ262211 KIQ262211:KIV262211 KSM262211:KSR262211 LCI262211:LCN262211 LME262211:LMJ262211 LWA262211:LWF262211 MFW262211:MGB262211 MPS262211:MPX262211 MZO262211:MZT262211 NJK262211:NJP262211 NTG262211:NTL262211 ODC262211:ODH262211 OMY262211:OND262211 OWU262211:OWZ262211 PGQ262211:PGV262211 PQM262211:PQR262211 QAI262211:QAN262211 QKE262211:QKJ262211 QUA262211:QUF262211 RDW262211:REB262211 RNS262211:RNX262211 RXO262211:RXT262211 SHK262211:SHP262211 SRG262211:SRL262211 TBC262211:TBH262211 TKY262211:TLD262211 TUU262211:TUZ262211 UEQ262211:UEV262211 UOM262211:UOR262211 UYI262211:UYN262211 VIE262211:VIJ262211 VSA262211:VSF262211 WBW262211:WCB262211 WLS262211:WLX262211 WVO262211:WVT262211 G327747:L327747 JC327747:JH327747 SY327747:TD327747 ACU327747:ACZ327747 AMQ327747:AMV327747 AWM327747:AWR327747 BGI327747:BGN327747 BQE327747:BQJ327747 CAA327747:CAF327747 CJW327747:CKB327747 CTS327747:CTX327747 DDO327747:DDT327747 DNK327747:DNP327747 DXG327747:DXL327747 EHC327747:EHH327747 EQY327747:ERD327747 FAU327747:FAZ327747 FKQ327747:FKV327747 FUM327747:FUR327747 GEI327747:GEN327747 GOE327747:GOJ327747 GYA327747:GYF327747 HHW327747:HIB327747 HRS327747:HRX327747 IBO327747:IBT327747 ILK327747:ILP327747 IVG327747:IVL327747 JFC327747:JFH327747 JOY327747:JPD327747 JYU327747:JYZ327747 KIQ327747:KIV327747 KSM327747:KSR327747 LCI327747:LCN327747 LME327747:LMJ327747 LWA327747:LWF327747 MFW327747:MGB327747 MPS327747:MPX327747 MZO327747:MZT327747 NJK327747:NJP327747 NTG327747:NTL327747 ODC327747:ODH327747 OMY327747:OND327747 OWU327747:OWZ327747 PGQ327747:PGV327747 PQM327747:PQR327747 QAI327747:QAN327747 QKE327747:QKJ327747 QUA327747:QUF327747 RDW327747:REB327747 RNS327747:RNX327747 RXO327747:RXT327747 SHK327747:SHP327747 SRG327747:SRL327747 TBC327747:TBH327747 TKY327747:TLD327747 TUU327747:TUZ327747 UEQ327747:UEV327747 UOM327747:UOR327747 UYI327747:UYN327747 VIE327747:VIJ327747 VSA327747:VSF327747 WBW327747:WCB327747 WLS327747:WLX327747 WVO327747:WVT327747 G393283:L393283 JC393283:JH393283 SY393283:TD393283 ACU393283:ACZ393283 AMQ393283:AMV393283 AWM393283:AWR393283 BGI393283:BGN393283 BQE393283:BQJ393283 CAA393283:CAF393283 CJW393283:CKB393283 CTS393283:CTX393283 DDO393283:DDT393283 DNK393283:DNP393283 DXG393283:DXL393283 EHC393283:EHH393283 EQY393283:ERD393283 FAU393283:FAZ393283 FKQ393283:FKV393283 FUM393283:FUR393283 GEI393283:GEN393283 GOE393283:GOJ393283 GYA393283:GYF393283 HHW393283:HIB393283 HRS393283:HRX393283 IBO393283:IBT393283 ILK393283:ILP393283 IVG393283:IVL393283 JFC393283:JFH393283 JOY393283:JPD393283 JYU393283:JYZ393283 KIQ393283:KIV393283 KSM393283:KSR393283 LCI393283:LCN393283 LME393283:LMJ393283 LWA393283:LWF393283 MFW393283:MGB393283 MPS393283:MPX393283 MZO393283:MZT393283 NJK393283:NJP393283 NTG393283:NTL393283 ODC393283:ODH393283 OMY393283:OND393283 OWU393283:OWZ393283 PGQ393283:PGV393283 PQM393283:PQR393283 QAI393283:QAN393283 QKE393283:QKJ393283 QUA393283:QUF393283 RDW393283:REB393283 RNS393283:RNX393283 RXO393283:RXT393283 SHK393283:SHP393283 SRG393283:SRL393283 TBC393283:TBH393283 TKY393283:TLD393283 TUU393283:TUZ393283 UEQ393283:UEV393283 UOM393283:UOR393283 UYI393283:UYN393283 VIE393283:VIJ393283 VSA393283:VSF393283 WBW393283:WCB393283 WLS393283:WLX393283 WVO393283:WVT393283 G458819:L458819 JC458819:JH458819 SY458819:TD458819 ACU458819:ACZ458819 AMQ458819:AMV458819 AWM458819:AWR458819 BGI458819:BGN458819 BQE458819:BQJ458819 CAA458819:CAF458819 CJW458819:CKB458819 CTS458819:CTX458819 DDO458819:DDT458819 DNK458819:DNP458819 DXG458819:DXL458819 EHC458819:EHH458819 EQY458819:ERD458819 FAU458819:FAZ458819 FKQ458819:FKV458819 FUM458819:FUR458819 GEI458819:GEN458819 GOE458819:GOJ458819 GYA458819:GYF458819 HHW458819:HIB458819 HRS458819:HRX458819 IBO458819:IBT458819 ILK458819:ILP458819 IVG458819:IVL458819 JFC458819:JFH458819 JOY458819:JPD458819 JYU458819:JYZ458819 KIQ458819:KIV458819 KSM458819:KSR458819 LCI458819:LCN458819 LME458819:LMJ458819 LWA458819:LWF458819 MFW458819:MGB458819 MPS458819:MPX458819 MZO458819:MZT458819 NJK458819:NJP458819 NTG458819:NTL458819 ODC458819:ODH458819 OMY458819:OND458819 OWU458819:OWZ458819 PGQ458819:PGV458819 PQM458819:PQR458819 QAI458819:QAN458819 QKE458819:QKJ458819 QUA458819:QUF458819 RDW458819:REB458819 RNS458819:RNX458819 RXO458819:RXT458819 SHK458819:SHP458819 SRG458819:SRL458819 TBC458819:TBH458819 TKY458819:TLD458819 TUU458819:TUZ458819 UEQ458819:UEV458819 UOM458819:UOR458819 UYI458819:UYN458819 VIE458819:VIJ458819 VSA458819:VSF458819 WBW458819:WCB458819 WLS458819:WLX458819 WVO458819:WVT458819 G524355:L524355 JC524355:JH524355 SY524355:TD524355 ACU524355:ACZ524355 AMQ524355:AMV524355 AWM524355:AWR524355 BGI524355:BGN524355 BQE524355:BQJ524355 CAA524355:CAF524355 CJW524355:CKB524355 CTS524355:CTX524355 DDO524355:DDT524355 DNK524355:DNP524355 DXG524355:DXL524355 EHC524355:EHH524355 EQY524355:ERD524355 FAU524355:FAZ524355 FKQ524355:FKV524355 FUM524355:FUR524355 GEI524355:GEN524355 GOE524355:GOJ524355 GYA524355:GYF524355 HHW524355:HIB524355 HRS524355:HRX524355 IBO524355:IBT524355 ILK524355:ILP524355 IVG524355:IVL524355 JFC524355:JFH524355 JOY524355:JPD524355 JYU524355:JYZ524355 KIQ524355:KIV524355 KSM524355:KSR524355 LCI524355:LCN524355 LME524355:LMJ524355 LWA524355:LWF524355 MFW524355:MGB524355 MPS524355:MPX524355 MZO524355:MZT524355 NJK524355:NJP524355 NTG524355:NTL524355 ODC524355:ODH524355 OMY524355:OND524355 OWU524355:OWZ524355 PGQ524355:PGV524355 PQM524355:PQR524355 QAI524355:QAN524355 QKE524355:QKJ524355 QUA524355:QUF524355 RDW524355:REB524355 RNS524355:RNX524355 RXO524355:RXT524355 SHK524355:SHP524355 SRG524355:SRL524355 TBC524355:TBH524355 TKY524355:TLD524355 TUU524355:TUZ524355 UEQ524355:UEV524355 UOM524355:UOR524355 UYI524355:UYN524355 VIE524355:VIJ524355 VSA524355:VSF524355 WBW524355:WCB524355 WLS524355:WLX524355 WVO524355:WVT524355 G589891:L589891 JC589891:JH589891 SY589891:TD589891 ACU589891:ACZ589891 AMQ589891:AMV589891 AWM589891:AWR589891 BGI589891:BGN589891 BQE589891:BQJ589891 CAA589891:CAF589891 CJW589891:CKB589891 CTS589891:CTX589891 DDO589891:DDT589891 DNK589891:DNP589891 DXG589891:DXL589891 EHC589891:EHH589891 EQY589891:ERD589891 FAU589891:FAZ589891 FKQ589891:FKV589891 FUM589891:FUR589891 GEI589891:GEN589891 GOE589891:GOJ589891 GYA589891:GYF589891 HHW589891:HIB589891 HRS589891:HRX589891 IBO589891:IBT589891 ILK589891:ILP589891 IVG589891:IVL589891 JFC589891:JFH589891 JOY589891:JPD589891 JYU589891:JYZ589891 KIQ589891:KIV589891 KSM589891:KSR589891 LCI589891:LCN589891 LME589891:LMJ589891 LWA589891:LWF589891 MFW589891:MGB589891 MPS589891:MPX589891 MZO589891:MZT589891 NJK589891:NJP589891 NTG589891:NTL589891 ODC589891:ODH589891 OMY589891:OND589891 OWU589891:OWZ589891 PGQ589891:PGV589891 PQM589891:PQR589891 QAI589891:QAN589891 QKE589891:QKJ589891 QUA589891:QUF589891 RDW589891:REB589891 RNS589891:RNX589891 RXO589891:RXT589891 SHK589891:SHP589891 SRG589891:SRL589891 TBC589891:TBH589891 TKY589891:TLD589891 TUU589891:TUZ589891 UEQ589891:UEV589891 UOM589891:UOR589891 UYI589891:UYN589891 VIE589891:VIJ589891 VSA589891:VSF589891 WBW589891:WCB589891 WLS589891:WLX589891 WVO589891:WVT589891 G655427:L655427 JC655427:JH655427 SY655427:TD655427 ACU655427:ACZ655427 AMQ655427:AMV655427 AWM655427:AWR655427 BGI655427:BGN655427 BQE655427:BQJ655427 CAA655427:CAF655427 CJW655427:CKB655427 CTS655427:CTX655427 DDO655427:DDT655427 DNK655427:DNP655427 DXG655427:DXL655427 EHC655427:EHH655427 EQY655427:ERD655427 FAU655427:FAZ655427 FKQ655427:FKV655427 FUM655427:FUR655427 GEI655427:GEN655427 GOE655427:GOJ655427 GYA655427:GYF655427 HHW655427:HIB655427 HRS655427:HRX655427 IBO655427:IBT655427 ILK655427:ILP655427 IVG655427:IVL655427 JFC655427:JFH655427 JOY655427:JPD655427 JYU655427:JYZ655427 KIQ655427:KIV655427 KSM655427:KSR655427 LCI655427:LCN655427 LME655427:LMJ655427 LWA655427:LWF655427 MFW655427:MGB655427 MPS655427:MPX655427 MZO655427:MZT655427 NJK655427:NJP655427 NTG655427:NTL655427 ODC655427:ODH655427 OMY655427:OND655427 OWU655427:OWZ655427 PGQ655427:PGV655427 PQM655427:PQR655427 QAI655427:QAN655427 QKE655427:QKJ655427 QUA655427:QUF655427 RDW655427:REB655427 RNS655427:RNX655427 RXO655427:RXT655427 SHK655427:SHP655427 SRG655427:SRL655427 TBC655427:TBH655427 TKY655427:TLD655427 TUU655427:TUZ655427 UEQ655427:UEV655427 UOM655427:UOR655427 UYI655427:UYN655427 VIE655427:VIJ655427 VSA655427:VSF655427 WBW655427:WCB655427 WLS655427:WLX655427 WVO655427:WVT655427 G720963:L720963 JC720963:JH720963 SY720963:TD720963 ACU720963:ACZ720963 AMQ720963:AMV720963 AWM720963:AWR720963 BGI720963:BGN720963 BQE720963:BQJ720963 CAA720963:CAF720963 CJW720963:CKB720963 CTS720963:CTX720963 DDO720963:DDT720963 DNK720963:DNP720963 DXG720963:DXL720963 EHC720963:EHH720963 EQY720963:ERD720963 FAU720963:FAZ720963 FKQ720963:FKV720963 FUM720963:FUR720963 GEI720963:GEN720963 GOE720963:GOJ720963 GYA720963:GYF720963 HHW720963:HIB720963 HRS720963:HRX720963 IBO720963:IBT720963 ILK720963:ILP720963 IVG720963:IVL720963 JFC720963:JFH720963 JOY720963:JPD720963 JYU720963:JYZ720963 KIQ720963:KIV720963 KSM720963:KSR720963 LCI720963:LCN720963 LME720963:LMJ720963 LWA720963:LWF720963 MFW720963:MGB720963 MPS720963:MPX720963 MZO720963:MZT720963 NJK720963:NJP720963 NTG720963:NTL720963 ODC720963:ODH720963 OMY720963:OND720963 OWU720963:OWZ720963 PGQ720963:PGV720963 PQM720963:PQR720963 QAI720963:QAN720963 QKE720963:QKJ720963 QUA720963:QUF720963 RDW720963:REB720963 RNS720963:RNX720963 RXO720963:RXT720963 SHK720963:SHP720963 SRG720963:SRL720963 TBC720963:TBH720963 TKY720963:TLD720963 TUU720963:TUZ720963 UEQ720963:UEV720963 UOM720963:UOR720963 UYI720963:UYN720963 VIE720963:VIJ720963 VSA720963:VSF720963 WBW720963:WCB720963 WLS720963:WLX720963 WVO720963:WVT720963 G786499:L786499 JC786499:JH786499 SY786499:TD786499 ACU786499:ACZ786499 AMQ786499:AMV786499 AWM786499:AWR786499 BGI786499:BGN786499 BQE786499:BQJ786499 CAA786499:CAF786499 CJW786499:CKB786499 CTS786499:CTX786499 DDO786499:DDT786499 DNK786499:DNP786499 DXG786499:DXL786499 EHC786499:EHH786499 EQY786499:ERD786499 FAU786499:FAZ786499 FKQ786499:FKV786499 FUM786499:FUR786499 GEI786499:GEN786499 GOE786499:GOJ786499 GYA786499:GYF786499 HHW786499:HIB786499 HRS786499:HRX786499 IBO786499:IBT786499 ILK786499:ILP786499 IVG786499:IVL786499 JFC786499:JFH786499 JOY786499:JPD786499 JYU786499:JYZ786499 KIQ786499:KIV786499 KSM786499:KSR786499 LCI786499:LCN786499 LME786499:LMJ786499 LWA786499:LWF786499 MFW786499:MGB786499 MPS786499:MPX786499 MZO786499:MZT786499 NJK786499:NJP786499 NTG786499:NTL786499 ODC786499:ODH786499 OMY786499:OND786499 OWU786499:OWZ786499 PGQ786499:PGV786499 PQM786499:PQR786499 QAI786499:QAN786499 QKE786499:QKJ786499 QUA786499:QUF786499 RDW786499:REB786499 RNS786499:RNX786499 RXO786499:RXT786499 SHK786499:SHP786499 SRG786499:SRL786499 TBC786499:TBH786499 TKY786499:TLD786499 TUU786499:TUZ786499 UEQ786499:UEV786499 UOM786499:UOR786499 UYI786499:UYN786499 VIE786499:VIJ786499 VSA786499:VSF786499 WBW786499:WCB786499 WLS786499:WLX786499 WVO786499:WVT786499 G852035:L852035 JC852035:JH852035 SY852035:TD852035 ACU852035:ACZ852035 AMQ852035:AMV852035 AWM852035:AWR852035 BGI852035:BGN852035 BQE852035:BQJ852035 CAA852035:CAF852035 CJW852035:CKB852035 CTS852035:CTX852035 DDO852035:DDT852035 DNK852035:DNP852035 DXG852035:DXL852035 EHC852035:EHH852035 EQY852035:ERD852035 FAU852035:FAZ852035 FKQ852035:FKV852035 FUM852035:FUR852035 GEI852035:GEN852035 GOE852035:GOJ852035 GYA852035:GYF852035 HHW852035:HIB852035 HRS852035:HRX852035 IBO852035:IBT852035 ILK852035:ILP852035 IVG852035:IVL852035 JFC852035:JFH852035 JOY852035:JPD852035 JYU852035:JYZ852035 KIQ852035:KIV852035 KSM852035:KSR852035 LCI852035:LCN852035 LME852035:LMJ852035 LWA852035:LWF852035 MFW852035:MGB852035 MPS852035:MPX852035 MZO852035:MZT852035 NJK852035:NJP852035 NTG852035:NTL852035 ODC852035:ODH852035 OMY852035:OND852035 OWU852035:OWZ852035 PGQ852035:PGV852035 PQM852035:PQR852035 QAI852035:QAN852035 QKE852035:QKJ852035 QUA852035:QUF852035 RDW852035:REB852035 RNS852035:RNX852035 RXO852035:RXT852035 SHK852035:SHP852035 SRG852035:SRL852035 TBC852035:TBH852035 TKY852035:TLD852035 TUU852035:TUZ852035 UEQ852035:UEV852035 UOM852035:UOR852035 UYI852035:UYN852035 VIE852035:VIJ852035 VSA852035:VSF852035 WBW852035:WCB852035 WLS852035:WLX852035 WVO852035:WVT852035 G917571:L917571 JC917571:JH917571 SY917571:TD917571 ACU917571:ACZ917571 AMQ917571:AMV917571 AWM917571:AWR917571 BGI917571:BGN917571 BQE917571:BQJ917571 CAA917571:CAF917571 CJW917571:CKB917571 CTS917571:CTX917571 DDO917571:DDT917571 DNK917571:DNP917571 DXG917571:DXL917571 EHC917571:EHH917571 EQY917571:ERD917571 FAU917571:FAZ917571 FKQ917571:FKV917571 FUM917571:FUR917571 GEI917571:GEN917571 GOE917571:GOJ917571 GYA917571:GYF917571 HHW917571:HIB917571 HRS917571:HRX917571 IBO917571:IBT917571 ILK917571:ILP917571 IVG917571:IVL917571 JFC917571:JFH917571 JOY917571:JPD917571 JYU917571:JYZ917571 KIQ917571:KIV917571 KSM917571:KSR917571 LCI917571:LCN917571 LME917571:LMJ917571 LWA917571:LWF917571 MFW917571:MGB917571 MPS917571:MPX917571 MZO917571:MZT917571 NJK917571:NJP917571 NTG917571:NTL917571 ODC917571:ODH917571 OMY917571:OND917571 OWU917571:OWZ917571 PGQ917571:PGV917571 PQM917571:PQR917571 QAI917571:QAN917571 QKE917571:QKJ917571 QUA917571:QUF917571 RDW917571:REB917571 RNS917571:RNX917571 RXO917571:RXT917571 SHK917571:SHP917571 SRG917571:SRL917571 TBC917571:TBH917571 TKY917571:TLD917571 TUU917571:TUZ917571 UEQ917571:UEV917571 UOM917571:UOR917571 UYI917571:UYN917571 VIE917571:VIJ917571 VSA917571:VSF917571 WBW917571:WCB917571 WLS917571:WLX917571 WVO917571:WVT917571 G983107:L983107 JC983107:JH983107 SY983107:TD983107 ACU983107:ACZ983107 AMQ983107:AMV983107 AWM983107:AWR983107 BGI983107:BGN983107 BQE983107:BQJ983107 CAA983107:CAF983107 CJW983107:CKB983107 CTS983107:CTX983107 DDO983107:DDT983107 DNK983107:DNP983107 DXG983107:DXL983107 EHC983107:EHH983107 EQY983107:ERD983107 FAU983107:FAZ983107 FKQ983107:FKV983107 FUM983107:FUR983107 GEI983107:GEN983107 GOE983107:GOJ983107 GYA983107:GYF983107 HHW983107:HIB983107 HRS983107:HRX983107 IBO983107:IBT983107 ILK983107:ILP983107 IVG983107:IVL983107 JFC983107:JFH983107 JOY983107:JPD983107 JYU983107:JYZ983107 KIQ983107:KIV983107 KSM983107:KSR983107 LCI983107:LCN983107 LME983107:LMJ983107 LWA983107:LWF983107 MFW983107:MGB983107 MPS983107:MPX983107 MZO983107:MZT983107 NJK983107:NJP983107 NTG983107:NTL983107 ODC983107:ODH983107 OMY983107:OND983107 OWU983107:OWZ983107 PGQ983107:PGV983107 PQM983107:PQR983107 QAI983107:QAN983107 QKE983107:QKJ983107 QUA983107:QUF983107 RDW983107:REB983107 RNS983107:RNX983107 RXO983107:RXT983107 SHK983107:SHP983107 SRG983107:SRL983107 TBC983107:TBH983107 TKY983107:TLD983107 TUU983107:TUZ983107 UEQ983107:UEV983107 UOM983107:UOR983107 UYI983107:UYN983107 VIE983107:VIJ983107 VSA983107:VSF983107 WBW983107:WCB983107 WLS983107:WLX983107 WVO983107:WVT983107">
      <formula1>"Lower Earnings Limit, Upper Earnings Limit, No Offset Applied"</formula1>
    </dataValidation>
    <dataValidation type="list" allowBlank="1" showInputMessage="1" showErrorMessage="1" sqref="G69:L69 JC69:JH69 SY69:TD69 ACU69:ACZ69 AMQ69:AMV69 AWM69:AWR69 BGI69:BGN69 BQE69:BQJ69 CAA69:CAF69 CJW69:CKB69 CTS69:CTX69 DDO69:DDT69 DNK69:DNP69 DXG69:DXL69 EHC69:EHH69 EQY69:ERD69 FAU69:FAZ69 FKQ69:FKV69 FUM69:FUR69 GEI69:GEN69 GOE69:GOJ69 GYA69:GYF69 HHW69:HIB69 HRS69:HRX69 IBO69:IBT69 ILK69:ILP69 IVG69:IVL69 JFC69:JFH69 JOY69:JPD69 JYU69:JYZ69 KIQ69:KIV69 KSM69:KSR69 LCI69:LCN69 LME69:LMJ69 LWA69:LWF69 MFW69:MGB69 MPS69:MPX69 MZO69:MZT69 NJK69:NJP69 NTG69:NTL69 ODC69:ODH69 OMY69:OND69 OWU69:OWZ69 PGQ69:PGV69 PQM69:PQR69 QAI69:QAN69 QKE69:QKJ69 QUA69:QUF69 RDW69:REB69 RNS69:RNX69 RXO69:RXT69 SHK69:SHP69 SRG69:SRL69 TBC69:TBH69 TKY69:TLD69 TUU69:TUZ69 UEQ69:UEV69 UOM69:UOR69 UYI69:UYN69 VIE69:VIJ69 VSA69:VSF69 WBW69:WCB69 WLS69:WLX69 WVO69:WVT69 G65609:L65609 JC65609:JH65609 SY65609:TD65609 ACU65609:ACZ65609 AMQ65609:AMV65609 AWM65609:AWR65609 BGI65609:BGN65609 BQE65609:BQJ65609 CAA65609:CAF65609 CJW65609:CKB65609 CTS65609:CTX65609 DDO65609:DDT65609 DNK65609:DNP65609 DXG65609:DXL65609 EHC65609:EHH65609 EQY65609:ERD65609 FAU65609:FAZ65609 FKQ65609:FKV65609 FUM65609:FUR65609 GEI65609:GEN65609 GOE65609:GOJ65609 GYA65609:GYF65609 HHW65609:HIB65609 HRS65609:HRX65609 IBO65609:IBT65609 ILK65609:ILP65609 IVG65609:IVL65609 JFC65609:JFH65609 JOY65609:JPD65609 JYU65609:JYZ65609 KIQ65609:KIV65609 KSM65609:KSR65609 LCI65609:LCN65609 LME65609:LMJ65609 LWA65609:LWF65609 MFW65609:MGB65609 MPS65609:MPX65609 MZO65609:MZT65609 NJK65609:NJP65609 NTG65609:NTL65609 ODC65609:ODH65609 OMY65609:OND65609 OWU65609:OWZ65609 PGQ65609:PGV65609 PQM65609:PQR65609 QAI65609:QAN65609 QKE65609:QKJ65609 QUA65609:QUF65609 RDW65609:REB65609 RNS65609:RNX65609 RXO65609:RXT65609 SHK65609:SHP65609 SRG65609:SRL65609 TBC65609:TBH65609 TKY65609:TLD65609 TUU65609:TUZ65609 UEQ65609:UEV65609 UOM65609:UOR65609 UYI65609:UYN65609 VIE65609:VIJ65609 VSA65609:VSF65609 WBW65609:WCB65609 WLS65609:WLX65609 WVO65609:WVT65609 G131145:L131145 JC131145:JH131145 SY131145:TD131145 ACU131145:ACZ131145 AMQ131145:AMV131145 AWM131145:AWR131145 BGI131145:BGN131145 BQE131145:BQJ131145 CAA131145:CAF131145 CJW131145:CKB131145 CTS131145:CTX131145 DDO131145:DDT131145 DNK131145:DNP131145 DXG131145:DXL131145 EHC131145:EHH131145 EQY131145:ERD131145 FAU131145:FAZ131145 FKQ131145:FKV131145 FUM131145:FUR131145 GEI131145:GEN131145 GOE131145:GOJ131145 GYA131145:GYF131145 HHW131145:HIB131145 HRS131145:HRX131145 IBO131145:IBT131145 ILK131145:ILP131145 IVG131145:IVL131145 JFC131145:JFH131145 JOY131145:JPD131145 JYU131145:JYZ131145 KIQ131145:KIV131145 KSM131145:KSR131145 LCI131145:LCN131145 LME131145:LMJ131145 LWA131145:LWF131145 MFW131145:MGB131145 MPS131145:MPX131145 MZO131145:MZT131145 NJK131145:NJP131145 NTG131145:NTL131145 ODC131145:ODH131145 OMY131145:OND131145 OWU131145:OWZ131145 PGQ131145:PGV131145 PQM131145:PQR131145 QAI131145:QAN131145 QKE131145:QKJ131145 QUA131145:QUF131145 RDW131145:REB131145 RNS131145:RNX131145 RXO131145:RXT131145 SHK131145:SHP131145 SRG131145:SRL131145 TBC131145:TBH131145 TKY131145:TLD131145 TUU131145:TUZ131145 UEQ131145:UEV131145 UOM131145:UOR131145 UYI131145:UYN131145 VIE131145:VIJ131145 VSA131145:VSF131145 WBW131145:WCB131145 WLS131145:WLX131145 WVO131145:WVT131145 G196681:L196681 JC196681:JH196681 SY196681:TD196681 ACU196681:ACZ196681 AMQ196681:AMV196681 AWM196681:AWR196681 BGI196681:BGN196681 BQE196681:BQJ196681 CAA196681:CAF196681 CJW196681:CKB196681 CTS196681:CTX196681 DDO196681:DDT196681 DNK196681:DNP196681 DXG196681:DXL196681 EHC196681:EHH196681 EQY196681:ERD196681 FAU196681:FAZ196681 FKQ196681:FKV196681 FUM196681:FUR196681 GEI196681:GEN196681 GOE196681:GOJ196681 GYA196681:GYF196681 HHW196681:HIB196681 HRS196681:HRX196681 IBO196681:IBT196681 ILK196681:ILP196681 IVG196681:IVL196681 JFC196681:JFH196681 JOY196681:JPD196681 JYU196681:JYZ196681 KIQ196681:KIV196681 KSM196681:KSR196681 LCI196681:LCN196681 LME196681:LMJ196681 LWA196681:LWF196681 MFW196681:MGB196681 MPS196681:MPX196681 MZO196681:MZT196681 NJK196681:NJP196681 NTG196681:NTL196681 ODC196681:ODH196681 OMY196681:OND196681 OWU196681:OWZ196681 PGQ196681:PGV196681 PQM196681:PQR196681 QAI196681:QAN196681 QKE196681:QKJ196681 QUA196681:QUF196681 RDW196681:REB196681 RNS196681:RNX196681 RXO196681:RXT196681 SHK196681:SHP196681 SRG196681:SRL196681 TBC196681:TBH196681 TKY196681:TLD196681 TUU196681:TUZ196681 UEQ196681:UEV196681 UOM196681:UOR196681 UYI196681:UYN196681 VIE196681:VIJ196681 VSA196681:VSF196681 WBW196681:WCB196681 WLS196681:WLX196681 WVO196681:WVT196681 G262217:L262217 JC262217:JH262217 SY262217:TD262217 ACU262217:ACZ262217 AMQ262217:AMV262217 AWM262217:AWR262217 BGI262217:BGN262217 BQE262217:BQJ262217 CAA262217:CAF262217 CJW262217:CKB262217 CTS262217:CTX262217 DDO262217:DDT262217 DNK262217:DNP262217 DXG262217:DXL262217 EHC262217:EHH262217 EQY262217:ERD262217 FAU262217:FAZ262217 FKQ262217:FKV262217 FUM262217:FUR262217 GEI262217:GEN262217 GOE262217:GOJ262217 GYA262217:GYF262217 HHW262217:HIB262217 HRS262217:HRX262217 IBO262217:IBT262217 ILK262217:ILP262217 IVG262217:IVL262217 JFC262217:JFH262217 JOY262217:JPD262217 JYU262217:JYZ262217 KIQ262217:KIV262217 KSM262217:KSR262217 LCI262217:LCN262217 LME262217:LMJ262217 LWA262217:LWF262217 MFW262217:MGB262217 MPS262217:MPX262217 MZO262217:MZT262217 NJK262217:NJP262217 NTG262217:NTL262217 ODC262217:ODH262217 OMY262217:OND262217 OWU262217:OWZ262217 PGQ262217:PGV262217 PQM262217:PQR262217 QAI262217:QAN262217 QKE262217:QKJ262217 QUA262217:QUF262217 RDW262217:REB262217 RNS262217:RNX262217 RXO262217:RXT262217 SHK262217:SHP262217 SRG262217:SRL262217 TBC262217:TBH262217 TKY262217:TLD262217 TUU262217:TUZ262217 UEQ262217:UEV262217 UOM262217:UOR262217 UYI262217:UYN262217 VIE262217:VIJ262217 VSA262217:VSF262217 WBW262217:WCB262217 WLS262217:WLX262217 WVO262217:WVT262217 G327753:L327753 JC327753:JH327753 SY327753:TD327753 ACU327753:ACZ327753 AMQ327753:AMV327753 AWM327753:AWR327753 BGI327753:BGN327753 BQE327753:BQJ327753 CAA327753:CAF327753 CJW327753:CKB327753 CTS327753:CTX327753 DDO327753:DDT327753 DNK327753:DNP327753 DXG327753:DXL327753 EHC327753:EHH327753 EQY327753:ERD327753 FAU327753:FAZ327753 FKQ327753:FKV327753 FUM327753:FUR327753 GEI327753:GEN327753 GOE327753:GOJ327753 GYA327753:GYF327753 HHW327753:HIB327753 HRS327753:HRX327753 IBO327753:IBT327753 ILK327753:ILP327753 IVG327753:IVL327753 JFC327753:JFH327753 JOY327753:JPD327753 JYU327753:JYZ327753 KIQ327753:KIV327753 KSM327753:KSR327753 LCI327753:LCN327753 LME327753:LMJ327753 LWA327753:LWF327753 MFW327753:MGB327753 MPS327753:MPX327753 MZO327753:MZT327753 NJK327753:NJP327753 NTG327753:NTL327753 ODC327753:ODH327753 OMY327753:OND327753 OWU327753:OWZ327753 PGQ327753:PGV327753 PQM327753:PQR327753 QAI327753:QAN327753 QKE327753:QKJ327753 QUA327753:QUF327753 RDW327753:REB327753 RNS327753:RNX327753 RXO327753:RXT327753 SHK327753:SHP327753 SRG327753:SRL327753 TBC327753:TBH327753 TKY327753:TLD327753 TUU327753:TUZ327753 UEQ327753:UEV327753 UOM327753:UOR327753 UYI327753:UYN327753 VIE327753:VIJ327753 VSA327753:VSF327753 WBW327753:WCB327753 WLS327753:WLX327753 WVO327753:WVT327753 G393289:L393289 JC393289:JH393289 SY393289:TD393289 ACU393289:ACZ393289 AMQ393289:AMV393289 AWM393289:AWR393289 BGI393289:BGN393289 BQE393289:BQJ393289 CAA393289:CAF393289 CJW393289:CKB393289 CTS393289:CTX393289 DDO393289:DDT393289 DNK393289:DNP393289 DXG393289:DXL393289 EHC393289:EHH393289 EQY393289:ERD393289 FAU393289:FAZ393289 FKQ393289:FKV393289 FUM393289:FUR393289 GEI393289:GEN393289 GOE393289:GOJ393289 GYA393289:GYF393289 HHW393289:HIB393289 HRS393289:HRX393289 IBO393289:IBT393289 ILK393289:ILP393289 IVG393289:IVL393289 JFC393289:JFH393289 JOY393289:JPD393289 JYU393289:JYZ393289 KIQ393289:KIV393289 KSM393289:KSR393289 LCI393289:LCN393289 LME393289:LMJ393289 LWA393289:LWF393289 MFW393289:MGB393289 MPS393289:MPX393289 MZO393289:MZT393289 NJK393289:NJP393289 NTG393289:NTL393289 ODC393289:ODH393289 OMY393289:OND393289 OWU393289:OWZ393289 PGQ393289:PGV393289 PQM393289:PQR393289 QAI393289:QAN393289 QKE393289:QKJ393289 QUA393289:QUF393289 RDW393289:REB393289 RNS393289:RNX393289 RXO393289:RXT393289 SHK393289:SHP393289 SRG393289:SRL393289 TBC393289:TBH393289 TKY393289:TLD393289 TUU393289:TUZ393289 UEQ393289:UEV393289 UOM393289:UOR393289 UYI393289:UYN393289 VIE393289:VIJ393289 VSA393289:VSF393289 WBW393289:WCB393289 WLS393289:WLX393289 WVO393289:WVT393289 G458825:L458825 JC458825:JH458825 SY458825:TD458825 ACU458825:ACZ458825 AMQ458825:AMV458825 AWM458825:AWR458825 BGI458825:BGN458825 BQE458825:BQJ458825 CAA458825:CAF458825 CJW458825:CKB458825 CTS458825:CTX458825 DDO458825:DDT458825 DNK458825:DNP458825 DXG458825:DXL458825 EHC458825:EHH458825 EQY458825:ERD458825 FAU458825:FAZ458825 FKQ458825:FKV458825 FUM458825:FUR458825 GEI458825:GEN458825 GOE458825:GOJ458825 GYA458825:GYF458825 HHW458825:HIB458825 HRS458825:HRX458825 IBO458825:IBT458825 ILK458825:ILP458825 IVG458825:IVL458825 JFC458825:JFH458825 JOY458825:JPD458825 JYU458825:JYZ458825 KIQ458825:KIV458825 KSM458825:KSR458825 LCI458825:LCN458825 LME458825:LMJ458825 LWA458825:LWF458825 MFW458825:MGB458825 MPS458825:MPX458825 MZO458825:MZT458825 NJK458825:NJP458825 NTG458825:NTL458825 ODC458825:ODH458825 OMY458825:OND458825 OWU458825:OWZ458825 PGQ458825:PGV458825 PQM458825:PQR458825 QAI458825:QAN458825 QKE458825:QKJ458825 QUA458825:QUF458825 RDW458825:REB458825 RNS458825:RNX458825 RXO458825:RXT458825 SHK458825:SHP458825 SRG458825:SRL458825 TBC458825:TBH458825 TKY458825:TLD458825 TUU458825:TUZ458825 UEQ458825:UEV458825 UOM458825:UOR458825 UYI458825:UYN458825 VIE458825:VIJ458825 VSA458825:VSF458825 WBW458825:WCB458825 WLS458825:WLX458825 WVO458825:WVT458825 G524361:L524361 JC524361:JH524361 SY524361:TD524361 ACU524361:ACZ524361 AMQ524361:AMV524361 AWM524361:AWR524361 BGI524361:BGN524361 BQE524361:BQJ524361 CAA524361:CAF524361 CJW524361:CKB524361 CTS524361:CTX524361 DDO524361:DDT524361 DNK524361:DNP524361 DXG524361:DXL524361 EHC524361:EHH524361 EQY524361:ERD524361 FAU524361:FAZ524361 FKQ524361:FKV524361 FUM524361:FUR524361 GEI524361:GEN524361 GOE524361:GOJ524361 GYA524361:GYF524361 HHW524361:HIB524361 HRS524361:HRX524361 IBO524361:IBT524361 ILK524361:ILP524361 IVG524361:IVL524361 JFC524361:JFH524361 JOY524361:JPD524361 JYU524361:JYZ524361 KIQ524361:KIV524361 KSM524361:KSR524361 LCI524361:LCN524361 LME524361:LMJ524361 LWA524361:LWF524361 MFW524361:MGB524361 MPS524361:MPX524361 MZO524361:MZT524361 NJK524361:NJP524361 NTG524361:NTL524361 ODC524361:ODH524361 OMY524361:OND524361 OWU524361:OWZ524361 PGQ524361:PGV524361 PQM524361:PQR524361 QAI524361:QAN524361 QKE524361:QKJ524361 QUA524361:QUF524361 RDW524361:REB524361 RNS524361:RNX524361 RXO524361:RXT524361 SHK524361:SHP524361 SRG524361:SRL524361 TBC524361:TBH524361 TKY524361:TLD524361 TUU524361:TUZ524361 UEQ524361:UEV524361 UOM524361:UOR524361 UYI524361:UYN524361 VIE524361:VIJ524361 VSA524361:VSF524361 WBW524361:WCB524361 WLS524361:WLX524361 WVO524361:WVT524361 G589897:L589897 JC589897:JH589897 SY589897:TD589897 ACU589897:ACZ589897 AMQ589897:AMV589897 AWM589897:AWR589897 BGI589897:BGN589897 BQE589897:BQJ589897 CAA589897:CAF589897 CJW589897:CKB589897 CTS589897:CTX589897 DDO589897:DDT589897 DNK589897:DNP589897 DXG589897:DXL589897 EHC589897:EHH589897 EQY589897:ERD589897 FAU589897:FAZ589897 FKQ589897:FKV589897 FUM589897:FUR589897 GEI589897:GEN589897 GOE589897:GOJ589897 GYA589897:GYF589897 HHW589897:HIB589897 HRS589897:HRX589897 IBO589897:IBT589897 ILK589897:ILP589897 IVG589897:IVL589897 JFC589897:JFH589897 JOY589897:JPD589897 JYU589897:JYZ589897 KIQ589897:KIV589897 KSM589897:KSR589897 LCI589897:LCN589897 LME589897:LMJ589897 LWA589897:LWF589897 MFW589897:MGB589897 MPS589897:MPX589897 MZO589897:MZT589897 NJK589897:NJP589897 NTG589897:NTL589897 ODC589897:ODH589897 OMY589897:OND589897 OWU589897:OWZ589897 PGQ589897:PGV589897 PQM589897:PQR589897 QAI589897:QAN589897 QKE589897:QKJ589897 QUA589897:QUF589897 RDW589897:REB589897 RNS589897:RNX589897 RXO589897:RXT589897 SHK589897:SHP589897 SRG589897:SRL589897 TBC589897:TBH589897 TKY589897:TLD589897 TUU589897:TUZ589897 UEQ589897:UEV589897 UOM589897:UOR589897 UYI589897:UYN589897 VIE589897:VIJ589897 VSA589897:VSF589897 WBW589897:WCB589897 WLS589897:WLX589897 WVO589897:WVT589897 G655433:L655433 JC655433:JH655433 SY655433:TD655433 ACU655433:ACZ655433 AMQ655433:AMV655433 AWM655433:AWR655433 BGI655433:BGN655433 BQE655433:BQJ655433 CAA655433:CAF655433 CJW655433:CKB655433 CTS655433:CTX655433 DDO655433:DDT655433 DNK655433:DNP655433 DXG655433:DXL655433 EHC655433:EHH655433 EQY655433:ERD655433 FAU655433:FAZ655433 FKQ655433:FKV655433 FUM655433:FUR655433 GEI655433:GEN655433 GOE655433:GOJ655433 GYA655433:GYF655433 HHW655433:HIB655433 HRS655433:HRX655433 IBO655433:IBT655433 ILK655433:ILP655433 IVG655433:IVL655433 JFC655433:JFH655433 JOY655433:JPD655433 JYU655433:JYZ655433 KIQ655433:KIV655433 KSM655433:KSR655433 LCI655433:LCN655433 LME655433:LMJ655433 LWA655433:LWF655433 MFW655433:MGB655433 MPS655433:MPX655433 MZO655433:MZT655433 NJK655433:NJP655433 NTG655433:NTL655433 ODC655433:ODH655433 OMY655433:OND655433 OWU655433:OWZ655433 PGQ655433:PGV655433 PQM655433:PQR655433 QAI655433:QAN655433 QKE655433:QKJ655433 QUA655433:QUF655433 RDW655433:REB655433 RNS655433:RNX655433 RXO655433:RXT655433 SHK655433:SHP655433 SRG655433:SRL655433 TBC655433:TBH655433 TKY655433:TLD655433 TUU655433:TUZ655433 UEQ655433:UEV655433 UOM655433:UOR655433 UYI655433:UYN655433 VIE655433:VIJ655433 VSA655433:VSF655433 WBW655433:WCB655433 WLS655433:WLX655433 WVO655433:WVT655433 G720969:L720969 JC720969:JH720969 SY720969:TD720969 ACU720969:ACZ720969 AMQ720969:AMV720969 AWM720969:AWR720969 BGI720969:BGN720969 BQE720969:BQJ720969 CAA720969:CAF720969 CJW720969:CKB720969 CTS720969:CTX720969 DDO720969:DDT720969 DNK720969:DNP720969 DXG720969:DXL720969 EHC720969:EHH720969 EQY720969:ERD720969 FAU720969:FAZ720969 FKQ720969:FKV720969 FUM720969:FUR720969 GEI720969:GEN720969 GOE720969:GOJ720969 GYA720969:GYF720969 HHW720969:HIB720969 HRS720969:HRX720969 IBO720969:IBT720969 ILK720969:ILP720969 IVG720969:IVL720969 JFC720969:JFH720969 JOY720969:JPD720969 JYU720969:JYZ720969 KIQ720969:KIV720969 KSM720969:KSR720969 LCI720969:LCN720969 LME720969:LMJ720969 LWA720969:LWF720969 MFW720969:MGB720969 MPS720969:MPX720969 MZO720969:MZT720969 NJK720969:NJP720969 NTG720969:NTL720969 ODC720969:ODH720969 OMY720969:OND720969 OWU720969:OWZ720969 PGQ720969:PGV720969 PQM720969:PQR720969 QAI720969:QAN720969 QKE720969:QKJ720969 QUA720969:QUF720969 RDW720969:REB720969 RNS720969:RNX720969 RXO720969:RXT720969 SHK720969:SHP720969 SRG720969:SRL720969 TBC720969:TBH720969 TKY720969:TLD720969 TUU720969:TUZ720969 UEQ720969:UEV720969 UOM720969:UOR720969 UYI720969:UYN720969 VIE720969:VIJ720969 VSA720969:VSF720969 WBW720969:WCB720969 WLS720969:WLX720969 WVO720969:WVT720969 G786505:L786505 JC786505:JH786505 SY786505:TD786505 ACU786505:ACZ786505 AMQ786505:AMV786505 AWM786505:AWR786505 BGI786505:BGN786505 BQE786505:BQJ786505 CAA786505:CAF786505 CJW786505:CKB786505 CTS786505:CTX786505 DDO786505:DDT786505 DNK786505:DNP786505 DXG786505:DXL786505 EHC786505:EHH786505 EQY786505:ERD786505 FAU786505:FAZ786505 FKQ786505:FKV786505 FUM786505:FUR786505 GEI786505:GEN786505 GOE786505:GOJ786505 GYA786505:GYF786505 HHW786505:HIB786505 HRS786505:HRX786505 IBO786505:IBT786505 ILK786505:ILP786505 IVG786505:IVL786505 JFC786505:JFH786505 JOY786505:JPD786505 JYU786505:JYZ786505 KIQ786505:KIV786505 KSM786505:KSR786505 LCI786505:LCN786505 LME786505:LMJ786505 LWA786505:LWF786505 MFW786505:MGB786505 MPS786505:MPX786505 MZO786505:MZT786505 NJK786505:NJP786505 NTG786505:NTL786505 ODC786505:ODH786505 OMY786505:OND786505 OWU786505:OWZ786505 PGQ786505:PGV786505 PQM786505:PQR786505 QAI786505:QAN786505 QKE786505:QKJ786505 QUA786505:QUF786505 RDW786505:REB786505 RNS786505:RNX786505 RXO786505:RXT786505 SHK786505:SHP786505 SRG786505:SRL786505 TBC786505:TBH786505 TKY786505:TLD786505 TUU786505:TUZ786505 UEQ786505:UEV786505 UOM786505:UOR786505 UYI786505:UYN786505 VIE786505:VIJ786505 VSA786505:VSF786505 WBW786505:WCB786505 WLS786505:WLX786505 WVO786505:WVT786505 G852041:L852041 JC852041:JH852041 SY852041:TD852041 ACU852041:ACZ852041 AMQ852041:AMV852041 AWM852041:AWR852041 BGI852041:BGN852041 BQE852041:BQJ852041 CAA852041:CAF852041 CJW852041:CKB852041 CTS852041:CTX852041 DDO852041:DDT852041 DNK852041:DNP852041 DXG852041:DXL852041 EHC852041:EHH852041 EQY852041:ERD852041 FAU852041:FAZ852041 FKQ852041:FKV852041 FUM852041:FUR852041 GEI852041:GEN852041 GOE852041:GOJ852041 GYA852041:GYF852041 HHW852041:HIB852041 HRS852041:HRX852041 IBO852041:IBT852041 ILK852041:ILP852041 IVG852041:IVL852041 JFC852041:JFH852041 JOY852041:JPD852041 JYU852041:JYZ852041 KIQ852041:KIV852041 KSM852041:KSR852041 LCI852041:LCN852041 LME852041:LMJ852041 LWA852041:LWF852041 MFW852041:MGB852041 MPS852041:MPX852041 MZO852041:MZT852041 NJK852041:NJP852041 NTG852041:NTL852041 ODC852041:ODH852041 OMY852041:OND852041 OWU852041:OWZ852041 PGQ852041:PGV852041 PQM852041:PQR852041 QAI852041:QAN852041 QKE852041:QKJ852041 QUA852041:QUF852041 RDW852041:REB852041 RNS852041:RNX852041 RXO852041:RXT852041 SHK852041:SHP852041 SRG852041:SRL852041 TBC852041:TBH852041 TKY852041:TLD852041 TUU852041:TUZ852041 UEQ852041:UEV852041 UOM852041:UOR852041 UYI852041:UYN852041 VIE852041:VIJ852041 VSA852041:VSF852041 WBW852041:WCB852041 WLS852041:WLX852041 WVO852041:WVT852041 G917577:L917577 JC917577:JH917577 SY917577:TD917577 ACU917577:ACZ917577 AMQ917577:AMV917577 AWM917577:AWR917577 BGI917577:BGN917577 BQE917577:BQJ917577 CAA917577:CAF917577 CJW917577:CKB917577 CTS917577:CTX917577 DDO917577:DDT917577 DNK917577:DNP917577 DXG917577:DXL917577 EHC917577:EHH917577 EQY917577:ERD917577 FAU917577:FAZ917577 FKQ917577:FKV917577 FUM917577:FUR917577 GEI917577:GEN917577 GOE917577:GOJ917577 GYA917577:GYF917577 HHW917577:HIB917577 HRS917577:HRX917577 IBO917577:IBT917577 ILK917577:ILP917577 IVG917577:IVL917577 JFC917577:JFH917577 JOY917577:JPD917577 JYU917577:JYZ917577 KIQ917577:KIV917577 KSM917577:KSR917577 LCI917577:LCN917577 LME917577:LMJ917577 LWA917577:LWF917577 MFW917577:MGB917577 MPS917577:MPX917577 MZO917577:MZT917577 NJK917577:NJP917577 NTG917577:NTL917577 ODC917577:ODH917577 OMY917577:OND917577 OWU917577:OWZ917577 PGQ917577:PGV917577 PQM917577:PQR917577 QAI917577:QAN917577 QKE917577:QKJ917577 QUA917577:QUF917577 RDW917577:REB917577 RNS917577:RNX917577 RXO917577:RXT917577 SHK917577:SHP917577 SRG917577:SRL917577 TBC917577:TBH917577 TKY917577:TLD917577 TUU917577:TUZ917577 UEQ917577:UEV917577 UOM917577:UOR917577 UYI917577:UYN917577 VIE917577:VIJ917577 VSA917577:VSF917577 WBW917577:WCB917577 WLS917577:WLX917577 WVO917577:WVT917577 G983113:L983113 JC983113:JH983113 SY983113:TD983113 ACU983113:ACZ983113 AMQ983113:AMV983113 AWM983113:AWR983113 BGI983113:BGN983113 BQE983113:BQJ983113 CAA983113:CAF983113 CJW983113:CKB983113 CTS983113:CTX983113 DDO983113:DDT983113 DNK983113:DNP983113 DXG983113:DXL983113 EHC983113:EHH983113 EQY983113:ERD983113 FAU983113:FAZ983113 FKQ983113:FKV983113 FUM983113:FUR983113 GEI983113:GEN983113 GOE983113:GOJ983113 GYA983113:GYF983113 HHW983113:HIB983113 HRS983113:HRX983113 IBO983113:IBT983113 ILK983113:ILP983113 IVG983113:IVL983113 JFC983113:JFH983113 JOY983113:JPD983113 JYU983113:JYZ983113 KIQ983113:KIV983113 KSM983113:KSR983113 LCI983113:LCN983113 LME983113:LMJ983113 LWA983113:LWF983113 MFW983113:MGB983113 MPS983113:MPX983113 MZO983113:MZT983113 NJK983113:NJP983113 NTG983113:NTL983113 ODC983113:ODH983113 OMY983113:OND983113 OWU983113:OWZ983113 PGQ983113:PGV983113 PQM983113:PQR983113 QAI983113:QAN983113 QKE983113:QKJ983113 QUA983113:QUF983113 RDW983113:REB983113 RNS983113:RNX983113 RXO983113:RXT983113 SHK983113:SHP983113 SRG983113:SRL983113 TBC983113:TBH983113 TKY983113:TLD983113 TUU983113:TUZ983113 UEQ983113:UEV983113 UOM983113:UOR983113 UYI983113:UYN983113 VIE983113:VIJ983113 VSA983113:VSF983113 WBW983113:WCB983113 WLS983113:WLX983113 WVO983113:WVT983113 G72:L72 JC72:JH72 SY72:TD72 ACU72:ACZ72 AMQ72:AMV72 AWM72:AWR72 BGI72:BGN72 BQE72:BQJ72 CAA72:CAF72 CJW72:CKB72 CTS72:CTX72 DDO72:DDT72 DNK72:DNP72 DXG72:DXL72 EHC72:EHH72 EQY72:ERD72 FAU72:FAZ72 FKQ72:FKV72 FUM72:FUR72 GEI72:GEN72 GOE72:GOJ72 GYA72:GYF72 HHW72:HIB72 HRS72:HRX72 IBO72:IBT72 ILK72:ILP72 IVG72:IVL72 JFC72:JFH72 JOY72:JPD72 JYU72:JYZ72 KIQ72:KIV72 KSM72:KSR72 LCI72:LCN72 LME72:LMJ72 LWA72:LWF72 MFW72:MGB72 MPS72:MPX72 MZO72:MZT72 NJK72:NJP72 NTG72:NTL72 ODC72:ODH72 OMY72:OND72 OWU72:OWZ72 PGQ72:PGV72 PQM72:PQR72 QAI72:QAN72 QKE72:QKJ72 QUA72:QUF72 RDW72:REB72 RNS72:RNX72 RXO72:RXT72 SHK72:SHP72 SRG72:SRL72 TBC72:TBH72 TKY72:TLD72 TUU72:TUZ72 UEQ72:UEV72 UOM72:UOR72 UYI72:UYN72 VIE72:VIJ72 VSA72:VSF72 WBW72:WCB72 WLS72:WLX72 WVO72:WVT72 G65612:L65612 JC65612:JH65612 SY65612:TD65612 ACU65612:ACZ65612 AMQ65612:AMV65612 AWM65612:AWR65612 BGI65612:BGN65612 BQE65612:BQJ65612 CAA65612:CAF65612 CJW65612:CKB65612 CTS65612:CTX65612 DDO65612:DDT65612 DNK65612:DNP65612 DXG65612:DXL65612 EHC65612:EHH65612 EQY65612:ERD65612 FAU65612:FAZ65612 FKQ65612:FKV65612 FUM65612:FUR65612 GEI65612:GEN65612 GOE65612:GOJ65612 GYA65612:GYF65612 HHW65612:HIB65612 HRS65612:HRX65612 IBO65612:IBT65612 ILK65612:ILP65612 IVG65612:IVL65612 JFC65612:JFH65612 JOY65612:JPD65612 JYU65612:JYZ65612 KIQ65612:KIV65612 KSM65612:KSR65612 LCI65612:LCN65612 LME65612:LMJ65612 LWA65612:LWF65612 MFW65612:MGB65612 MPS65612:MPX65612 MZO65612:MZT65612 NJK65612:NJP65612 NTG65612:NTL65612 ODC65612:ODH65612 OMY65612:OND65612 OWU65612:OWZ65612 PGQ65612:PGV65612 PQM65612:PQR65612 QAI65612:QAN65612 QKE65612:QKJ65612 QUA65612:QUF65612 RDW65612:REB65612 RNS65612:RNX65612 RXO65612:RXT65612 SHK65612:SHP65612 SRG65612:SRL65612 TBC65612:TBH65612 TKY65612:TLD65612 TUU65612:TUZ65612 UEQ65612:UEV65612 UOM65612:UOR65612 UYI65612:UYN65612 VIE65612:VIJ65612 VSA65612:VSF65612 WBW65612:WCB65612 WLS65612:WLX65612 WVO65612:WVT65612 G131148:L131148 JC131148:JH131148 SY131148:TD131148 ACU131148:ACZ131148 AMQ131148:AMV131148 AWM131148:AWR131148 BGI131148:BGN131148 BQE131148:BQJ131148 CAA131148:CAF131148 CJW131148:CKB131148 CTS131148:CTX131148 DDO131148:DDT131148 DNK131148:DNP131148 DXG131148:DXL131148 EHC131148:EHH131148 EQY131148:ERD131148 FAU131148:FAZ131148 FKQ131148:FKV131148 FUM131148:FUR131148 GEI131148:GEN131148 GOE131148:GOJ131148 GYA131148:GYF131148 HHW131148:HIB131148 HRS131148:HRX131148 IBO131148:IBT131148 ILK131148:ILP131148 IVG131148:IVL131148 JFC131148:JFH131148 JOY131148:JPD131148 JYU131148:JYZ131148 KIQ131148:KIV131148 KSM131148:KSR131148 LCI131148:LCN131148 LME131148:LMJ131148 LWA131148:LWF131148 MFW131148:MGB131148 MPS131148:MPX131148 MZO131148:MZT131148 NJK131148:NJP131148 NTG131148:NTL131148 ODC131148:ODH131148 OMY131148:OND131148 OWU131148:OWZ131148 PGQ131148:PGV131148 PQM131148:PQR131148 QAI131148:QAN131148 QKE131148:QKJ131148 QUA131148:QUF131148 RDW131148:REB131148 RNS131148:RNX131148 RXO131148:RXT131148 SHK131148:SHP131148 SRG131148:SRL131148 TBC131148:TBH131148 TKY131148:TLD131148 TUU131148:TUZ131148 UEQ131148:UEV131148 UOM131148:UOR131148 UYI131148:UYN131148 VIE131148:VIJ131148 VSA131148:VSF131148 WBW131148:WCB131148 WLS131148:WLX131148 WVO131148:WVT131148 G196684:L196684 JC196684:JH196684 SY196684:TD196684 ACU196684:ACZ196684 AMQ196684:AMV196684 AWM196684:AWR196684 BGI196684:BGN196684 BQE196684:BQJ196684 CAA196684:CAF196684 CJW196684:CKB196684 CTS196684:CTX196684 DDO196684:DDT196684 DNK196684:DNP196684 DXG196684:DXL196684 EHC196684:EHH196684 EQY196684:ERD196684 FAU196684:FAZ196684 FKQ196684:FKV196684 FUM196684:FUR196684 GEI196684:GEN196684 GOE196684:GOJ196684 GYA196684:GYF196684 HHW196684:HIB196684 HRS196684:HRX196684 IBO196684:IBT196684 ILK196684:ILP196684 IVG196684:IVL196684 JFC196684:JFH196684 JOY196684:JPD196684 JYU196684:JYZ196684 KIQ196684:KIV196684 KSM196684:KSR196684 LCI196684:LCN196684 LME196684:LMJ196684 LWA196684:LWF196684 MFW196684:MGB196684 MPS196684:MPX196684 MZO196684:MZT196684 NJK196684:NJP196684 NTG196684:NTL196684 ODC196684:ODH196684 OMY196684:OND196684 OWU196684:OWZ196684 PGQ196684:PGV196684 PQM196684:PQR196684 QAI196684:QAN196684 QKE196684:QKJ196684 QUA196684:QUF196684 RDW196684:REB196684 RNS196684:RNX196684 RXO196684:RXT196684 SHK196684:SHP196684 SRG196684:SRL196684 TBC196684:TBH196684 TKY196684:TLD196684 TUU196684:TUZ196684 UEQ196684:UEV196684 UOM196684:UOR196684 UYI196684:UYN196684 VIE196684:VIJ196684 VSA196684:VSF196684 WBW196684:WCB196684 WLS196684:WLX196684 WVO196684:WVT196684 G262220:L262220 JC262220:JH262220 SY262220:TD262220 ACU262220:ACZ262220 AMQ262220:AMV262220 AWM262220:AWR262220 BGI262220:BGN262220 BQE262220:BQJ262220 CAA262220:CAF262220 CJW262220:CKB262220 CTS262220:CTX262220 DDO262220:DDT262220 DNK262220:DNP262220 DXG262220:DXL262220 EHC262220:EHH262220 EQY262220:ERD262220 FAU262220:FAZ262220 FKQ262220:FKV262220 FUM262220:FUR262220 GEI262220:GEN262220 GOE262220:GOJ262220 GYA262220:GYF262220 HHW262220:HIB262220 HRS262220:HRX262220 IBO262220:IBT262220 ILK262220:ILP262220 IVG262220:IVL262220 JFC262220:JFH262220 JOY262220:JPD262220 JYU262220:JYZ262220 KIQ262220:KIV262220 KSM262220:KSR262220 LCI262220:LCN262220 LME262220:LMJ262220 LWA262220:LWF262220 MFW262220:MGB262220 MPS262220:MPX262220 MZO262220:MZT262220 NJK262220:NJP262220 NTG262220:NTL262220 ODC262220:ODH262220 OMY262220:OND262220 OWU262220:OWZ262220 PGQ262220:PGV262220 PQM262220:PQR262220 QAI262220:QAN262220 QKE262220:QKJ262220 QUA262220:QUF262220 RDW262220:REB262220 RNS262220:RNX262220 RXO262220:RXT262220 SHK262220:SHP262220 SRG262220:SRL262220 TBC262220:TBH262220 TKY262220:TLD262220 TUU262220:TUZ262220 UEQ262220:UEV262220 UOM262220:UOR262220 UYI262220:UYN262220 VIE262220:VIJ262220 VSA262220:VSF262220 WBW262220:WCB262220 WLS262220:WLX262220 WVO262220:WVT262220 G327756:L327756 JC327756:JH327756 SY327756:TD327756 ACU327756:ACZ327756 AMQ327756:AMV327756 AWM327756:AWR327756 BGI327756:BGN327756 BQE327756:BQJ327756 CAA327756:CAF327756 CJW327756:CKB327756 CTS327756:CTX327756 DDO327756:DDT327756 DNK327756:DNP327756 DXG327756:DXL327756 EHC327756:EHH327756 EQY327756:ERD327756 FAU327756:FAZ327756 FKQ327756:FKV327756 FUM327756:FUR327756 GEI327756:GEN327756 GOE327756:GOJ327756 GYA327756:GYF327756 HHW327756:HIB327756 HRS327756:HRX327756 IBO327756:IBT327756 ILK327756:ILP327756 IVG327756:IVL327756 JFC327756:JFH327756 JOY327756:JPD327756 JYU327756:JYZ327756 KIQ327756:KIV327756 KSM327756:KSR327756 LCI327756:LCN327756 LME327756:LMJ327756 LWA327756:LWF327756 MFW327756:MGB327756 MPS327756:MPX327756 MZO327756:MZT327756 NJK327756:NJP327756 NTG327756:NTL327756 ODC327756:ODH327756 OMY327756:OND327756 OWU327756:OWZ327756 PGQ327756:PGV327756 PQM327756:PQR327756 QAI327756:QAN327756 QKE327756:QKJ327756 QUA327756:QUF327756 RDW327756:REB327756 RNS327756:RNX327756 RXO327756:RXT327756 SHK327756:SHP327756 SRG327756:SRL327756 TBC327756:TBH327756 TKY327756:TLD327756 TUU327756:TUZ327756 UEQ327756:UEV327756 UOM327756:UOR327756 UYI327756:UYN327756 VIE327756:VIJ327756 VSA327756:VSF327756 WBW327756:WCB327756 WLS327756:WLX327756 WVO327756:WVT327756 G393292:L393292 JC393292:JH393292 SY393292:TD393292 ACU393292:ACZ393292 AMQ393292:AMV393292 AWM393292:AWR393292 BGI393292:BGN393292 BQE393292:BQJ393292 CAA393292:CAF393292 CJW393292:CKB393292 CTS393292:CTX393292 DDO393292:DDT393292 DNK393292:DNP393292 DXG393292:DXL393292 EHC393292:EHH393292 EQY393292:ERD393292 FAU393292:FAZ393292 FKQ393292:FKV393292 FUM393292:FUR393292 GEI393292:GEN393292 GOE393292:GOJ393292 GYA393292:GYF393292 HHW393292:HIB393292 HRS393292:HRX393292 IBO393292:IBT393292 ILK393292:ILP393292 IVG393292:IVL393292 JFC393292:JFH393292 JOY393292:JPD393292 JYU393292:JYZ393292 KIQ393292:KIV393292 KSM393292:KSR393292 LCI393292:LCN393292 LME393292:LMJ393292 LWA393292:LWF393292 MFW393292:MGB393292 MPS393292:MPX393292 MZO393292:MZT393292 NJK393292:NJP393292 NTG393292:NTL393292 ODC393292:ODH393292 OMY393292:OND393292 OWU393292:OWZ393292 PGQ393292:PGV393292 PQM393292:PQR393292 QAI393292:QAN393292 QKE393292:QKJ393292 QUA393292:QUF393292 RDW393292:REB393292 RNS393292:RNX393292 RXO393292:RXT393292 SHK393292:SHP393292 SRG393292:SRL393292 TBC393292:TBH393292 TKY393292:TLD393292 TUU393292:TUZ393292 UEQ393292:UEV393292 UOM393292:UOR393292 UYI393292:UYN393292 VIE393292:VIJ393292 VSA393292:VSF393292 WBW393292:WCB393292 WLS393292:WLX393292 WVO393292:WVT393292 G458828:L458828 JC458828:JH458828 SY458828:TD458828 ACU458828:ACZ458828 AMQ458828:AMV458828 AWM458828:AWR458828 BGI458828:BGN458828 BQE458828:BQJ458828 CAA458828:CAF458828 CJW458828:CKB458828 CTS458828:CTX458828 DDO458828:DDT458828 DNK458828:DNP458828 DXG458828:DXL458828 EHC458828:EHH458828 EQY458828:ERD458828 FAU458828:FAZ458828 FKQ458828:FKV458828 FUM458828:FUR458828 GEI458828:GEN458828 GOE458828:GOJ458828 GYA458828:GYF458828 HHW458828:HIB458828 HRS458828:HRX458828 IBO458828:IBT458828 ILK458828:ILP458828 IVG458828:IVL458828 JFC458828:JFH458828 JOY458828:JPD458828 JYU458828:JYZ458828 KIQ458828:KIV458828 KSM458828:KSR458828 LCI458828:LCN458828 LME458828:LMJ458828 LWA458828:LWF458828 MFW458828:MGB458828 MPS458828:MPX458828 MZO458828:MZT458828 NJK458828:NJP458828 NTG458828:NTL458828 ODC458828:ODH458828 OMY458828:OND458828 OWU458828:OWZ458828 PGQ458828:PGV458828 PQM458828:PQR458828 QAI458828:QAN458828 QKE458828:QKJ458828 QUA458828:QUF458828 RDW458828:REB458828 RNS458828:RNX458828 RXO458828:RXT458828 SHK458828:SHP458828 SRG458828:SRL458828 TBC458828:TBH458828 TKY458828:TLD458828 TUU458828:TUZ458828 UEQ458828:UEV458828 UOM458828:UOR458828 UYI458828:UYN458828 VIE458828:VIJ458828 VSA458828:VSF458828 WBW458828:WCB458828 WLS458828:WLX458828 WVO458828:WVT458828 G524364:L524364 JC524364:JH524364 SY524364:TD524364 ACU524364:ACZ524364 AMQ524364:AMV524364 AWM524364:AWR524364 BGI524364:BGN524364 BQE524364:BQJ524364 CAA524364:CAF524364 CJW524364:CKB524364 CTS524364:CTX524364 DDO524364:DDT524364 DNK524364:DNP524364 DXG524364:DXL524364 EHC524364:EHH524364 EQY524364:ERD524364 FAU524364:FAZ524364 FKQ524364:FKV524364 FUM524364:FUR524364 GEI524364:GEN524364 GOE524364:GOJ524364 GYA524364:GYF524364 HHW524364:HIB524364 HRS524364:HRX524364 IBO524364:IBT524364 ILK524364:ILP524364 IVG524364:IVL524364 JFC524364:JFH524364 JOY524364:JPD524364 JYU524364:JYZ524364 KIQ524364:KIV524364 KSM524364:KSR524364 LCI524364:LCN524364 LME524364:LMJ524364 LWA524364:LWF524364 MFW524364:MGB524364 MPS524364:MPX524364 MZO524364:MZT524364 NJK524364:NJP524364 NTG524364:NTL524364 ODC524364:ODH524364 OMY524364:OND524364 OWU524364:OWZ524364 PGQ524364:PGV524364 PQM524364:PQR524364 QAI524364:QAN524364 QKE524364:QKJ524364 QUA524364:QUF524364 RDW524364:REB524364 RNS524364:RNX524364 RXO524364:RXT524364 SHK524364:SHP524364 SRG524364:SRL524364 TBC524364:TBH524364 TKY524364:TLD524364 TUU524364:TUZ524364 UEQ524364:UEV524364 UOM524364:UOR524364 UYI524364:UYN524364 VIE524364:VIJ524364 VSA524364:VSF524364 WBW524364:WCB524364 WLS524364:WLX524364 WVO524364:WVT524364 G589900:L589900 JC589900:JH589900 SY589900:TD589900 ACU589900:ACZ589900 AMQ589900:AMV589900 AWM589900:AWR589900 BGI589900:BGN589900 BQE589900:BQJ589900 CAA589900:CAF589900 CJW589900:CKB589900 CTS589900:CTX589900 DDO589900:DDT589900 DNK589900:DNP589900 DXG589900:DXL589900 EHC589900:EHH589900 EQY589900:ERD589900 FAU589900:FAZ589900 FKQ589900:FKV589900 FUM589900:FUR589900 GEI589900:GEN589900 GOE589900:GOJ589900 GYA589900:GYF589900 HHW589900:HIB589900 HRS589900:HRX589900 IBO589900:IBT589900 ILK589900:ILP589900 IVG589900:IVL589900 JFC589900:JFH589900 JOY589900:JPD589900 JYU589900:JYZ589900 KIQ589900:KIV589900 KSM589900:KSR589900 LCI589900:LCN589900 LME589900:LMJ589900 LWA589900:LWF589900 MFW589900:MGB589900 MPS589900:MPX589900 MZO589900:MZT589900 NJK589900:NJP589900 NTG589900:NTL589900 ODC589900:ODH589900 OMY589900:OND589900 OWU589900:OWZ589900 PGQ589900:PGV589900 PQM589900:PQR589900 QAI589900:QAN589900 QKE589900:QKJ589900 QUA589900:QUF589900 RDW589900:REB589900 RNS589900:RNX589900 RXO589900:RXT589900 SHK589900:SHP589900 SRG589900:SRL589900 TBC589900:TBH589900 TKY589900:TLD589900 TUU589900:TUZ589900 UEQ589900:UEV589900 UOM589900:UOR589900 UYI589900:UYN589900 VIE589900:VIJ589900 VSA589900:VSF589900 WBW589900:WCB589900 WLS589900:WLX589900 WVO589900:WVT589900 G655436:L655436 JC655436:JH655436 SY655436:TD655436 ACU655436:ACZ655436 AMQ655436:AMV655436 AWM655436:AWR655436 BGI655436:BGN655436 BQE655436:BQJ655436 CAA655436:CAF655436 CJW655436:CKB655436 CTS655436:CTX655436 DDO655436:DDT655436 DNK655436:DNP655436 DXG655436:DXL655436 EHC655436:EHH655436 EQY655436:ERD655436 FAU655436:FAZ655436 FKQ655436:FKV655436 FUM655436:FUR655436 GEI655436:GEN655436 GOE655436:GOJ655436 GYA655436:GYF655436 HHW655436:HIB655436 HRS655436:HRX655436 IBO655436:IBT655436 ILK655436:ILP655436 IVG655436:IVL655436 JFC655436:JFH655436 JOY655436:JPD655436 JYU655436:JYZ655436 KIQ655436:KIV655436 KSM655436:KSR655436 LCI655436:LCN655436 LME655436:LMJ655436 LWA655436:LWF655436 MFW655436:MGB655436 MPS655436:MPX655436 MZO655436:MZT655436 NJK655436:NJP655436 NTG655436:NTL655436 ODC655436:ODH655436 OMY655436:OND655436 OWU655436:OWZ655436 PGQ655436:PGV655436 PQM655436:PQR655436 QAI655436:QAN655436 QKE655436:QKJ655436 QUA655436:QUF655436 RDW655436:REB655436 RNS655436:RNX655436 RXO655436:RXT655436 SHK655436:SHP655436 SRG655436:SRL655436 TBC655436:TBH655436 TKY655436:TLD655436 TUU655436:TUZ655436 UEQ655436:UEV655436 UOM655436:UOR655436 UYI655436:UYN655436 VIE655436:VIJ655436 VSA655436:VSF655436 WBW655436:WCB655436 WLS655436:WLX655436 WVO655436:WVT655436 G720972:L720972 JC720972:JH720972 SY720972:TD720972 ACU720972:ACZ720972 AMQ720972:AMV720972 AWM720972:AWR720972 BGI720972:BGN720972 BQE720972:BQJ720972 CAA720972:CAF720972 CJW720972:CKB720972 CTS720972:CTX720972 DDO720972:DDT720972 DNK720972:DNP720972 DXG720972:DXL720972 EHC720972:EHH720972 EQY720972:ERD720972 FAU720972:FAZ720972 FKQ720972:FKV720972 FUM720972:FUR720972 GEI720972:GEN720972 GOE720972:GOJ720972 GYA720972:GYF720972 HHW720972:HIB720972 HRS720972:HRX720972 IBO720972:IBT720972 ILK720972:ILP720972 IVG720972:IVL720972 JFC720972:JFH720972 JOY720972:JPD720972 JYU720972:JYZ720972 KIQ720972:KIV720972 KSM720972:KSR720972 LCI720972:LCN720972 LME720972:LMJ720972 LWA720972:LWF720972 MFW720972:MGB720972 MPS720972:MPX720972 MZO720972:MZT720972 NJK720972:NJP720972 NTG720972:NTL720972 ODC720972:ODH720972 OMY720972:OND720972 OWU720972:OWZ720972 PGQ720972:PGV720972 PQM720972:PQR720972 QAI720972:QAN720972 QKE720972:QKJ720972 QUA720972:QUF720972 RDW720972:REB720972 RNS720972:RNX720972 RXO720972:RXT720972 SHK720972:SHP720972 SRG720972:SRL720972 TBC720972:TBH720972 TKY720972:TLD720972 TUU720972:TUZ720972 UEQ720972:UEV720972 UOM720972:UOR720972 UYI720972:UYN720972 VIE720972:VIJ720972 VSA720972:VSF720972 WBW720972:WCB720972 WLS720972:WLX720972 WVO720972:WVT720972 G786508:L786508 JC786508:JH786508 SY786508:TD786508 ACU786508:ACZ786508 AMQ786508:AMV786508 AWM786508:AWR786508 BGI786508:BGN786508 BQE786508:BQJ786508 CAA786508:CAF786508 CJW786508:CKB786508 CTS786508:CTX786508 DDO786508:DDT786508 DNK786508:DNP786508 DXG786508:DXL786508 EHC786508:EHH786508 EQY786508:ERD786508 FAU786508:FAZ786508 FKQ786508:FKV786508 FUM786508:FUR786508 GEI786508:GEN786508 GOE786508:GOJ786508 GYA786508:GYF786508 HHW786508:HIB786508 HRS786508:HRX786508 IBO786508:IBT786508 ILK786508:ILP786508 IVG786508:IVL786508 JFC786508:JFH786508 JOY786508:JPD786508 JYU786508:JYZ786508 KIQ786508:KIV786508 KSM786508:KSR786508 LCI786508:LCN786508 LME786508:LMJ786508 LWA786508:LWF786508 MFW786508:MGB786508 MPS786508:MPX786508 MZO786508:MZT786508 NJK786508:NJP786508 NTG786508:NTL786508 ODC786508:ODH786508 OMY786508:OND786508 OWU786508:OWZ786508 PGQ786508:PGV786508 PQM786508:PQR786508 QAI786508:QAN786508 QKE786508:QKJ786508 QUA786508:QUF786508 RDW786508:REB786508 RNS786508:RNX786508 RXO786508:RXT786508 SHK786508:SHP786508 SRG786508:SRL786508 TBC786508:TBH786508 TKY786508:TLD786508 TUU786508:TUZ786508 UEQ786508:UEV786508 UOM786508:UOR786508 UYI786508:UYN786508 VIE786508:VIJ786508 VSA786508:VSF786508 WBW786508:WCB786508 WLS786508:WLX786508 WVO786508:WVT786508 G852044:L852044 JC852044:JH852044 SY852044:TD852044 ACU852044:ACZ852044 AMQ852044:AMV852044 AWM852044:AWR852044 BGI852044:BGN852044 BQE852044:BQJ852044 CAA852044:CAF852044 CJW852044:CKB852044 CTS852044:CTX852044 DDO852044:DDT852044 DNK852044:DNP852044 DXG852044:DXL852044 EHC852044:EHH852044 EQY852044:ERD852044 FAU852044:FAZ852044 FKQ852044:FKV852044 FUM852044:FUR852044 GEI852044:GEN852044 GOE852044:GOJ852044 GYA852044:GYF852044 HHW852044:HIB852044 HRS852044:HRX852044 IBO852044:IBT852044 ILK852044:ILP852044 IVG852044:IVL852044 JFC852044:JFH852044 JOY852044:JPD852044 JYU852044:JYZ852044 KIQ852044:KIV852044 KSM852044:KSR852044 LCI852044:LCN852044 LME852044:LMJ852044 LWA852044:LWF852044 MFW852044:MGB852044 MPS852044:MPX852044 MZO852044:MZT852044 NJK852044:NJP852044 NTG852044:NTL852044 ODC852044:ODH852044 OMY852044:OND852044 OWU852044:OWZ852044 PGQ852044:PGV852044 PQM852044:PQR852044 QAI852044:QAN852044 QKE852044:QKJ852044 QUA852044:QUF852044 RDW852044:REB852044 RNS852044:RNX852044 RXO852044:RXT852044 SHK852044:SHP852044 SRG852044:SRL852044 TBC852044:TBH852044 TKY852044:TLD852044 TUU852044:TUZ852044 UEQ852044:UEV852044 UOM852044:UOR852044 UYI852044:UYN852044 VIE852044:VIJ852044 VSA852044:VSF852044 WBW852044:WCB852044 WLS852044:WLX852044 WVO852044:WVT852044 G917580:L917580 JC917580:JH917580 SY917580:TD917580 ACU917580:ACZ917580 AMQ917580:AMV917580 AWM917580:AWR917580 BGI917580:BGN917580 BQE917580:BQJ917580 CAA917580:CAF917580 CJW917580:CKB917580 CTS917580:CTX917580 DDO917580:DDT917580 DNK917580:DNP917580 DXG917580:DXL917580 EHC917580:EHH917580 EQY917580:ERD917580 FAU917580:FAZ917580 FKQ917580:FKV917580 FUM917580:FUR917580 GEI917580:GEN917580 GOE917580:GOJ917580 GYA917580:GYF917580 HHW917580:HIB917580 HRS917580:HRX917580 IBO917580:IBT917580 ILK917580:ILP917580 IVG917580:IVL917580 JFC917580:JFH917580 JOY917580:JPD917580 JYU917580:JYZ917580 KIQ917580:KIV917580 KSM917580:KSR917580 LCI917580:LCN917580 LME917580:LMJ917580 LWA917580:LWF917580 MFW917580:MGB917580 MPS917580:MPX917580 MZO917580:MZT917580 NJK917580:NJP917580 NTG917580:NTL917580 ODC917580:ODH917580 OMY917580:OND917580 OWU917580:OWZ917580 PGQ917580:PGV917580 PQM917580:PQR917580 QAI917580:QAN917580 QKE917580:QKJ917580 QUA917580:QUF917580 RDW917580:REB917580 RNS917580:RNX917580 RXO917580:RXT917580 SHK917580:SHP917580 SRG917580:SRL917580 TBC917580:TBH917580 TKY917580:TLD917580 TUU917580:TUZ917580 UEQ917580:UEV917580 UOM917580:UOR917580 UYI917580:UYN917580 VIE917580:VIJ917580 VSA917580:VSF917580 WBW917580:WCB917580 WLS917580:WLX917580 WVO917580:WVT917580 G983116:L983116 JC983116:JH983116 SY983116:TD983116 ACU983116:ACZ983116 AMQ983116:AMV983116 AWM983116:AWR983116 BGI983116:BGN983116 BQE983116:BQJ983116 CAA983116:CAF983116 CJW983116:CKB983116 CTS983116:CTX983116 DDO983116:DDT983116 DNK983116:DNP983116 DXG983116:DXL983116 EHC983116:EHH983116 EQY983116:ERD983116 FAU983116:FAZ983116 FKQ983116:FKV983116 FUM983116:FUR983116 GEI983116:GEN983116 GOE983116:GOJ983116 GYA983116:GYF983116 HHW983116:HIB983116 HRS983116:HRX983116 IBO983116:IBT983116 ILK983116:ILP983116 IVG983116:IVL983116 JFC983116:JFH983116 JOY983116:JPD983116 JYU983116:JYZ983116 KIQ983116:KIV983116 KSM983116:KSR983116 LCI983116:LCN983116 LME983116:LMJ983116 LWA983116:LWF983116 MFW983116:MGB983116 MPS983116:MPX983116 MZO983116:MZT983116 NJK983116:NJP983116 NTG983116:NTL983116 ODC983116:ODH983116 OMY983116:OND983116 OWU983116:OWZ983116 PGQ983116:PGV983116 PQM983116:PQR983116 QAI983116:QAN983116 QKE983116:QKJ983116 QUA983116:QUF983116 RDW983116:REB983116 RNS983116:RNX983116 RXO983116:RXT983116 SHK983116:SHP983116 SRG983116:SRL983116 TBC983116:TBH983116 TKY983116:TLD983116 TUU983116:TUZ983116 UEQ983116:UEV983116 UOM983116:UOR983116 UYI983116:UYN983116 VIE983116:VIJ983116 VSA983116:VSF983116 WBW983116:WCB983116 WLS983116:WLX983116 WVO983116:WVT983116">
      <formula1>"Age Related, Service Related, Scale Not Used, Scheme Specific Scale"</formula1>
    </dataValidation>
    <dataValidation type="list" allowBlank="1" showInputMessage="1" showErrorMessage="1" sqref="G75 JC75 SY75 ACU75 AMQ75 AWM75 BGI75 BQE75 CAA75 CJW75 CTS75 DDO75 DNK75 DXG75 EHC75 EQY75 FAU75 FKQ75 FUM75 GEI75 GOE75 GYA75 HHW75 HRS75 IBO75 ILK75 IVG75 JFC75 JOY75 JYU75 KIQ75 KSM75 LCI75 LME75 LWA75 MFW75 MPS75 MZO75 NJK75 NTG75 ODC75 OMY75 OWU75 PGQ75 PQM75 QAI75 QKE75 QUA75 RDW75 RNS75 RXO75 SHK75 SRG75 TBC75 TKY75 TUU75 UEQ75 UOM75 UYI75 VIE75 VSA75 WBW75 WLS75 WVO75 G65615 JC65615 SY65615 ACU65615 AMQ65615 AWM65615 BGI65615 BQE65615 CAA65615 CJW65615 CTS65615 DDO65615 DNK65615 DXG65615 EHC65615 EQY65615 FAU65615 FKQ65615 FUM65615 GEI65615 GOE65615 GYA65615 HHW65615 HRS65615 IBO65615 ILK65615 IVG65615 JFC65615 JOY65615 JYU65615 KIQ65615 KSM65615 LCI65615 LME65615 LWA65615 MFW65615 MPS65615 MZO65615 NJK65615 NTG65615 ODC65615 OMY65615 OWU65615 PGQ65615 PQM65615 QAI65615 QKE65615 QUA65615 RDW65615 RNS65615 RXO65615 SHK65615 SRG65615 TBC65615 TKY65615 TUU65615 UEQ65615 UOM65615 UYI65615 VIE65615 VSA65615 WBW65615 WLS65615 WVO65615 G131151 JC131151 SY131151 ACU131151 AMQ131151 AWM131151 BGI131151 BQE131151 CAA131151 CJW131151 CTS131151 DDO131151 DNK131151 DXG131151 EHC131151 EQY131151 FAU131151 FKQ131151 FUM131151 GEI131151 GOE131151 GYA131151 HHW131151 HRS131151 IBO131151 ILK131151 IVG131151 JFC131151 JOY131151 JYU131151 KIQ131151 KSM131151 LCI131151 LME131151 LWA131151 MFW131151 MPS131151 MZO131151 NJK131151 NTG131151 ODC131151 OMY131151 OWU131151 PGQ131151 PQM131151 QAI131151 QKE131151 QUA131151 RDW131151 RNS131151 RXO131151 SHK131151 SRG131151 TBC131151 TKY131151 TUU131151 UEQ131151 UOM131151 UYI131151 VIE131151 VSA131151 WBW131151 WLS131151 WVO131151 G196687 JC196687 SY196687 ACU196687 AMQ196687 AWM196687 BGI196687 BQE196687 CAA196687 CJW196687 CTS196687 DDO196687 DNK196687 DXG196687 EHC196687 EQY196687 FAU196687 FKQ196687 FUM196687 GEI196687 GOE196687 GYA196687 HHW196687 HRS196687 IBO196687 ILK196687 IVG196687 JFC196687 JOY196687 JYU196687 KIQ196687 KSM196687 LCI196687 LME196687 LWA196687 MFW196687 MPS196687 MZO196687 NJK196687 NTG196687 ODC196687 OMY196687 OWU196687 PGQ196687 PQM196687 QAI196687 QKE196687 QUA196687 RDW196687 RNS196687 RXO196687 SHK196687 SRG196687 TBC196687 TKY196687 TUU196687 UEQ196687 UOM196687 UYI196687 VIE196687 VSA196687 WBW196687 WLS196687 WVO196687 G262223 JC262223 SY262223 ACU262223 AMQ262223 AWM262223 BGI262223 BQE262223 CAA262223 CJW262223 CTS262223 DDO262223 DNK262223 DXG262223 EHC262223 EQY262223 FAU262223 FKQ262223 FUM262223 GEI262223 GOE262223 GYA262223 HHW262223 HRS262223 IBO262223 ILK262223 IVG262223 JFC262223 JOY262223 JYU262223 KIQ262223 KSM262223 LCI262223 LME262223 LWA262223 MFW262223 MPS262223 MZO262223 NJK262223 NTG262223 ODC262223 OMY262223 OWU262223 PGQ262223 PQM262223 QAI262223 QKE262223 QUA262223 RDW262223 RNS262223 RXO262223 SHK262223 SRG262223 TBC262223 TKY262223 TUU262223 UEQ262223 UOM262223 UYI262223 VIE262223 VSA262223 WBW262223 WLS262223 WVO262223 G327759 JC327759 SY327759 ACU327759 AMQ327759 AWM327759 BGI327759 BQE327759 CAA327759 CJW327759 CTS327759 DDO327759 DNK327759 DXG327759 EHC327759 EQY327759 FAU327759 FKQ327759 FUM327759 GEI327759 GOE327759 GYA327759 HHW327759 HRS327759 IBO327759 ILK327759 IVG327759 JFC327759 JOY327759 JYU327759 KIQ327759 KSM327759 LCI327759 LME327759 LWA327759 MFW327759 MPS327759 MZO327759 NJK327759 NTG327759 ODC327759 OMY327759 OWU327759 PGQ327759 PQM327759 QAI327759 QKE327759 QUA327759 RDW327759 RNS327759 RXO327759 SHK327759 SRG327759 TBC327759 TKY327759 TUU327759 UEQ327759 UOM327759 UYI327759 VIE327759 VSA327759 WBW327759 WLS327759 WVO327759 G393295 JC393295 SY393295 ACU393295 AMQ393295 AWM393295 BGI393295 BQE393295 CAA393295 CJW393295 CTS393295 DDO393295 DNK393295 DXG393295 EHC393295 EQY393295 FAU393295 FKQ393295 FUM393295 GEI393295 GOE393295 GYA393295 HHW393295 HRS393295 IBO393295 ILK393295 IVG393295 JFC393295 JOY393295 JYU393295 KIQ393295 KSM393295 LCI393295 LME393295 LWA393295 MFW393295 MPS393295 MZO393295 NJK393295 NTG393295 ODC393295 OMY393295 OWU393295 PGQ393295 PQM393295 QAI393295 QKE393295 QUA393295 RDW393295 RNS393295 RXO393295 SHK393295 SRG393295 TBC393295 TKY393295 TUU393295 UEQ393295 UOM393295 UYI393295 VIE393295 VSA393295 WBW393295 WLS393295 WVO393295 G458831 JC458831 SY458831 ACU458831 AMQ458831 AWM458831 BGI458831 BQE458831 CAA458831 CJW458831 CTS458831 DDO458831 DNK458831 DXG458831 EHC458831 EQY458831 FAU458831 FKQ458831 FUM458831 GEI458831 GOE458831 GYA458831 HHW458831 HRS458831 IBO458831 ILK458831 IVG458831 JFC458831 JOY458831 JYU458831 KIQ458831 KSM458831 LCI458831 LME458831 LWA458831 MFW458831 MPS458831 MZO458831 NJK458831 NTG458831 ODC458831 OMY458831 OWU458831 PGQ458831 PQM458831 QAI458831 QKE458831 QUA458831 RDW458831 RNS458831 RXO458831 SHK458831 SRG458831 TBC458831 TKY458831 TUU458831 UEQ458831 UOM458831 UYI458831 VIE458831 VSA458831 WBW458831 WLS458831 WVO458831 G524367 JC524367 SY524367 ACU524367 AMQ524367 AWM524367 BGI524367 BQE524367 CAA524367 CJW524367 CTS524367 DDO524367 DNK524367 DXG524367 EHC524367 EQY524367 FAU524367 FKQ524367 FUM524367 GEI524367 GOE524367 GYA524367 HHW524367 HRS524367 IBO524367 ILK524367 IVG524367 JFC524367 JOY524367 JYU524367 KIQ524367 KSM524367 LCI524367 LME524367 LWA524367 MFW524367 MPS524367 MZO524367 NJK524367 NTG524367 ODC524367 OMY524367 OWU524367 PGQ524367 PQM524367 QAI524367 QKE524367 QUA524367 RDW524367 RNS524367 RXO524367 SHK524367 SRG524367 TBC524367 TKY524367 TUU524367 UEQ524367 UOM524367 UYI524367 VIE524367 VSA524367 WBW524367 WLS524367 WVO524367 G589903 JC589903 SY589903 ACU589903 AMQ589903 AWM589903 BGI589903 BQE589903 CAA589903 CJW589903 CTS589903 DDO589903 DNK589903 DXG589903 EHC589903 EQY589903 FAU589903 FKQ589903 FUM589903 GEI589903 GOE589903 GYA589903 HHW589903 HRS589903 IBO589903 ILK589903 IVG589903 JFC589903 JOY589903 JYU589903 KIQ589903 KSM589903 LCI589903 LME589903 LWA589903 MFW589903 MPS589903 MZO589903 NJK589903 NTG589903 ODC589903 OMY589903 OWU589903 PGQ589903 PQM589903 QAI589903 QKE589903 QUA589903 RDW589903 RNS589903 RXO589903 SHK589903 SRG589903 TBC589903 TKY589903 TUU589903 UEQ589903 UOM589903 UYI589903 VIE589903 VSA589903 WBW589903 WLS589903 WVO589903 G655439 JC655439 SY655439 ACU655439 AMQ655439 AWM655439 BGI655439 BQE655439 CAA655439 CJW655439 CTS655439 DDO655439 DNK655439 DXG655439 EHC655439 EQY655439 FAU655439 FKQ655439 FUM655439 GEI655439 GOE655439 GYA655439 HHW655439 HRS655439 IBO655439 ILK655439 IVG655439 JFC655439 JOY655439 JYU655439 KIQ655439 KSM655439 LCI655439 LME655439 LWA655439 MFW655439 MPS655439 MZO655439 NJK655439 NTG655439 ODC655439 OMY655439 OWU655439 PGQ655439 PQM655439 QAI655439 QKE655439 QUA655439 RDW655439 RNS655439 RXO655439 SHK655439 SRG655439 TBC655439 TKY655439 TUU655439 UEQ655439 UOM655439 UYI655439 VIE655439 VSA655439 WBW655439 WLS655439 WVO655439 G720975 JC720975 SY720975 ACU720975 AMQ720975 AWM720975 BGI720975 BQE720975 CAA720975 CJW720975 CTS720975 DDO720975 DNK720975 DXG720975 EHC720975 EQY720975 FAU720975 FKQ720975 FUM720975 GEI720975 GOE720975 GYA720975 HHW720975 HRS720975 IBO720975 ILK720975 IVG720975 JFC720975 JOY720975 JYU720975 KIQ720975 KSM720975 LCI720975 LME720975 LWA720975 MFW720975 MPS720975 MZO720975 NJK720975 NTG720975 ODC720975 OMY720975 OWU720975 PGQ720975 PQM720975 QAI720975 QKE720975 QUA720975 RDW720975 RNS720975 RXO720975 SHK720975 SRG720975 TBC720975 TKY720975 TUU720975 UEQ720975 UOM720975 UYI720975 VIE720975 VSA720975 WBW720975 WLS720975 WVO720975 G786511 JC786511 SY786511 ACU786511 AMQ786511 AWM786511 BGI786511 BQE786511 CAA786511 CJW786511 CTS786511 DDO786511 DNK786511 DXG786511 EHC786511 EQY786511 FAU786511 FKQ786511 FUM786511 GEI786511 GOE786511 GYA786511 HHW786511 HRS786511 IBO786511 ILK786511 IVG786511 JFC786511 JOY786511 JYU786511 KIQ786511 KSM786511 LCI786511 LME786511 LWA786511 MFW786511 MPS786511 MZO786511 NJK786511 NTG786511 ODC786511 OMY786511 OWU786511 PGQ786511 PQM786511 QAI786511 QKE786511 QUA786511 RDW786511 RNS786511 RXO786511 SHK786511 SRG786511 TBC786511 TKY786511 TUU786511 UEQ786511 UOM786511 UYI786511 VIE786511 VSA786511 WBW786511 WLS786511 WVO786511 G852047 JC852047 SY852047 ACU852047 AMQ852047 AWM852047 BGI852047 BQE852047 CAA852047 CJW852047 CTS852047 DDO852047 DNK852047 DXG852047 EHC852047 EQY852047 FAU852047 FKQ852047 FUM852047 GEI852047 GOE852047 GYA852047 HHW852047 HRS852047 IBO852047 ILK852047 IVG852047 JFC852047 JOY852047 JYU852047 KIQ852047 KSM852047 LCI852047 LME852047 LWA852047 MFW852047 MPS852047 MZO852047 NJK852047 NTG852047 ODC852047 OMY852047 OWU852047 PGQ852047 PQM852047 QAI852047 QKE852047 QUA852047 RDW852047 RNS852047 RXO852047 SHK852047 SRG852047 TBC852047 TKY852047 TUU852047 UEQ852047 UOM852047 UYI852047 VIE852047 VSA852047 WBW852047 WLS852047 WVO852047 G917583 JC917583 SY917583 ACU917583 AMQ917583 AWM917583 BGI917583 BQE917583 CAA917583 CJW917583 CTS917583 DDO917583 DNK917583 DXG917583 EHC917583 EQY917583 FAU917583 FKQ917583 FUM917583 GEI917583 GOE917583 GYA917583 HHW917583 HRS917583 IBO917583 ILK917583 IVG917583 JFC917583 JOY917583 JYU917583 KIQ917583 KSM917583 LCI917583 LME917583 LWA917583 MFW917583 MPS917583 MZO917583 NJK917583 NTG917583 ODC917583 OMY917583 OWU917583 PGQ917583 PQM917583 QAI917583 QKE917583 QUA917583 RDW917583 RNS917583 RXO917583 SHK917583 SRG917583 TBC917583 TKY917583 TUU917583 UEQ917583 UOM917583 UYI917583 VIE917583 VSA917583 WBW917583 WLS917583 WVO917583 G983119 JC983119 SY983119 ACU983119 AMQ983119 AWM983119 BGI983119 BQE983119 CAA983119 CJW983119 CTS983119 DDO983119 DNK983119 DXG983119 EHC983119 EQY983119 FAU983119 FKQ983119 FUM983119 GEI983119 GOE983119 GYA983119 HHW983119 HRS983119 IBO983119 ILK983119 IVG983119 JFC983119 JOY983119 JYU983119 KIQ983119 KSM983119 LCI983119 LME983119 LWA983119 MFW983119 MPS983119 MZO983119 NJK983119 NTG983119 ODC983119 OMY983119 OWU983119 PGQ983119 PQM983119 QAI983119 QKE983119 QUA983119 RDW983119 RNS983119 RXO983119 SHK983119 SRG983119 TBC983119 TKY983119 TUU983119 UEQ983119 UOM983119 UYI983119 VIE983119 VSA983119 WBW983119 WLS983119 WVO983119">
      <formula1>"Date Joined Scheme, Date Joined Company"</formula1>
    </dataValidation>
    <dataValidation type="list" allowBlank="1" showInputMessage="1" showErrorMessage="1" sqref="G83:G85 JC83:JC85 SY83:SY85 ACU83:ACU85 AMQ83:AMQ85 AWM83:AWM85 BGI83:BGI85 BQE83:BQE85 CAA83:CAA85 CJW83:CJW85 CTS83:CTS85 DDO83:DDO85 DNK83:DNK85 DXG83:DXG85 EHC83:EHC85 EQY83:EQY85 FAU83:FAU85 FKQ83:FKQ85 FUM83:FUM85 GEI83:GEI85 GOE83:GOE85 GYA83:GYA85 HHW83:HHW85 HRS83:HRS85 IBO83:IBO85 ILK83:ILK85 IVG83:IVG85 JFC83:JFC85 JOY83:JOY85 JYU83:JYU85 KIQ83:KIQ85 KSM83:KSM85 LCI83:LCI85 LME83:LME85 LWA83:LWA85 MFW83:MFW85 MPS83:MPS85 MZO83:MZO85 NJK83:NJK85 NTG83:NTG85 ODC83:ODC85 OMY83:OMY85 OWU83:OWU85 PGQ83:PGQ85 PQM83:PQM85 QAI83:QAI85 QKE83:QKE85 QUA83:QUA85 RDW83:RDW85 RNS83:RNS85 RXO83:RXO85 SHK83:SHK85 SRG83:SRG85 TBC83:TBC85 TKY83:TKY85 TUU83:TUU85 UEQ83:UEQ85 UOM83:UOM85 UYI83:UYI85 VIE83:VIE85 VSA83:VSA85 WBW83:WBW85 WLS83:WLS85 WVO83:WVO85 G65623:G65625 JC65623:JC65625 SY65623:SY65625 ACU65623:ACU65625 AMQ65623:AMQ65625 AWM65623:AWM65625 BGI65623:BGI65625 BQE65623:BQE65625 CAA65623:CAA65625 CJW65623:CJW65625 CTS65623:CTS65625 DDO65623:DDO65625 DNK65623:DNK65625 DXG65623:DXG65625 EHC65623:EHC65625 EQY65623:EQY65625 FAU65623:FAU65625 FKQ65623:FKQ65625 FUM65623:FUM65625 GEI65623:GEI65625 GOE65623:GOE65625 GYA65623:GYA65625 HHW65623:HHW65625 HRS65623:HRS65625 IBO65623:IBO65625 ILK65623:ILK65625 IVG65623:IVG65625 JFC65623:JFC65625 JOY65623:JOY65625 JYU65623:JYU65625 KIQ65623:KIQ65625 KSM65623:KSM65625 LCI65623:LCI65625 LME65623:LME65625 LWA65623:LWA65625 MFW65623:MFW65625 MPS65623:MPS65625 MZO65623:MZO65625 NJK65623:NJK65625 NTG65623:NTG65625 ODC65623:ODC65625 OMY65623:OMY65625 OWU65623:OWU65625 PGQ65623:PGQ65625 PQM65623:PQM65625 QAI65623:QAI65625 QKE65623:QKE65625 QUA65623:QUA65625 RDW65623:RDW65625 RNS65623:RNS65625 RXO65623:RXO65625 SHK65623:SHK65625 SRG65623:SRG65625 TBC65623:TBC65625 TKY65623:TKY65625 TUU65623:TUU65625 UEQ65623:UEQ65625 UOM65623:UOM65625 UYI65623:UYI65625 VIE65623:VIE65625 VSA65623:VSA65625 WBW65623:WBW65625 WLS65623:WLS65625 WVO65623:WVO65625 G131159:G131161 JC131159:JC131161 SY131159:SY131161 ACU131159:ACU131161 AMQ131159:AMQ131161 AWM131159:AWM131161 BGI131159:BGI131161 BQE131159:BQE131161 CAA131159:CAA131161 CJW131159:CJW131161 CTS131159:CTS131161 DDO131159:DDO131161 DNK131159:DNK131161 DXG131159:DXG131161 EHC131159:EHC131161 EQY131159:EQY131161 FAU131159:FAU131161 FKQ131159:FKQ131161 FUM131159:FUM131161 GEI131159:GEI131161 GOE131159:GOE131161 GYA131159:GYA131161 HHW131159:HHW131161 HRS131159:HRS131161 IBO131159:IBO131161 ILK131159:ILK131161 IVG131159:IVG131161 JFC131159:JFC131161 JOY131159:JOY131161 JYU131159:JYU131161 KIQ131159:KIQ131161 KSM131159:KSM131161 LCI131159:LCI131161 LME131159:LME131161 LWA131159:LWA131161 MFW131159:MFW131161 MPS131159:MPS131161 MZO131159:MZO131161 NJK131159:NJK131161 NTG131159:NTG131161 ODC131159:ODC131161 OMY131159:OMY131161 OWU131159:OWU131161 PGQ131159:PGQ131161 PQM131159:PQM131161 QAI131159:QAI131161 QKE131159:QKE131161 QUA131159:QUA131161 RDW131159:RDW131161 RNS131159:RNS131161 RXO131159:RXO131161 SHK131159:SHK131161 SRG131159:SRG131161 TBC131159:TBC131161 TKY131159:TKY131161 TUU131159:TUU131161 UEQ131159:UEQ131161 UOM131159:UOM131161 UYI131159:UYI131161 VIE131159:VIE131161 VSA131159:VSA131161 WBW131159:WBW131161 WLS131159:WLS131161 WVO131159:WVO131161 G196695:G196697 JC196695:JC196697 SY196695:SY196697 ACU196695:ACU196697 AMQ196695:AMQ196697 AWM196695:AWM196697 BGI196695:BGI196697 BQE196695:BQE196697 CAA196695:CAA196697 CJW196695:CJW196697 CTS196695:CTS196697 DDO196695:DDO196697 DNK196695:DNK196697 DXG196695:DXG196697 EHC196695:EHC196697 EQY196695:EQY196697 FAU196695:FAU196697 FKQ196695:FKQ196697 FUM196695:FUM196697 GEI196695:GEI196697 GOE196695:GOE196697 GYA196695:GYA196697 HHW196695:HHW196697 HRS196695:HRS196697 IBO196695:IBO196697 ILK196695:ILK196697 IVG196695:IVG196697 JFC196695:JFC196697 JOY196695:JOY196697 JYU196695:JYU196697 KIQ196695:KIQ196697 KSM196695:KSM196697 LCI196695:LCI196697 LME196695:LME196697 LWA196695:LWA196697 MFW196695:MFW196697 MPS196695:MPS196697 MZO196695:MZO196697 NJK196695:NJK196697 NTG196695:NTG196697 ODC196695:ODC196697 OMY196695:OMY196697 OWU196695:OWU196697 PGQ196695:PGQ196697 PQM196695:PQM196697 QAI196695:QAI196697 QKE196695:QKE196697 QUA196695:QUA196697 RDW196695:RDW196697 RNS196695:RNS196697 RXO196695:RXO196697 SHK196695:SHK196697 SRG196695:SRG196697 TBC196695:TBC196697 TKY196695:TKY196697 TUU196695:TUU196697 UEQ196695:UEQ196697 UOM196695:UOM196697 UYI196695:UYI196697 VIE196695:VIE196697 VSA196695:VSA196697 WBW196695:WBW196697 WLS196695:WLS196697 WVO196695:WVO196697 G262231:G262233 JC262231:JC262233 SY262231:SY262233 ACU262231:ACU262233 AMQ262231:AMQ262233 AWM262231:AWM262233 BGI262231:BGI262233 BQE262231:BQE262233 CAA262231:CAA262233 CJW262231:CJW262233 CTS262231:CTS262233 DDO262231:DDO262233 DNK262231:DNK262233 DXG262231:DXG262233 EHC262231:EHC262233 EQY262231:EQY262233 FAU262231:FAU262233 FKQ262231:FKQ262233 FUM262231:FUM262233 GEI262231:GEI262233 GOE262231:GOE262233 GYA262231:GYA262233 HHW262231:HHW262233 HRS262231:HRS262233 IBO262231:IBO262233 ILK262231:ILK262233 IVG262231:IVG262233 JFC262231:JFC262233 JOY262231:JOY262233 JYU262231:JYU262233 KIQ262231:KIQ262233 KSM262231:KSM262233 LCI262231:LCI262233 LME262231:LME262233 LWA262231:LWA262233 MFW262231:MFW262233 MPS262231:MPS262233 MZO262231:MZO262233 NJK262231:NJK262233 NTG262231:NTG262233 ODC262231:ODC262233 OMY262231:OMY262233 OWU262231:OWU262233 PGQ262231:PGQ262233 PQM262231:PQM262233 QAI262231:QAI262233 QKE262231:QKE262233 QUA262231:QUA262233 RDW262231:RDW262233 RNS262231:RNS262233 RXO262231:RXO262233 SHK262231:SHK262233 SRG262231:SRG262233 TBC262231:TBC262233 TKY262231:TKY262233 TUU262231:TUU262233 UEQ262231:UEQ262233 UOM262231:UOM262233 UYI262231:UYI262233 VIE262231:VIE262233 VSA262231:VSA262233 WBW262231:WBW262233 WLS262231:WLS262233 WVO262231:WVO262233 G327767:G327769 JC327767:JC327769 SY327767:SY327769 ACU327767:ACU327769 AMQ327767:AMQ327769 AWM327767:AWM327769 BGI327767:BGI327769 BQE327767:BQE327769 CAA327767:CAA327769 CJW327767:CJW327769 CTS327767:CTS327769 DDO327767:DDO327769 DNK327767:DNK327769 DXG327767:DXG327769 EHC327767:EHC327769 EQY327767:EQY327769 FAU327767:FAU327769 FKQ327767:FKQ327769 FUM327767:FUM327769 GEI327767:GEI327769 GOE327767:GOE327769 GYA327767:GYA327769 HHW327767:HHW327769 HRS327767:HRS327769 IBO327767:IBO327769 ILK327767:ILK327769 IVG327767:IVG327769 JFC327767:JFC327769 JOY327767:JOY327769 JYU327767:JYU327769 KIQ327767:KIQ327769 KSM327767:KSM327769 LCI327767:LCI327769 LME327767:LME327769 LWA327767:LWA327769 MFW327767:MFW327769 MPS327767:MPS327769 MZO327767:MZO327769 NJK327767:NJK327769 NTG327767:NTG327769 ODC327767:ODC327769 OMY327767:OMY327769 OWU327767:OWU327769 PGQ327767:PGQ327769 PQM327767:PQM327769 QAI327767:QAI327769 QKE327767:QKE327769 QUA327767:QUA327769 RDW327767:RDW327769 RNS327767:RNS327769 RXO327767:RXO327769 SHK327767:SHK327769 SRG327767:SRG327769 TBC327767:TBC327769 TKY327767:TKY327769 TUU327767:TUU327769 UEQ327767:UEQ327769 UOM327767:UOM327769 UYI327767:UYI327769 VIE327767:VIE327769 VSA327767:VSA327769 WBW327767:WBW327769 WLS327767:WLS327769 WVO327767:WVO327769 G393303:G393305 JC393303:JC393305 SY393303:SY393305 ACU393303:ACU393305 AMQ393303:AMQ393305 AWM393303:AWM393305 BGI393303:BGI393305 BQE393303:BQE393305 CAA393303:CAA393305 CJW393303:CJW393305 CTS393303:CTS393305 DDO393303:DDO393305 DNK393303:DNK393305 DXG393303:DXG393305 EHC393303:EHC393305 EQY393303:EQY393305 FAU393303:FAU393305 FKQ393303:FKQ393305 FUM393303:FUM393305 GEI393303:GEI393305 GOE393303:GOE393305 GYA393303:GYA393305 HHW393303:HHW393305 HRS393303:HRS393305 IBO393303:IBO393305 ILK393303:ILK393305 IVG393303:IVG393305 JFC393303:JFC393305 JOY393303:JOY393305 JYU393303:JYU393305 KIQ393303:KIQ393305 KSM393303:KSM393305 LCI393303:LCI393305 LME393303:LME393305 LWA393303:LWA393305 MFW393303:MFW393305 MPS393303:MPS393305 MZO393303:MZO393305 NJK393303:NJK393305 NTG393303:NTG393305 ODC393303:ODC393305 OMY393303:OMY393305 OWU393303:OWU393305 PGQ393303:PGQ393305 PQM393303:PQM393305 QAI393303:QAI393305 QKE393303:QKE393305 QUA393303:QUA393305 RDW393303:RDW393305 RNS393303:RNS393305 RXO393303:RXO393305 SHK393303:SHK393305 SRG393303:SRG393305 TBC393303:TBC393305 TKY393303:TKY393305 TUU393303:TUU393305 UEQ393303:UEQ393305 UOM393303:UOM393305 UYI393303:UYI393305 VIE393303:VIE393305 VSA393303:VSA393305 WBW393303:WBW393305 WLS393303:WLS393305 WVO393303:WVO393305 G458839:G458841 JC458839:JC458841 SY458839:SY458841 ACU458839:ACU458841 AMQ458839:AMQ458841 AWM458839:AWM458841 BGI458839:BGI458841 BQE458839:BQE458841 CAA458839:CAA458841 CJW458839:CJW458841 CTS458839:CTS458841 DDO458839:DDO458841 DNK458839:DNK458841 DXG458839:DXG458841 EHC458839:EHC458841 EQY458839:EQY458841 FAU458839:FAU458841 FKQ458839:FKQ458841 FUM458839:FUM458841 GEI458839:GEI458841 GOE458839:GOE458841 GYA458839:GYA458841 HHW458839:HHW458841 HRS458839:HRS458841 IBO458839:IBO458841 ILK458839:ILK458841 IVG458839:IVG458841 JFC458839:JFC458841 JOY458839:JOY458841 JYU458839:JYU458841 KIQ458839:KIQ458841 KSM458839:KSM458841 LCI458839:LCI458841 LME458839:LME458841 LWA458839:LWA458841 MFW458839:MFW458841 MPS458839:MPS458841 MZO458839:MZO458841 NJK458839:NJK458841 NTG458839:NTG458841 ODC458839:ODC458841 OMY458839:OMY458841 OWU458839:OWU458841 PGQ458839:PGQ458841 PQM458839:PQM458841 QAI458839:QAI458841 QKE458839:QKE458841 QUA458839:QUA458841 RDW458839:RDW458841 RNS458839:RNS458841 RXO458839:RXO458841 SHK458839:SHK458841 SRG458839:SRG458841 TBC458839:TBC458841 TKY458839:TKY458841 TUU458839:TUU458841 UEQ458839:UEQ458841 UOM458839:UOM458841 UYI458839:UYI458841 VIE458839:VIE458841 VSA458839:VSA458841 WBW458839:WBW458841 WLS458839:WLS458841 WVO458839:WVO458841 G524375:G524377 JC524375:JC524377 SY524375:SY524377 ACU524375:ACU524377 AMQ524375:AMQ524377 AWM524375:AWM524377 BGI524375:BGI524377 BQE524375:BQE524377 CAA524375:CAA524377 CJW524375:CJW524377 CTS524375:CTS524377 DDO524375:DDO524377 DNK524375:DNK524377 DXG524375:DXG524377 EHC524375:EHC524377 EQY524375:EQY524377 FAU524375:FAU524377 FKQ524375:FKQ524377 FUM524375:FUM524377 GEI524375:GEI524377 GOE524375:GOE524377 GYA524375:GYA524377 HHW524375:HHW524377 HRS524375:HRS524377 IBO524375:IBO524377 ILK524375:ILK524377 IVG524375:IVG524377 JFC524375:JFC524377 JOY524375:JOY524377 JYU524375:JYU524377 KIQ524375:KIQ524377 KSM524375:KSM524377 LCI524375:LCI524377 LME524375:LME524377 LWA524375:LWA524377 MFW524375:MFW524377 MPS524375:MPS524377 MZO524375:MZO524377 NJK524375:NJK524377 NTG524375:NTG524377 ODC524375:ODC524377 OMY524375:OMY524377 OWU524375:OWU524377 PGQ524375:PGQ524377 PQM524375:PQM524377 QAI524375:QAI524377 QKE524375:QKE524377 QUA524375:QUA524377 RDW524375:RDW524377 RNS524375:RNS524377 RXO524375:RXO524377 SHK524375:SHK524377 SRG524375:SRG524377 TBC524375:TBC524377 TKY524375:TKY524377 TUU524375:TUU524377 UEQ524375:UEQ524377 UOM524375:UOM524377 UYI524375:UYI524377 VIE524375:VIE524377 VSA524375:VSA524377 WBW524375:WBW524377 WLS524375:WLS524377 WVO524375:WVO524377 G589911:G589913 JC589911:JC589913 SY589911:SY589913 ACU589911:ACU589913 AMQ589911:AMQ589913 AWM589911:AWM589913 BGI589911:BGI589913 BQE589911:BQE589913 CAA589911:CAA589913 CJW589911:CJW589913 CTS589911:CTS589913 DDO589911:DDO589913 DNK589911:DNK589913 DXG589911:DXG589913 EHC589911:EHC589913 EQY589911:EQY589913 FAU589911:FAU589913 FKQ589911:FKQ589913 FUM589911:FUM589913 GEI589911:GEI589913 GOE589911:GOE589913 GYA589911:GYA589913 HHW589911:HHW589913 HRS589911:HRS589913 IBO589911:IBO589913 ILK589911:ILK589913 IVG589911:IVG589913 JFC589911:JFC589913 JOY589911:JOY589913 JYU589911:JYU589913 KIQ589911:KIQ589913 KSM589911:KSM589913 LCI589911:LCI589913 LME589911:LME589913 LWA589911:LWA589913 MFW589911:MFW589913 MPS589911:MPS589913 MZO589911:MZO589913 NJK589911:NJK589913 NTG589911:NTG589913 ODC589911:ODC589913 OMY589911:OMY589913 OWU589911:OWU589913 PGQ589911:PGQ589913 PQM589911:PQM589913 QAI589911:QAI589913 QKE589911:QKE589913 QUA589911:QUA589913 RDW589911:RDW589913 RNS589911:RNS589913 RXO589911:RXO589913 SHK589911:SHK589913 SRG589911:SRG589913 TBC589911:TBC589913 TKY589911:TKY589913 TUU589911:TUU589913 UEQ589911:UEQ589913 UOM589911:UOM589913 UYI589911:UYI589913 VIE589911:VIE589913 VSA589911:VSA589913 WBW589911:WBW589913 WLS589911:WLS589913 WVO589911:WVO589913 G655447:G655449 JC655447:JC655449 SY655447:SY655449 ACU655447:ACU655449 AMQ655447:AMQ655449 AWM655447:AWM655449 BGI655447:BGI655449 BQE655447:BQE655449 CAA655447:CAA655449 CJW655447:CJW655449 CTS655447:CTS655449 DDO655447:DDO655449 DNK655447:DNK655449 DXG655447:DXG655449 EHC655447:EHC655449 EQY655447:EQY655449 FAU655447:FAU655449 FKQ655447:FKQ655449 FUM655447:FUM655449 GEI655447:GEI655449 GOE655447:GOE655449 GYA655447:GYA655449 HHW655447:HHW655449 HRS655447:HRS655449 IBO655447:IBO655449 ILK655447:ILK655449 IVG655447:IVG655449 JFC655447:JFC655449 JOY655447:JOY655449 JYU655447:JYU655449 KIQ655447:KIQ655449 KSM655447:KSM655449 LCI655447:LCI655449 LME655447:LME655449 LWA655447:LWA655449 MFW655447:MFW655449 MPS655447:MPS655449 MZO655447:MZO655449 NJK655447:NJK655449 NTG655447:NTG655449 ODC655447:ODC655449 OMY655447:OMY655449 OWU655447:OWU655449 PGQ655447:PGQ655449 PQM655447:PQM655449 QAI655447:QAI655449 QKE655447:QKE655449 QUA655447:QUA655449 RDW655447:RDW655449 RNS655447:RNS655449 RXO655447:RXO655449 SHK655447:SHK655449 SRG655447:SRG655449 TBC655447:TBC655449 TKY655447:TKY655449 TUU655447:TUU655449 UEQ655447:UEQ655449 UOM655447:UOM655449 UYI655447:UYI655449 VIE655447:VIE655449 VSA655447:VSA655449 WBW655447:WBW655449 WLS655447:WLS655449 WVO655447:WVO655449 G720983:G720985 JC720983:JC720985 SY720983:SY720985 ACU720983:ACU720985 AMQ720983:AMQ720985 AWM720983:AWM720985 BGI720983:BGI720985 BQE720983:BQE720985 CAA720983:CAA720985 CJW720983:CJW720985 CTS720983:CTS720985 DDO720983:DDO720985 DNK720983:DNK720985 DXG720983:DXG720985 EHC720983:EHC720985 EQY720983:EQY720985 FAU720983:FAU720985 FKQ720983:FKQ720985 FUM720983:FUM720985 GEI720983:GEI720985 GOE720983:GOE720985 GYA720983:GYA720985 HHW720983:HHW720985 HRS720983:HRS720985 IBO720983:IBO720985 ILK720983:ILK720985 IVG720983:IVG720985 JFC720983:JFC720985 JOY720983:JOY720985 JYU720983:JYU720985 KIQ720983:KIQ720985 KSM720983:KSM720985 LCI720983:LCI720985 LME720983:LME720985 LWA720983:LWA720985 MFW720983:MFW720985 MPS720983:MPS720985 MZO720983:MZO720985 NJK720983:NJK720985 NTG720983:NTG720985 ODC720983:ODC720985 OMY720983:OMY720985 OWU720983:OWU720985 PGQ720983:PGQ720985 PQM720983:PQM720985 QAI720983:QAI720985 QKE720983:QKE720985 QUA720983:QUA720985 RDW720983:RDW720985 RNS720983:RNS720985 RXO720983:RXO720985 SHK720983:SHK720985 SRG720983:SRG720985 TBC720983:TBC720985 TKY720983:TKY720985 TUU720983:TUU720985 UEQ720983:UEQ720985 UOM720983:UOM720985 UYI720983:UYI720985 VIE720983:VIE720985 VSA720983:VSA720985 WBW720983:WBW720985 WLS720983:WLS720985 WVO720983:WVO720985 G786519:G786521 JC786519:JC786521 SY786519:SY786521 ACU786519:ACU786521 AMQ786519:AMQ786521 AWM786519:AWM786521 BGI786519:BGI786521 BQE786519:BQE786521 CAA786519:CAA786521 CJW786519:CJW786521 CTS786519:CTS786521 DDO786519:DDO786521 DNK786519:DNK786521 DXG786519:DXG786521 EHC786519:EHC786521 EQY786519:EQY786521 FAU786519:FAU786521 FKQ786519:FKQ786521 FUM786519:FUM786521 GEI786519:GEI786521 GOE786519:GOE786521 GYA786519:GYA786521 HHW786519:HHW786521 HRS786519:HRS786521 IBO786519:IBO786521 ILK786519:ILK786521 IVG786519:IVG786521 JFC786519:JFC786521 JOY786519:JOY786521 JYU786519:JYU786521 KIQ786519:KIQ786521 KSM786519:KSM786521 LCI786519:LCI786521 LME786519:LME786521 LWA786519:LWA786521 MFW786519:MFW786521 MPS786519:MPS786521 MZO786519:MZO786521 NJK786519:NJK786521 NTG786519:NTG786521 ODC786519:ODC786521 OMY786519:OMY786521 OWU786519:OWU786521 PGQ786519:PGQ786521 PQM786519:PQM786521 QAI786519:QAI786521 QKE786519:QKE786521 QUA786519:QUA786521 RDW786519:RDW786521 RNS786519:RNS786521 RXO786519:RXO786521 SHK786519:SHK786521 SRG786519:SRG786521 TBC786519:TBC786521 TKY786519:TKY786521 TUU786519:TUU786521 UEQ786519:UEQ786521 UOM786519:UOM786521 UYI786519:UYI786521 VIE786519:VIE786521 VSA786519:VSA786521 WBW786519:WBW786521 WLS786519:WLS786521 WVO786519:WVO786521 G852055:G852057 JC852055:JC852057 SY852055:SY852057 ACU852055:ACU852057 AMQ852055:AMQ852057 AWM852055:AWM852057 BGI852055:BGI852057 BQE852055:BQE852057 CAA852055:CAA852057 CJW852055:CJW852057 CTS852055:CTS852057 DDO852055:DDO852057 DNK852055:DNK852057 DXG852055:DXG852057 EHC852055:EHC852057 EQY852055:EQY852057 FAU852055:FAU852057 FKQ852055:FKQ852057 FUM852055:FUM852057 GEI852055:GEI852057 GOE852055:GOE852057 GYA852055:GYA852057 HHW852055:HHW852057 HRS852055:HRS852057 IBO852055:IBO852057 ILK852055:ILK852057 IVG852055:IVG852057 JFC852055:JFC852057 JOY852055:JOY852057 JYU852055:JYU852057 KIQ852055:KIQ852057 KSM852055:KSM852057 LCI852055:LCI852057 LME852055:LME852057 LWA852055:LWA852057 MFW852055:MFW852057 MPS852055:MPS852057 MZO852055:MZO852057 NJK852055:NJK852057 NTG852055:NTG852057 ODC852055:ODC852057 OMY852055:OMY852057 OWU852055:OWU852057 PGQ852055:PGQ852057 PQM852055:PQM852057 QAI852055:QAI852057 QKE852055:QKE852057 QUA852055:QUA852057 RDW852055:RDW852057 RNS852055:RNS852057 RXO852055:RXO852057 SHK852055:SHK852057 SRG852055:SRG852057 TBC852055:TBC852057 TKY852055:TKY852057 TUU852055:TUU852057 UEQ852055:UEQ852057 UOM852055:UOM852057 UYI852055:UYI852057 VIE852055:VIE852057 VSA852055:VSA852057 WBW852055:WBW852057 WLS852055:WLS852057 WVO852055:WVO852057 G917591:G917593 JC917591:JC917593 SY917591:SY917593 ACU917591:ACU917593 AMQ917591:AMQ917593 AWM917591:AWM917593 BGI917591:BGI917593 BQE917591:BQE917593 CAA917591:CAA917593 CJW917591:CJW917593 CTS917591:CTS917593 DDO917591:DDO917593 DNK917591:DNK917593 DXG917591:DXG917593 EHC917591:EHC917593 EQY917591:EQY917593 FAU917591:FAU917593 FKQ917591:FKQ917593 FUM917591:FUM917593 GEI917591:GEI917593 GOE917591:GOE917593 GYA917591:GYA917593 HHW917591:HHW917593 HRS917591:HRS917593 IBO917591:IBO917593 ILK917591:ILK917593 IVG917591:IVG917593 JFC917591:JFC917593 JOY917591:JOY917593 JYU917591:JYU917593 KIQ917591:KIQ917593 KSM917591:KSM917593 LCI917591:LCI917593 LME917591:LME917593 LWA917591:LWA917593 MFW917591:MFW917593 MPS917591:MPS917593 MZO917591:MZO917593 NJK917591:NJK917593 NTG917591:NTG917593 ODC917591:ODC917593 OMY917591:OMY917593 OWU917591:OWU917593 PGQ917591:PGQ917593 PQM917591:PQM917593 QAI917591:QAI917593 QKE917591:QKE917593 QUA917591:QUA917593 RDW917591:RDW917593 RNS917591:RNS917593 RXO917591:RXO917593 SHK917591:SHK917593 SRG917591:SRG917593 TBC917591:TBC917593 TKY917591:TKY917593 TUU917591:TUU917593 UEQ917591:UEQ917593 UOM917591:UOM917593 UYI917591:UYI917593 VIE917591:VIE917593 VSA917591:VSA917593 WBW917591:WBW917593 WLS917591:WLS917593 WVO917591:WVO917593 G983127:G983129 JC983127:JC983129 SY983127:SY983129 ACU983127:ACU983129 AMQ983127:AMQ983129 AWM983127:AWM983129 BGI983127:BGI983129 BQE983127:BQE983129 CAA983127:CAA983129 CJW983127:CJW983129 CTS983127:CTS983129 DDO983127:DDO983129 DNK983127:DNK983129 DXG983127:DXG983129 EHC983127:EHC983129 EQY983127:EQY983129 FAU983127:FAU983129 FKQ983127:FKQ983129 FUM983127:FUM983129 GEI983127:GEI983129 GOE983127:GOE983129 GYA983127:GYA983129 HHW983127:HHW983129 HRS983127:HRS983129 IBO983127:IBO983129 ILK983127:ILK983129 IVG983127:IVG983129 JFC983127:JFC983129 JOY983127:JOY983129 JYU983127:JYU983129 KIQ983127:KIQ983129 KSM983127:KSM983129 LCI983127:LCI983129 LME983127:LME983129 LWA983127:LWA983129 MFW983127:MFW983129 MPS983127:MPS983129 MZO983127:MZO983129 NJK983127:NJK983129 NTG983127:NTG983129 ODC983127:ODC983129 OMY983127:OMY983129 OWU983127:OWU983129 PGQ983127:PGQ983129 PQM983127:PQM983129 QAI983127:QAI983129 QKE983127:QKE983129 QUA983127:QUA983129 RDW983127:RDW983129 RNS983127:RNS983129 RXO983127:RXO983129 SHK983127:SHK983129 SRG983127:SRG983129 TBC983127:TBC983129 TKY983127:TKY983129 TUU983127:TUU983129 UEQ983127:UEQ983129 UOM983127:UOM983129 UYI983127:UYI983129 VIE983127:VIE983129 VSA983127:VSA983129 WBW983127:WBW983129 WLS983127:WLS983129 WVO983127:WVO983129">
      <formula1>"Include, Exclude"</formula1>
    </dataValidation>
    <dataValidation type="list" allowBlank="1" showInputMessage="1" showErrorMessage="1" sqref="G121:L121 JC121:JH121 SY121:TD121 ACU121:ACZ121 AMQ121:AMV121 AWM121:AWR121 BGI121:BGN121 BQE121:BQJ121 CAA121:CAF121 CJW121:CKB121 CTS121:CTX121 DDO121:DDT121 DNK121:DNP121 DXG121:DXL121 EHC121:EHH121 EQY121:ERD121 FAU121:FAZ121 FKQ121:FKV121 FUM121:FUR121 GEI121:GEN121 GOE121:GOJ121 GYA121:GYF121 HHW121:HIB121 HRS121:HRX121 IBO121:IBT121 ILK121:ILP121 IVG121:IVL121 JFC121:JFH121 JOY121:JPD121 JYU121:JYZ121 KIQ121:KIV121 KSM121:KSR121 LCI121:LCN121 LME121:LMJ121 LWA121:LWF121 MFW121:MGB121 MPS121:MPX121 MZO121:MZT121 NJK121:NJP121 NTG121:NTL121 ODC121:ODH121 OMY121:OND121 OWU121:OWZ121 PGQ121:PGV121 PQM121:PQR121 QAI121:QAN121 QKE121:QKJ121 QUA121:QUF121 RDW121:REB121 RNS121:RNX121 RXO121:RXT121 SHK121:SHP121 SRG121:SRL121 TBC121:TBH121 TKY121:TLD121 TUU121:TUZ121 UEQ121:UEV121 UOM121:UOR121 UYI121:UYN121 VIE121:VIJ121 VSA121:VSF121 WBW121:WCB121 WLS121:WLX121 WVO121:WVT121 G65660:L65660 JC65660:JH65660 SY65660:TD65660 ACU65660:ACZ65660 AMQ65660:AMV65660 AWM65660:AWR65660 BGI65660:BGN65660 BQE65660:BQJ65660 CAA65660:CAF65660 CJW65660:CKB65660 CTS65660:CTX65660 DDO65660:DDT65660 DNK65660:DNP65660 DXG65660:DXL65660 EHC65660:EHH65660 EQY65660:ERD65660 FAU65660:FAZ65660 FKQ65660:FKV65660 FUM65660:FUR65660 GEI65660:GEN65660 GOE65660:GOJ65660 GYA65660:GYF65660 HHW65660:HIB65660 HRS65660:HRX65660 IBO65660:IBT65660 ILK65660:ILP65660 IVG65660:IVL65660 JFC65660:JFH65660 JOY65660:JPD65660 JYU65660:JYZ65660 KIQ65660:KIV65660 KSM65660:KSR65660 LCI65660:LCN65660 LME65660:LMJ65660 LWA65660:LWF65660 MFW65660:MGB65660 MPS65660:MPX65660 MZO65660:MZT65660 NJK65660:NJP65660 NTG65660:NTL65660 ODC65660:ODH65660 OMY65660:OND65660 OWU65660:OWZ65660 PGQ65660:PGV65660 PQM65660:PQR65660 QAI65660:QAN65660 QKE65660:QKJ65660 QUA65660:QUF65660 RDW65660:REB65660 RNS65660:RNX65660 RXO65660:RXT65660 SHK65660:SHP65660 SRG65660:SRL65660 TBC65660:TBH65660 TKY65660:TLD65660 TUU65660:TUZ65660 UEQ65660:UEV65660 UOM65660:UOR65660 UYI65660:UYN65660 VIE65660:VIJ65660 VSA65660:VSF65660 WBW65660:WCB65660 WLS65660:WLX65660 WVO65660:WVT65660 G131196:L131196 JC131196:JH131196 SY131196:TD131196 ACU131196:ACZ131196 AMQ131196:AMV131196 AWM131196:AWR131196 BGI131196:BGN131196 BQE131196:BQJ131196 CAA131196:CAF131196 CJW131196:CKB131196 CTS131196:CTX131196 DDO131196:DDT131196 DNK131196:DNP131196 DXG131196:DXL131196 EHC131196:EHH131196 EQY131196:ERD131196 FAU131196:FAZ131196 FKQ131196:FKV131196 FUM131196:FUR131196 GEI131196:GEN131196 GOE131196:GOJ131196 GYA131196:GYF131196 HHW131196:HIB131196 HRS131196:HRX131196 IBO131196:IBT131196 ILK131196:ILP131196 IVG131196:IVL131196 JFC131196:JFH131196 JOY131196:JPD131196 JYU131196:JYZ131196 KIQ131196:KIV131196 KSM131196:KSR131196 LCI131196:LCN131196 LME131196:LMJ131196 LWA131196:LWF131196 MFW131196:MGB131196 MPS131196:MPX131196 MZO131196:MZT131196 NJK131196:NJP131196 NTG131196:NTL131196 ODC131196:ODH131196 OMY131196:OND131196 OWU131196:OWZ131196 PGQ131196:PGV131196 PQM131196:PQR131196 QAI131196:QAN131196 QKE131196:QKJ131196 QUA131196:QUF131196 RDW131196:REB131196 RNS131196:RNX131196 RXO131196:RXT131196 SHK131196:SHP131196 SRG131196:SRL131196 TBC131196:TBH131196 TKY131196:TLD131196 TUU131196:TUZ131196 UEQ131196:UEV131196 UOM131196:UOR131196 UYI131196:UYN131196 VIE131196:VIJ131196 VSA131196:VSF131196 WBW131196:WCB131196 WLS131196:WLX131196 WVO131196:WVT131196 G196732:L196732 JC196732:JH196732 SY196732:TD196732 ACU196732:ACZ196732 AMQ196732:AMV196732 AWM196732:AWR196732 BGI196732:BGN196732 BQE196732:BQJ196732 CAA196732:CAF196732 CJW196732:CKB196732 CTS196732:CTX196732 DDO196732:DDT196732 DNK196732:DNP196732 DXG196732:DXL196732 EHC196732:EHH196732 EQY196732:ERD196732 FAU196732:FAZ196732 FKQ196732:FKV196732 FUM196732:FUR196732 GEI196732:GEN196732 GOE196732:GOJ196732 GYA196732:GYF196732 HHW196732:HIB196732 HRS196732:HRX196732 IBO196732:IBT196732 ILK196732:ILP196732 IVG196732:IVL196732 JFC196732:JFH196732 JOY196732:JPD196732 JYU196732:JYZ196732 KIQ196732:KIV196732 KSM196732:KSR196732 LCI196732:LCN196732 LME196732:LMJ196732 LWA196732:LWF196732 MFW196732:MGB196732 MPS196732:MPX196732 MZO196732:MZT196732 NJK196732:NJP196732 NTG196732:NTL196732 ODC196732:ODH196732 OMY196732:OND196732 OWU196732:OWZ196732 PGQ196732:PGV196732 PQM196732:PQR196732 QAI196732:QAN196732 QKE196732:QKJ196732 QUA196732:QUF196732 RDW196732:REB196732 RNS196732:RNX196732 RXO196732:RXT196732 SHK196732:SHP196732 SRG196732:SRL196732 TBC196732:TBH196732 TKY196732:TLD196732 TUU196732:TUZ196732 UEQ196732:UEV196732 UOM196732:UOR196732 UYI196732:UYN196732 VIE196732:VIJ196732 VSA196732:VSF196732 WBW196732:WCB196732 WLS196732:WLX196732 WVO196732:WVT196732 G262268:L262268 JC262268:JH262268 SY262268:TD262268 ACU262268:ACZ262268 AMQ262268:AMV262268 AWM262268:AWR262268 BGI262268:BGN262268 BQE262268:BQJ262268 CAA262268:CAF262268 CJW262268:CKB262268 CTS262268:CTX262268 DDO262268:DDT262268 DNK262268:DNP262268 DXG262268:DXL262268 EHC262268:EHH262268 EQY262268:ERD262268 FAU262268:FAZ262268 FKQ262268:FKV262268 FUM262268:FUR262268 GEI262268:GEN262268 GOE262268:GOJ262268 GYA262268:GYF262268 HHW262268:HIB262268 HRS262268:HRX262268 IBO262268:IBT262268 ILK262268:ILP262268 IVG262268:IVL262268 JFC262268:JFH262268 JOY262268:JPD262268 JYU262268:JYZ262268 KIQ262268:KIV262268 KSM262268:KSR262268 LCI262268:LCN262268 LME262268:LMJ262268 LWA262268:LWF262268 MFW262268:MGB262268 MPS262268:MPX262268 MZO262268:MZT262268 NJK262268:NJP262268 NTG262268:NTL262268 ODC262268:ODH262268 OMY262268:OND262268 OWU262268:OWZ262268 PGQ262268:PGV262268 PQM262268:PQR262268 QAI262268:QAN262268 QKE262268:QKJ262268 QUA262268:QUF262268 RDW262268:REB262268 RNS262268:RNX262268 RXO262268:RXT262268 SHK262268:SHP262268 SRG262268:SRL262268 TBC262268:TBH262268 TKY262268:TLD262268 TUU262268:TUZ262268 UEQ262268:UEV262268 UOM262268:UOR262268 UYI262268:UYN262268 VIE262268:VIJ262268 VSA262268:VSF262268 WBW262268:WCB262268 WLS262268:WLX262268 WVO262268:WVT262268 G327804:L327804 JC327804:JH327804 SY327804:TD327804 ACU327804:ACZ327804 AMQ327804:AMV327804 AWM327804:AWR327804 BGI327804:BGN327804 BQE327804:BQJ327804 CAA327804:CAF327804 CJW327804:CKB327804 CTS327804:CTX327804 DDO327804:DDT327804 DNK327804:DNP327804 DXG327804:DXL327804 EHC327804:EHH327804 EQY327804:ERD327804 FAU327804:FAZ327804 FKQ327804:FKV327804 FUM327804:FUR327804 GEI327804:GEN327804 GOE327804:GOJ327804 GYA327804:GYF327804 HHW327804:HIB327804 HRS327804:HRX327804 IBO327804:IBT327804 ILK327804:ILP327804 IVG327804:IVL327804 JFC327804:JFH327804 JOY327804:JPD327804 JYU327804:JYZ327804 KIQ327804:KIV327804 KSM327804:KSR327804 LCI327804:LCN327804 LME327804:LMJ327804 LWA327804:LWF327804 MFW327804:MGB327804 MPS327804:MPX327804 MZO327804:MZT327804 NJK327804:NJP327804 NTG327804:NTL327804 ODC327804:ODH327804 OMY327804:OND327804 OWU327804:OWZ327804 PGQ327804:PGV327804 PQM327804:PQR327804 QAI327804:QAN327804 QKE327804:QKJ327804 QUA327804:QUF327804 RDW327804:REB327804 RNS327804:RNX327804 RXO327804:RXT327804 SHK327804:SHP327804 SRG327804:SRL327804 TBC327804:TBH327804 TKY327804:TLD327804 TUU327804:TUZ327804 UEQ327804:UEV327804 UOM327804:UOR327804 UYI327804:UYN327804 VIE327804:VIJ327804 VSA327804:VSF327804 WBW327804:WCB327804 WLS327804:WLX327804 WVO327804:WVT327804 G393340:L393340 JC393340:JH393340 SY393340:TD393340 ACU393340:ACZ393340 AMQ393340:AMV393340 AWM393340:AWR393340 BGI393340:BGN393340 BQE393340:BQJ393340 CAA393340:CAF393340 CJW393340:CKB393340 CTS393340:CTX393340 DDO393340:DDT393340 DNK393340:DNP393340 DXG393340:DXL393340 EHC393340:EHH393340 EQY393340:ERD393340 FAU393340:FAZ393340 FKQ393340:FKV393340 FUM393340:FUR393340 GEI393340:GEN393340 GOE393340:GOJ393340 GYA393340:GYF393340 HHW393340:HIB393340 HRS393340:HRX393340 IBO393340:IBT393340 ILK393340:ILP393340 IVG393340:IVL393340 JFC393340:JFH393340 JOY393340:JPD393340 JYU393340:JYZ393340 KIQ393340:KIV393340 KSM393340:KSR393340 LCI393340:LCN393340 LME393340:LMJ393340 LWA393340:LWF393340 MFW393340:MGB393340 MPS393340:MPX393340 MZO393340:MZT393340 NJK393340:NJP393340 NTG393340:NTL393340 ODC393340:ODH393340 OMY393340:OND393340 OWU393340:OWZ393340 PGQ393340:PGV393340 PQM393340:PQR393340 QAI393340:QAN393340 QKE393340:QKJ393340 QUA393340:QUF393340 RDW393340:REB393340 RNS393340:RNX393340 RXO393340:RXT393340 SHK393340:SHP393340 SRG393340:SRL393340 TBC393340:TBH393340 TKY393340:TLD393340 TUU393340:TUZ393340 UEQ393340:UEV393340 UOM393340:UOR393340 UYI393340:UYN393340 VIE393340:VIJ393340 VSA393340:VSF393340 WBW393340:WCB393340 WLS393340:WLX393340 WVO393340:WVT393340 G458876:L458876 JC458876:JH458876 SY458876:TD458876 ACU458876:ACZ458876 AMQ458876:AMV458876 AWM458876:AWR458876 BGI458876:BGN458876 BQE458876:BQJ458876 CAA458876:CAF458876 CJW458876:CKB458876 CTS458876:CTX458876 DDO458876:DDT458876 DNK458876:DNP458876 DXG458876:DXL458876 EHC458876:EHH458876 EQY458876:ERD458876 FAU458876:FAZ458876 FKQ458876:FKV458876 FUM458876:FUR458876 GEI458876:GEN458876 GOE458876:GOJ458876 GYA458876:GYF458876 HHW458876:HIB458876 HRS458876:HRX458876 IBO458876:IBT458876 ILK458876:ILP458876 IVG458876:IVL458876 JFC458876:JFH458876 JOY458876:JPD458876 JYU458876:JYZ458876 KIQ458876:KIV458876 KSM458876:KSR458876 LCI458876:LCN458876 LME458876:LMJ458876 LWA458876:LWF458876 MFW458876:MGB458876 MPS458876:MPX458876 MZO458876:MZT458876 NJK458876:NJP458876 NTG458876:NTL458876 ODC458876:ODH458876 OMY458876:OND458876 OWU458876:OWZ458876 PGQ458876:PGV458876 PQM458876:PQR458876 QAI458876:QAN458876 QKE458876:QKJ458876 QUA458876:QUF458876 RDW458876:REB458876 RNS458876:RNX458876 RXO458876:RXT458876 SHK458876:SHP458876 SRG458876:SRL458876 TBC458876:TBH458876 TKY458876:TLD458876 TUU458876:TUZ458876 UEQ458876:UEV458876 UOM458876:UOR458876 UYI458876:UYN458876 VIE458876:VIJ458876 VSA458876:VSF458876 WBW458876:WCB458876 WLS458876:WLX458876 WVO458876:WVT458876 G524412:L524412 JC524412:JH524412 SY524412:TD524412 ACU524412:ACZ524412 AMQ524412:AMV524412 AWM524412:AWR524412 BGI524412:BGN524412 BQE524412:BQJ524412 CAA524412:CAF524412 CJW524412:CKB524412 CTS524412:CTX524412 DDO524412:DDT524412 DNK524412:DNP524412 DXG524412:DXL524412 EHC524412:EHH524412 EQY524412:ERD524412 FAU524412:FAZ524412 FKQ524412:FKV524412 FUM524412:FUR524412 GEI524412:GEN524412 GOE524412:GOJ524412 GYA524412:GYF524412 HHW524412:HIB524412 HRS524412:HRX524412 IBO524412:IBT524412 ILK524412:ILP524412 IVG524412:IVL524412 JFC524412:JFH524412 JOY524412:JPD524412 JYU524412:JYZ524412 KIQ524412:KIV524412 KSM524412:KSR524412 LCI524412:LCN524412 LME524412:LMJ524412 LWA524412:LWF524412 MFW524412:MGB524412 MPS524412:MPX524412 MZO524412:MZT524412 NJK524412:NJP524412 NTG524412:NTL524412 ODC524412:ODH524412 OMY524412:OND524412 OWU524412:OWZ524412 PGQ524412:PGV524412 PQM524412:PQR524412 QAI524412:QAN524412 QKE524412:QKJ524412 QUA524412:QUF524412 RDW524412:REB524412 RNS524412:RNX524412 RXO524412:RXT524412 SHK524412:SHP524412 SRG524412:SRL524412 TBC524412:TBH524412 TKY524412:TLD524412 TUU524412:TUZ524412 UEQ524412:UEV524412 UOM524412:UOR524412 UYI524412:UYN524412 VIE524412:VIJ524412 VSA524412:VSF524412 WBW524412:WCB524412 WLS524412:WLX524412 WVO524412:WVT524412 G589948:L589948 JC589948:JH589948 SY589948:TD589948 ACU589948:ACZ589948 AMQ589948:AMV589948 AWM589948:AWR589948 BGI589948:BGN589948 BQE589948:BQJ589948 CAA589948:CAF589948 CJW589948:CKB589948 CTS589948:CTX589948 DDO589948:DDT589948 DNK589948:DNP589948 DXG589948:DXL589948 EHC589948:EHH589948 EQY589948:ERD589948 FAU589948:FAZ589948 FKQ589948:FKV589948 FUM589948:FUR589948 GEI589948:GEN589948 GOE589948:GOJ589948 GYA589948:GYF589948 HHW589948:HIB589948 HRS589948:HRX589948 IBO589948:IBT589948 ILK589948:ILP589948 IVG589948:IVL589948 JFC589948:JFH589948 JOY589948:JPD589948 JYU589948:JYZ589948 KIQ589948:KIV589948 KSM589948:KSR589948 LCI589948:LCN589948 LME589948:LMJ589948 LWA589948:LWF589948 MFW589948:MGB589948 MPS589948:MPX589948 MZO589948:MZT589948 NJK589948:NJP589948 NTG589948:NTL589948 ODC589948:ODH589948 OMY589948:OND589948 OWU589948:OWZ589948 PGQ589948:PGV589948 PQM589948:PQR589948 QAI589948:QAN589948 QKE589948:QKJ589948 QUA589948:QUF589948 RDW589948:REB589948 RNS589948:RNX589948 RXO589948:RXT589948 SHK589948:SHP589948 SRG589948:SRL589948 TBC589948:TBH589948 TKY589948:TLD589948 TUU589948:TUZ589948 UEQ589948:UEV589948 UOM589948:UOR589948 UYI589948:UYN589948 VIE589948:VIJ589948 VSA589948:VSF589948 WBW589948:WCB589948 WLS589948:WLX589948 WVO589948:WVT589948 G655484:L655484 JC655484:JH655484 SY655484:TD655484 ACU655484:ACZ655484 AMQ655484:AMV655484 AWM655484:AWR655484 BGI655484:BGN655484 BQE655484:BQJ655484 CAA655484:CAF655484 CJW655484:CKB655484 CTS655484:CTX655484 DDO655484:DDT655484 DNK655484:DNP655484 DXG655484:DXL655484 EHC655484:EHH655484 EQY655484:ERD655484 FAU655484:FAZ655484 FKQ655484:FKV655484 FUM655484:FUR655484 GEI655484:GEN655484 GOE655484:GOJ655484 GYA655484:GYF655484 HHW655484:HIB655484 HRS655484:HRX655484 IBO655484:IBT655484 ILK655484:ILP655484 IVG655484:IVL655484 JFC655484:JFH655484 JOY655484:JPD655484 JYU655484:JYZ655484 KIQ655484:KIV655484 KSM655484:KSR655484 LCI655484:LCN655484 LME655484:LMJ655484 LWA655484:LWF655484 MFW655484:MGB655484 MPS655484:MPX655484 MZO655484:MZT655484 NJK655484:NJP655484 NTG655484:NTL655484 ODC655484:ODH655484 OMY655484:OND655484 OWU655484:OWZ655484 PGQ655484:PGV655484 PQM655484:PQR655484 QAI655484:QAN655484 QKE655484:QKJ655484 QUA655484:QUF655484 RDW655484:REB655484 RNS655484:RNX655484 RXO655484:RXT655484 SHK655484:SHP655484 SRG655484:SRL655484 TBC655484:TBH655484 TKY655484:TLD655484 TUU655484:TUZ655484 UEQ655484:UEV655484 UOM655484:UOR655484 UYI655484:UYN655484 VIE655484:VIJ655484 VSA655484:VSF655484 WBW655484:WCB655484 WLS655484:WLX655484 WVO655484:WVT655484 G721020:L721020 JC721020:JH721020 SY721020:TD721020 ACU721020:ACZ721020 AMQ721020:AMV721020 AWM721020:AWR721020 BGI721020:BGN721020 BQE721020:BQJ721020 CAA721020:CAF721020 CJW721020:CKB721020 CTS721020:CTX721020 DDO721020:DDT721020 DNK721020:DNP721020 DXG721020:DXL721020 EHC721020:EHH721020 EQY721020:ERD721020 FAU721020:FAZ721020 FKQ721020:FKV721020 FUM721020:FUR721020 GEI721020:GEN721020 GOE721020:GOJ721020 GYA721020:GYF721020 HHW721020:HIB721020 HRS721020:HRX721020 IBO721020:IBT721020 ILK721020:ILP721020 IVG721020:IVL721020 JFC721020:JFH721020 JOY721020:JPD721020 JYU721020:JYZ721020 KIQ721020:KIV721020 KSM721020:KSR721020 LCI721020:LCN721020 LME721020:LMJ721020 LWA721020:LWF721020 MFW721020:MGB721020 MPS721020:MPX721020 MZO721020:MZT721020 NJK721020:NJP721020 NTG721020:NTL721020 ODC721020:ODH721020 OMY721020:OND721020 OWU721020:OWZ721020 PGQ721020:PGV721020 PQM721020:PQR721020 QAI721020:QAN721020 QKE721020:QKJ721020 QUA721020:QUF721020 RDW721020:REB721020 RNS721020:RNX721020 RXO721020:RXT721020 SHK721020:SHP721020 SRG721020:SRL721020 TBC721020:TBH721020 TKY721020:TLD721020 TUU721020:TUZ721020 UEQ721020:UEV721020 UOM721020:UOR721020 UYI721020:UYN721020 VIE721020:VIJ721020 VSA721020:VSF721020 WBW721020:WCB721020 WLS721020:WLX721020 WVO721020:WVT721020 G786556:L786556 JC786556:JH786556 SY786556:TD786556 ACU786556:ACZ786556 AMQ786556:AMV786556 AWM786556:AWR786556 BGI786556:BGN786556 BQE786556:BQJ786556 CAA786556:CAF786556 CJW786556:CKB786556 CTS786556:CTX786556 DDO786556:DDT786556 DNK786556:DNP786556 DXG786556:DXL786556 EHC786556:EHH786556 EQY786556:ERD786556 FAU786556:FAZ786556 FKQ786556:FKV786556 FUM786556:FUR786556 GEI786556:GEN786556 GOE786556:GOJ786556 GYA786556:GYF786556 HHW786556:HIB786556 HRS786556:HRX786556 IBO786556:IBT786556 ILK786556:ILP786556 IVG786556:IVL786556 JFC786556:JFH786556 JOY786556:JPD786556 JYU786556:JYZ786556 KIQ786556:KIV786556 KSM786556:KSR786556 LCI786556:LCN786556 LME786556:LMJ786556 LWA786556:LWF786556 MFW786556:MGB786556 MPS786556:MPX786556 MZO786556:MZT786556 NJK786556:NJP786556 NTG786556:NTL786556 ODC786556:ODH786556 OMY786556:OND786556 OWU786556:OWZ786556 PGQ786556:PGV786556 PQM786556:PQR786556 QAI786556:QAN786556 QKE786556:QKJ786556 QUA786556:QUF786556 RDW786556:REB786556 RNS786556:RNX786556 RXO786556:RXT786556 SHK786556:SHP786556 SRG786556:SRL786556 TBC786556:TBH786556 TKY786556:TLD786556 TUU786556:TUZ786556 UEQ786556:UEV786556 UOM786556:UOR786556 UYI786556:UYN786556 VIE786556:VIJ786556 VSA786556:VSF786556 WBW786556:WCB786556 WLS786556:WLX786556 WVO786556:WVT786556 G852092:L852092 JC852092:JH852092 SY852092:TD852092 ACU852092:ACZ852092 AMQ852092:AMV852092 AWM852092:AWR852092 BGI852092:BGN852092 BQE852092:BQJ852092 CAA852092:CAF852092 CJW852092:CKB852092 CTS852092:CTX852092 DDO852092:DDT852092 DNK852092:DNP852092 DXG852092:DXL852092 EHC852092:EHH852092 EQY852092:ERD852092 FAU852092:FAZ852092 FKQ852092:FKV852092 FUM852092:FUR852092 GEI852092:GEN852092 GOE852092:GOJ852092 GYA852092:GYF852092 HHW852092:HIB852092 HRS852092:HRX852092 IBO852092:IBT852092 ILK852092:ILP852092 IVG852092:IVL852092 JFC852092:JFH852092 JOY852092:JPD852092 JYU852092:JYZ852092 KIQ852092:KIV852092 KSM852092:KSR852092 LCI852092:LCN852092 LME852092:LMJ852092 LWA852092:LWF852092 MFW852092:MGB852092 MPS852092:MPX852092 MZO852092:MZT852092 NJK852092:NJP852092 NTG852092:NTL852092 ODC852092:ODH852092 OMY852092:OND852092 OWU852092:OWZ852092 PGQ852092:PGV852092 PQM852092:PQR852092 QAI852092:QAN852092 QKE852092:QKJ852092 QUA852092:QUF852092 RDW852092:REB852092 RNS852092:RNX852092 RXO852092:RXT852092 SHK852092:SHP852092 SRG852092:SRL852092 TBC852092:TBH852092 TKY852092:TLD852092 TUU852092:TUZ852092 UEQ852092:UEV852092 UOM852092:UOR852092 UYI852092:UYN852092 VIE852092:VIJ852092 VSA852092:VSF852092 WBW852092:WCB852092 WLS852092:WLX852092 WVO852092:WVT852092 G917628:L917628 JC917628:JH917628 SY917628:TD917628 ACU917628:ACZ917628 AMQ917628:AMV917628 AWM917628:AWR917628 BGI917628:BGN917628 BQE917628:BQJ917628 CAA917628:CAF917628 CJW917628:CKB917628 CTS917628:CTX917628 DDO917628:DDT917628 DNK917628:DNP917628 DXG917628:DXL917628 EHC917628:EHH917628 EQY917628:ERD917628 FAU917628:FAZ917628 FKQ917628:FKV917628 FUM917628:FUR917628 GEI917628:GEN917628 GOE917628:GOJ917628 GYA917628:GYF917628 HHW917628:HIB917628 HRS917628:HRX917628 IBO917628:IBT917628 ILK917628:ILP917628 IVG917628:IVL917628 JFC917628:JFH917628 JOY917628:JPD917628 JYU917628:JYZ917628 KIQ917628:KIV917628 KSM917628:KSR917628 LCI917628:LCN917628 LME917628:LMJ917628 LWA917628:LWF917628 MFW917628:MGB917628 MPS917628:MPX917628 MZO917628:MZT917628 NJK917628:NJP917628 NTG917628:NTL917628 ODC917628:ODH917628 OMY917628:OND917628 OWU917628:OWZ917628 PGQ917628:PGV917628 PQM917628:PQR917628 QAI917628:QAN917628 QKE917628:QKJ917628 QUA917628:QUF917628 RDW917628:REB917628 RNS917628:RNX917628 RXO917628:RXT917628 SHK917628:SHP917628 SRG917628:SRL917628 TBC917628:TBH917628 TKY917628:TLD917628 TUU917628:TUZ917628 UEQ917628:UEV917628 UOM917628:UOR917628 UYI917628:UYN917628 VIE917628:VIJ917628 VSA917628:VSF917628 WBW917628:WCB917628 WLS917628:WLX917628 WVO917628:WVT917628 G983164:L983164 JC983164:JH983164 SY983164:TD983164 ACU983164:ACZ983164 AMQ983164:AMV983164 AWM983164:AWR983164 BGI983164:BGN983164 BQE983164:BQJ983164 CAA983164:CAF983164 CJW983164:CKB983164 CTS983164:CTX983164 DDO983164:DDT983164 DNK983164:DNP983164 DXG983164:DXL983164 EHC983164:EHH983164 EQY983164:ERD983164 FAU983164:FAZ983164 FKQ983164:FKV983164 FUM983164:FUR983164 GEI983164:GEN983164 GOE983164:GOJ983164 GYA983164:GYF983164 HHW983164:HIB983164 HRS983164:HRX983164 IBO983164:IBT983164 ILK983164:ILP983164 IVG983164:IVL983164 JFC983164:JFH983164 JOY983164:JPD983164 JYU983164:JYZ983164 KIQ983164:KIV983164 KSM983164:KSR983164 LCI983164:LCN983164 LME983164:LMJ983164 LWA983164:LWF983164 MFW983164:MGB983164 MPS983164:MPX983164 MZO983164:MZT983164 NJK983164:NJP983164 NTG983164:NTL983164 ODC983164:ODH983164 OMY983164:OND983164 OWU983164:OWZ983164 PGQ983164:PGV983164 PQM983164:PQR983164 QAI983164:QAN983164 QKE983164:QKJ983164 QUA983164:QUF983164 RDW983164:REB983164 RNS983164:RNX983164 RXO983164:RXT983164 SHK983164:SHP983164 SRG983164:SRL983164 TBC983164:TBH983164 TKY983164:TLD983164 TUU983164:TUZ983164 UEQ983164:UEV983164 UOM983164:UOR983164 UYI983164:UYN983164 VIE983164:VIJ983164 VSA983164:VSF983164 WBW983164:WCB983164 WLS983164:WLX983164 WVO983164:WVT983164 G67:L67 JC67:JH67 SY67:TD67 ACU67:ACZ67 AMQ67:AMV67 AWM67:AWR67 BGI67:BGN67 BQE67:BQJ67 CAA67:CAF67 CJW67:CKB67 CTS67:CTX67 DDO67:DDT67 DNK67:DNP67 DXG67:DXL67 EHC67:EHH67 EQY67:ERD67 FAU67:FAZ67 FKQ67:FKV67 FUM67:FUR67 GEI67:GEN67 GOE67:GOJ67 GYA67:GYF67 HHW67:HIB67 HRS67:HRX67 IBO67:IBT67 ILK67:ILP67 IVG67:IVL67 JFC67:JFH67 JOY67:JPD67 JYU67:JYZ67 KIQ67:KIV67 KSM67:KSR67 LCI67:LCN67 LME67:LMJ67 LWA67:LWF67 MFW67:MGB67 MPS67:MPX67 MZO67:MZT67 NJK67:NJP67 NTG67:NTL67 ODC67:ODH67 OMY67:OND67 OWU67:OWZ67 PGQ67:PGV67 PQM67:PQR67 QAI67:QAN67 QKE67:QKJ67 QUA67:QUF67 RDW67:REB67 RNS67:RNX67 RXO67:RXT67 SHK67:SHP67 SRG67:SRL67 TBC67:TBH67 TKY67:TLD67 TUU67:TUZ67 UEQ67:UEV67 UOM67:UOR67 UYI67:UYN67 VIE67:VIJ67 VSA67:VSF67 WBW67:WCB67 WLS67:WLX67 WVO67:WVT67 G65607:L65607 JC65607:JH65607 SY65607:TD65607 ACU65607:ACZ65607 AMQ65607:AMV65607 AWM65607:AWR65607 BGI65607:BGN65607 BQE65607:BQJ65607 CAA65607:CAF65607 CJW65607:CKB65607 CTS65607:CTX65607 DDO65607:DDT65607 DNK65607:DNP65607 DXG65607:DXL65607 EHC65607:EHH65607 EQY65607:ERD65607 FAU65607:FAZ65607 FKQ65607:FKV65607 FUM65607:FUR65607 GEI65607:GEN65607 GOE65607:GOJ65607 GYA65607:GYF65607 HHW65607:HIB65607 HRS65607:HRX65607 IBO65607:IBT65607 ILK65607:ILP65607 IVG65607:IVL65607 JFC65607:JFH65607 JOY65607:JPD65607 JYU65607:JYZ65607 KIQ65607:KIV65607 KSM65607:KSR65607 LCI65607:LCN65607 LME65607:LMJ65607 LWA65607:LWF65607 MFW65607:MGB65607 MPS65607:MPX65607 MZO65607:MZT65607 NJK65607:NJP65607 NTG65607:NTL65607 ODC65607:ODH65607 OMY65607:OND65607 OWU65607:OWZ65607 PGQ65607:PGV65607 PQM65607:PQR65607 QAI65607:QAN65607 QKE65607:QKJ65607 QUA65607:QUF65607 RDW65607:REB65607 RNS65607:RNX65607 RXO65607:RXT65607 SHK65607:SHP65607 SRG65607:SRL65607 TBC65607:TBH65607 TKY65607:TLD65607 TUU65607:TUZ65607 UEQ65607:UEV65607 UOM65607:UOR65607 UYI65607:UYN65607 VIE65607:VIJ65607 VSA65607:VSF65607 WBW65607:WCB65607 WLS65607:WLX65607 WVO65607:WVT65607 G131143:L131143 JC131143:JH131143 SY131143:TD131143 ACU131143:ACZ131143 AMQ131143:AMV131143 AWM131143:AWR131143 BGI131143:BGN131143 BQE131143:BQJ131143 CAA131143:CAF131143 CJW131143:CKB131143 CTS131143:CTX131143 DDO131143:DDT131143 DNK131143:DNP131143 DXG131143:DXL131143 EHC131143:EHH131143 EQY131143:ERD131143 FAU131143:FAZ131143 FKQ131143:FKV131143 FUM131143:FUR131143 GEI131143:GEN131143 GOE131143:GOJ131143 GYA131143:GYF131143 HHW131143:HIB131143 HRS131143:HRX131143 IBO131143:IBT131143 ILK131143:ILP131143 IVG131143:IVL131143 JFC131143:JFH131143 JOY131143:JPD131143 JYU131143:JYZ131143 KIQ131143:KIV131143 KSM131143:KSR131143 LCI131143:LCN131143 LME131143:LMJ131143 LWA131143:LWF131143 MFW131143:MGB131143 MPS131143:MPX131143 MZO131143:MZT131143 NJK131143:NJP131143 NTG131143:NTL131143 ODC131143:ODH131143 OMY131143:OND131143 OWU131143:OWZ131143 PGQ131143:PGV131143 PQM131143:PQR131143 QAI131143:QAN131143 QKE131143:QKJ131143 QUA131143:QUF131143 RDW131143:REB131143 RNS131143:RNX131143 RXO131143:RXT131143 SHK131143:SHP131143 SRG131143:SRL131143 TBC131143:TBH131143 TKY131143:TLD131143 TUU131143:TUZ131143 UEQ131143:UEV131143 UOM131143:UOR131143 UYI131143:UYN131143 VIE131143:VIJ131143 VSA131143:VSF131143 WBW131143:WCB131143 WLS131143:WLX131143 WVO131143:WVT131143 G196679:L196679 JC196679:JH196679 SY196679:TD196679 ACU196679:ACZ196679 AMQ196679:AMV196679 AWM196679:AWR196679 BGI196679:BGN196679 BQE196679:BQJ196679 CAA196679:CAF196679 CJW196679:CKB196679 CTS196679:CTX196679 DDO196679:DDT196679 DNK196679:DNP196679 DXG196679:DXL196679 EHC196679:EHH196679 EQY196679:ERD196679 FAU196679:FAZ196679 FKQ196679:FKV196679 FUM196679:FUR196679 GEI196679:GEN196679 GOE196679:GOJ196679 GYA196679:GYF196679 HHW196679:HIB196679 HRS196679:HRX196679 IBO196679:IBT196679 ILK196679:ILP196679 IVG196679:IVL196679 JFC196679:JFH196679 JOY196679:JPD196679 JYU196679:JYZ196679 KIQ196679:KIV196679 KSM196679:KSR196679 LCI196679:LCN196679 LME196679:LMJ196679 LWA196679:LWF196679 MFW196679:MGB196679 MPS196679:MPX196679 MZO196679:MZT196679 NJK196679:NJP196679 NTG196679:NTL196679 ODC196679:ODH196679 OMY196679:OND196679 OWU196679:OWZ196679 PGQ196679:PGV196679 PQM196679:PQR196679 QAI196679:QAN196679 QKE196679:QKJ196679 QUA196679:QUF196679 RDW196679:REB196679 RNS196679:RNX196679 RXO196679:RXT196679 SHK196679:SHP196679 SRG196679:SRL196679 TBC196679:TBH196679 TKY196679:TLD196679 TUU196679:TUZ196679 UEQ196679:UEV196679 UOM196679:UOR196679 UYI196679:UYN196679 VIE196679:VIJ196679 VSA196679:VSF196679 WBW196679:WCB196679 WLS196679:WLX196679 WVO196679:WVT196679 G262215:L262215 JC262215:JH262215 SY262215:TD262215 ACU262215:ACZ262215 AMQ262215:AMV262215 AWM262215:AWR262215 BGI262215:BGN262215 BQE262215:BQJ262215 CAA262215:CAF262215 CJW262215:CKB262215 CTS262215:CTX262215 DDO262215:DDT262215 DNK262215:DNP262215 DXG262215:DXL262215 EHC262215:EHH262215 EQY262215:ERD262215 FAU262215:FAZ262215 FKQ262215:FKV262215 FUM262215:FUR262215 GEI262215:GEN262215 GOE262215:GOJ262215 GYA262215:GYF262215 HHW262215:HIB262215 HRS262215:HRX262215 IBO262215:IBT262215 ILK262215:ILP262215 IVG262215:IVL262215 JFC262215:JFH262215 JOY262215:JPD262215 JYU262215:JYZ262215 KIQ262215:KIV262215 KSM262215:KSR262215 LCI262215:LCN262215 LME262215:LMJ262215 LWA262215:LWF262215 MFW262215:MGB262215 MPS262215:MPX262215 MZO262215:MZT262215 NJK262215:NJP262215 NTG262215:NTL262215 ODC262215:ODH262215 OMY262215:OND262215 OWU262215:OWZ262215 PGQ262215:PGV262215 PQM262215:PQR262215 QAI262215:QAN262215 QKE262215:QKJ262215 QUA262215:QUF262215 RDW262215:REB262215 RNS262215:RNX262215 RXO262215:RXT262215 SHK262215:SHP262215 SRG262215:SRL262215 TBC262215:TBH262215 TKY262215:TLD262215 TUU262215:TUZ262215 UEQ262215:UEV262215 UOM262215:UOR262215 UYI262215:UYN262215 VIE262215:VIJ262215 VSA262215:VSF262215 WBW262215:WCB262215 WLS262215:WLX262215 WVO262215:WVT262215 G327751:L327751 JC327751:JH327751 SY327751:TD327751 ACU327751:ACZ327751 AMQ327751:AMV327751 AWM327751:AWR327751 BGI327751:BGN327751 BQE327751:BQJ327751 CAA327751:CAF327751 CJW327751:CKB327751 CTS327751:CTX327751 DDO327751:DDT327751 DNK327751:DNP327751 DXG327751:DXL327751 EHC327751:EHH327751 EQY327751:ERD327751 FAU327751:FAZ327751 FKQ327751:FKV327751 FUM327751:FUR327751 GEI327751:GEN327751 GOE327751:GOJ327751 GYA327751:GYF327751 HHW327751:HIB327751 HRS327751:HRX327751 IBO327751:IBT327751 ILK327751:ILP327751 IVG327751:IVL327751 JFC327751:JFH327751 JOY327751:JPD327751 JYU327751:JYZ327751 KIQ327751:KIV327751 KSM327751:KSR327751 LCI327751:LCN327751 LME327751:LMJ327751 LWA327751:LWF327751 MFW327751:MGB327751 MPS327751:MPX327751 MZO327751:MZT327751 NJK327751:NJP327751 NTG327751:NTL327751 ODC327751:ODH327751 OMY327751:OND327751 OWU327751:OWZ327751 PGQ327751:PGV327751 PQM327751:PQR327751 QAI327751:QAN327751 QKE327751:QKJ327751 QUA327751:QUF327751 RDW327751:REB327751 RNS327751:RNX327751 RXO327751:RXT327751 SHK327751:SHP327751 SRG327751:SRL327751 TBC327751:TBH327751 TKY327751:TLD327751 TUU327751:TUZ327751 UEQ327751:UEV327751 UOM327751:UOR327751 UYI327751:UYN327751 VIE327751:VIJ327751 VSA327751:VSF327751 WBW327751:WCB327751 WLS327751:WLX327751 WVO327751:WVT327751 G393287:L393287 JC393287:JH393287 SY393287:TD393287 ACU393287:ACZ393287 AMQ393287:AMV393287 AWM393287:AWR393287 BGI393287:BGN393287 BQE393287:BQJ393287 CAA393287:CAF393287 CJW393287:CKB393287 CTS393287:CTX393287 DDO393287:DDT393287 DNK393287:DNP393287 DXG393287:DXL393287 EHC393287:EHH393287 EQY393287:ERD393287 FAU393287:FAZ393287 FKQ393287:FKV393287 FUM393287:FUR393287 GEI393287:GEN393287 GOE393287:GOJ393287 GYA393287:GYF393287 HHW393287:HIB393287 HRS393287:HRX393287 IBO393287:IBT393287 ILK393287:ILP393287 IVG393287:IVL393287 JFC393287:JFH393287 JOY393287:JPD393287 JYU393287:JYZ393287 KIQ393287:KIV393287 KSM393287:KSR393287 LCI393287:LCN393287 LME393287:LMJ393287 LWA393287:LWF393287 MFW393287:MGB393287 MPS393287:MPX393287 MZO393287:MZT393287 NJK393287:NJP393287 NTG393287:NTL393287 ODC393287:ODH393287 OMY393287:OND393287 OWU393287:OWZ393287 PGQ393287:PGV393287 PQM393287:PQR393287 QAI393287:QAN393287 QKE393287:QKJ393287 QUA393287:QUF393287 RDW393287:REB393287 RNS393287:RNX393287 RXO393287:RXT393287 SHK393287:SHP393287 SRG393287:SRL393287 TBC393287:TBH393287 TKY393287:TLD393287 TUU393287:TUZ393287 UEQ393287:UEV393287 UOM393287:UOR393287 UYI393287:UYN393287 VIE393287:VIJ393287 VSA393287:VSF393287 WBW393287:WCB393287 WLS393287:WLX393287 WVO393287:WVT393287 G458823:L458823 JC458823:JH458823 SY458823:TD458823 ACU458823:ACZ458823 AMQ458823:AMV458823 AWM458823:AWR458823 BGI458823:BGN458823 BQE458823:BQJ458823 CAA458823:CAF458823 CJW458823:CKB458823 CTS458823:CTX458823 DDO458823:DDT458823 DNK458823:DNP458823 DXG458823:DXL458823 EHC458823:EHH458823 EQY458823:ERD458823 FAU458823:FAZ458823 FKQ458823:FKV458823 FUM458823:FUR458823 GEI458823:GEN458823 GOE458823:GOJ458823 GYA458823:GYF458823 HHW458823:HIB458823 HRS458823:HRX458823 IBO458823:IBT458823 ILK458823:ILP458823 IVG458823:IVL458823 JFC458823:JFH458823 JOY458823:JPD458823 JYU458823:JYZ458823 KIQ458823:KIV458823 KSM458823:KSR458823 LCI458823:LCN458823 LME458823:LMJ458823 LWA458823:LWF458823 MFW458823:MGB458823 MPS458823:MPX458823 MZO458823:MZT458823 NJK458823:NJP458823 NTG458823:NTL458823 ODC458823:ODH458823 OMY458823:OND458823 OWU458823:OWZ458823 PGQ458823:PGV458823 PQM458823:PQR458823 QAI458823:QAN458823 QKE458823:QKJ458823 QUA458823:QUF458823 RDW458823:REB458823 RNS458823:RNX458823 RXO458823:RXT458823 SHK458823:SHP458823 SRG458823:SRL458823 TBC458823:TBH458823 TKY458823:TLD458823 TUU458823:TUZ458823 UEQ458823:UEV458823 UOM458823:UOR458823 UYI458823:UYN458823 VIE458823:VIJ458823 VSA458823:VSF458823 WBW458823:WCB458823 WLS458823:WLX458823 WVO458823:WVT458823 G524359:L524359 JC524359:JH524359 SY524359:TD524359 ACU524359:ACZ524359 AMQ524359:AMV524359 AWM524359:AWR524359 BGI524359:BGN524359 BQE524359:BQJ524359 CAA524359:CAF524359 CJW524359:CKB524359 CTS524359:CTX524359 DDO524359:DDT524359 DNK524359:DNP524359 DXG524359:DXL524359 EHC524359:EHH524359 EQY524359:ERD524359 FAU524359:FAZ524359 FKQ524359:FKV524359 FUM524359:FUR524359 GEI524359:GEN524359 GOE524359:GOJ524359 GYA524359:GYF524359 HHW524359:HIB524359 HRS524359:HRX524359 IBO524359:IBT524359 ILK524359:ILP524359 IVG524359:IVL524359 JFC524359:JFH524359 JOY524359:JPD524359 JYU524359:JYZ524359 KIQ524359:KIV524359 KSM524359:KSR524359 LCI524359:LCN524359 LME524359:LMJ524359 LWA524359:LWF524359 MFW524359:MGB524359 MPS524359:MPX524359 MZO524359:MZT524359 NJK524359:NJP524359 NTG524359:NTL524359 ODC524359:ODH524359 OMY524359:OND524359 OWU524359:OWZ524359 PGQ524359:PGV524359 PQM524359:PQR524359 QAI524359:QAN524359 QKE524359:QKJ524359 QUA524359:QUF524359 RDW524359:REB524359 RNS524359:RNX524359 RXO524359:RXT524359 SHK524359:SHP524359 SRG524359:SRL524359 TBC524359:TBH524359 TKY524359:TLD524359 TUU524359:TUZ524359 UEQ524359:UEV524359 UOM524359:UOR524359 UYI524359:UYN524359 VIE524359:VIJ524359 VSA524359:VSF524359 WBW524359:WCB524359 WLS524359:WLX524359 WVO524359:WVT524359 G589895:L589895 JC589895:JH589895 SY589895:TD589895 ACU589895:ACZ589895 AMQ589895:AMV589895 AWM589895:AWR589895 BGI589895:BGN589895 BQE589895:BQJ589895 CAA589895:CAF589895 CJW589895:CKB589895 CTS589895:CTX589895 DDO589895:DDT589895 DNK589895:DNP589895 DXG589895:DXL589895 EHC589895:EHH589895 EQY589895:ERD589895 FAU589895:FAZ589895 FKQ589895:FKV589895 FUM589895:FUR589895 GEI589895:GEN589895 GOE589895:GOJ589895 GYA589895:GYF589895 HHW589895:HIB589895 HRS589895:HRX589895 IBO589895:IBT589895 ILK589895:ILP589895 IVG589895:IVL589895 JFC589895:JFH589895 JOY589895:JPD589895 JYU589895:JYZ589895 KIQ589895:KIV589895 KSM589895:KSR589895 LCI589895:LCN589895 LME589895:LMJ589895 LWA589895:LWF589895 MFW589895:MGB589895 MPS589895:MPX589895 MZO589895:MZT589895 NJK589895:NJP589895 NTG589895:NTL589895 ODC589895:ODH589895 OMY589895:OND589895 OWU589895:OWZ589895 PGQ589895:PGV589895 PQM589895:PQR589895 QAI589895:QAN589895 QKE589895:QKJ589895 QUA589895:QUF589895 RDW589895:REB589895 RNS589895:RNX589895 RXO589895:RXT589895 SHK589895:SHP589895 SRG589895:SRL589895 TBC589895:TBH589895 TKY589895:TLD589895 TUU589895:TUZ589895 UEQ589895:UEV589895 UOM589895:UOR589895 UYI589895:UYN589895 VIE589895:VIJ589895 VSA589895:VSF589895 WBW589895:WCB589895 WLS589895:WLX589895 WVO589895:WVT589895 G655431:L655431 JC655431:JH655431 SY655431:TD655431 ACU655431:ACZ655431 AMQ655431:AMV655431 AWM655431:AWR655431 BGI655431:BGN655431 BQE655431:BQJ655431 CAA655431:CAF655431 CJW655431:CKB655431 CTS655431:CTX655431 DDO655431:DDT655431 DNK655431:DNP655431 DXG655431:DXL655431 EHC655431:EHH655431 EQY655431:ERD655431 FAU655431:FAZ655431 FKQ655431:FKV655431 FUM655431:FUR655431 GEI655431:GEN655431 GOE655431:GOJ655431 GYA655431:GYF655431 HHW655431:HIB655431 HRS655431:HRX655431 IBO655431:IBT655431 ILK655431:ILP655431 IVG655431:IVL655431 JFC655431:JFH655431 JOY655431:JPD655431 JYU655431:JYZ655431 KIQ655431:KIV655431 KSM655431:KSR655431 LCI655431:LCN655431 LME655431:LMJ655431 LWA655431:LWF655431 MFW655431:MGB655431 MPS655431:MPX655431 MZO655431:MZT655431 NJK655431:NJP655431 NTG655431:NTL655431 ODC655431:ODH655431 OMY655431:OND655431 OWU655431:OWZ655431 PGQ655431:PGV655431 PQM655431:PQR655431 QAI655431:QAN655431 QKE655431:QKJ655431 QUA655431:QUF655431 RDW655431:REB655431 RNS655431:RNX655431 RXO655431:RXT655431 SHK655431:SHP655431 SRG655431:SRL655431 TBC655431:TBH655431 TKY655431:TLD655431 TUU655431:TUZ655431 UEQ655431:UEV655431 UOM655431:UOR655431 UYI655431:UYN655431 VIE655431:VIJ655431 VSA655431:VSF655431 WBW655431:WCB655431 WLS655431:WLX655431 WVO655431:WVT655431 G720967:L720967 JC720967:JH720967 SY720967:TD720967 ACU720967:ACZ720967 AMQ720967:AMV720967 AWM720967:AWR720967 BGI720967:BGN720967 BQE720967:BQJ720967 CAA720967:CAF720967 CJW720967:CKB720967 CTS720967:CTX720967 DDO720967:DDT720967 DNK720967:DNP720967 DXG720967:DXL720967 EHC720967:EHH720967 EQY720967:ERD720967 FAU720967:FAZ720967 FKQ720967:FKV720967 FUM720967:FUR720967 GEI720967:GEN720967 GOE720967:GOJ720967 GYA720967:GYF720967 HHW720967:HIB720967 HRS720967:HRX720967 IBO720967:IBT720967 ILK720967:ILP720967 IVG720967:IVL720967 JFC720967:JFH720967 JOY720967:JPD720967 JYU720967:JYZ720967 KIQ720967:KIV720967 KSM720967:KSR720967 LCI720967:LCN720967 LME720967:LMJ720967 LWA720967:LWF720967 MFW720967:MGB720967 MPS720967:MPX720967 MZO720967:MZT720967 NJK720967:NJP720967 NTG720967:NTL720967 ODC720967:ODH720967 OMY720967:OND720967 OWU720967:OWZ720967 PGQ720967:PGV720967 PQM720967:PQR720967 QAI720967:QAN720967 QKE720967:QKJ720967 QUA720967:QUF720967 RDW720967:REB720967 RNS720967:RNX720967 RXO720967:RXT720967 SHK720967:SHP720967 SRG720967:SRL720967 TBC720967:TBH720967 TKY720967:TLD720967 TUU720967:TUZ720967 UEQ720967:UEV720967 UOM720967:UOR720967 UYI720967:UYN720967 VIE720967:VIJ720967 VSA720967:VSF720967 WBW720967:WCB720967 WLS720967:WLX720967 WVO720967:WVT720967 G786503:L786503 JC786503:JH786503 SY786503:TD786503 ACU786503:ACZ786503 AMQ786503:AMV786503 AWM786503:AWR786503 BGI786503:BGN786503 BQE786503:BQJ786503 CAA786503:CAF786503 CJW786503:CKB786503 CTS786503:CTX786503 DDO786503:DDT786503 DNK786503:DNP786503 DXG786503:DXL786503 EHC786503:EHH786503 EQY786503:ERD786503 FAU786503:FAZ786503 FKQ786503:FKV786503 FUM786503:FUR786503 GEI786503:GEN786503 GOE786503:GOJ786503 GYA786503:GYF786503 HHW786503:HIB786503 HRS786503:HRX786503 IBO786503:IBT786503 ILK786503:ILP786503 IVG786503:IVL786503 JFC786503:JFH786503 JOY786503:JPD786503 JYU786503:JYZ786503 KIQ786503:KIV786503 KSM786503:KSR786503 LCI786503:LCN786503 LME786503:LMJ786503 LWA786503:LWF786503 MFW786503:MGB786503 MPS786503:MPX786503 MZO786503:MZT786503 NJK786503:NJP786503 NTG786503:NTL786503 ODC786503:ODH786503 OMY786503:OND786503 OWU786503:OWZ786503 PGQ786503:PGV786503 PQM786503:PQR786503 QAI786503:QAN786503 QKE786503:QKJ786503 QUA786503:QUF786503 RDW786503:REB786503 RNS786503:RNX786503 RXO786503:RXT786503 SHK786503:SHP786503 SRG786503:SRL786503 TBC786503:TBH786503 TKY786503:TLD786503 TUU786503:TUZ786503 UEQ786503:UEV786503 UOM786503:UOR786503 UYI786503:UYN786503 VIE786503:VIJ786503 VSA786503:VSF786503 WBW786503:WCB786503 WLS786503:WLX786503 WVO786503:WVT786503 G852039:L852039 JC852039:JH852039 SY852039:TD852039 ACU852039:ACZ852039 AMQ852039:AMV852039 AWM852039:AWR852039 BGI852039:BGN852039 BQE852039:BQJ852039 CAA852039:CAF852039 CJW852039:CKB852039 CTS852039:CTX852039 DDO852039:DDT852039 DNK852039:DNP852039 DXG852039:DXL852039 EHC852039:EHH852039 EQY852039:ERD852039 FAU852039:FAZ852039 FKQ852039:FKV852039 FUM852039:FUR852039 GEI852039:GEN852039 GOE852039:GOJ852039 GYA852039:GYF852039 HHW852039:HIB852039 HRS852039:HRX852039 IBO852039:IBT852039 ILK852039:ILP852039 IVG852039:IVL852039 JFC852039:JFH852039 JOY852039:JPD852039 JYU852039:JYZ852039 KIQ852039:KIV852039 KSM852039:KSR852039 LCI852039:LCN852039 LME852039:LMJ852039 LWA852039:LWF852039 MFW852039:MGB852039 MPS852039:MPX852039 MZO852039:MZT852039 NJK852039:NJP852039 NTG852039:NTL852039 ODC852039:ODH852039 OMY852039:OND852039 OWU852039:OWZ852039 PGQ852039:PGV852039 PQM852039:PQR852039 QAI852039:QAN852039 QKE852039:QKJ852039 QUA852039:QUF852039 RDW852039:REB852039 RNS852039:RNX852039 RXO852039:RXT852039 SHK852039:SHP852039 SRG852039:SRL852039 TBC852039:TBH852039 TKY852039:TLD852039 TUU852039:TUZ852039 UEQ852039:UEV852039 UOM852039:UOR852039 UYI852039:UYN852039 VIE852039:VIJ852039 VSA852039:VSF852039 WBW852039:WCB852039 WLS852039:WLX852039 WVO852039:WVT852039 G917575:L917575 JC917575:JH917575 SY917575:TD917575 ACU917575:ACZ917575 AMQ917575:AMV917575 AWM917575:AWR917575 BGI917575:BGN917575 BQE917575:BQJ917575 CAA917575:CAF917575 CJW917575:CKB917575 CTS917575:CTX917575 DDO917575:DDT917575 DNK917575:DNP917575 DXG917575:DXL917575 EHC917575:EHH917575 EQY917575:ERD917575 FAU917575:FAZ917575 FKQ917575:FKV917575 FUM917575:FUR917575 GEI917575:GEN917575 GOE917575:GOJ917575 GYA917575:GYF917575 HHW917575:HIB917575 HRS917575:HRX917575 IBO917575:IBT917575 ILK917575:ILP917575 IVG917575:IVL917575 JFC917575:JFH917575 JOY917575:JPD917575 JYU917575:JYZ917575 KIQ917575:KIV917575 KSM917575:KSR917575 LCI917575:LCN917575 LME917575:LMJ917575 LWA917575:LWF917575 MFW917575:MGB917575 MPS917575:MPX917575 MZO917575:MZT917575 NJK917575:NJP917575 NTG917575:NTL917575 ODC917575:ODH917575 OMY917575:OND917575 OWU917575:OWZ917575 PGQ917575:PGV917575 PQM917575:PQR917575 QAI917575:QAN917575 QKE917575:QKJ917575 QUA917575:QUF917575 RDW917575:REB917575 RNS917575:RNX917575 RXO917575:RXT917575 SHK917575:SHP917575 SRG917575:SRL917575 TBC917575:TBH917575 TKY917575:TLD917575 TUU917575:TUZ917575 UEQ917575:UEV917575 UOM917575:UOR917575 UYI917575:UYN917575 VIE917575:VIJ917575 VSA917575:VSF917575 WBW917575:WCB917575 WLS917575:WLX917575 WVO917575:WVT917575 G983111:L983111 JC983111:JH983111 SY983111:TD983111 ACU983111:ACZ983111 AMQ983111:AMV983111 AWM983111:AWR983111 BGI983111:BGN983111 BQE983111:BQJ983111 CAA983111:CAF983111 CJW983111:CKB983111 CTS983111:CTX983111 DDO983111:DDT983111 DNK983111:DNP983111 DXG983111:DXL983111 EHC983111:EHH983111 EQY983111:ERD983111 FAU983111:FAZ983111 FKQ983111:FKV983111 FUM983111:FUR983111 GEI983111:GEN983111 GOE983111:GOJ983111 GYA983111:GYF983111 HHW983111:HIB983111 HRS983111:HRX983111 IBO983111:IBT983111 ILK983111:ILP983111 IVG983111:IVL983111 JFC983111:JFH983111 JOY983111:JPD983111 JYU983111:JYZ983111 KIQ983111:KIV983111 KSM983111:KSR983111 LCI983111:LCN983111 LME983111:LMJ983111 LWA983111:LWF983111 MFW983111:MGB983111 MPS983111:MPX983111 MZO983111:MZT983111 NJK983111:NJP983111 NTG983111:NTL983111 ODC983111:ODH983111 OMY983111:OND983111 OWU983111:OWZ983111 PGQ983111:PGV983111 PQM983111:PQR983111 QAI983111:QAN983111 QKE983111:QKJ983111 QUA983111:QUF983111 RDW983111:REB983111 RNS983111:RNX983111 RXO983111:RXT983111 SHK983111:SHP983111 SRG983111:SRL983111 TBC983111:TBH983111 TKY983111:TLD983111 TUU983111:TUZ983111 UEQ983111:UEV983111 UOM983111:UOR983111 UYI983111:UYN983111 VIE983111:VIJ983111 VSA983111:VSF983111 WBW983111:WCB983111 WLS983111:WLX983111 WVO983111:WVT983111 J65571 JF65571 TB65571 ACX65571 AMT65571 AWP65571 BGL65571 BQH65571 CAD65571 CJZ65571 CTV65571 DDR65571 DNN65571 DXJ65571 EHF65571 ERB65571 FAX65571 FKT65571 FUP65571 GEL65571 GOH65571 GYD65571 HHZ65571 HRV65571 IBR65571 ILN65571 IVJ65571 JFF65571 JPB65571 JYX65571 KIT65571 KSP65571 LCL65571 LMH65571 LWD65571 MFZ65571 MPV65571 MZR65571 NJN65571 NTJ65571 ODF65571 ONB65571 OWX65571 PGT65571 PQP65571 QAL65571 QKH65571 QUD65571 RDZ65571 RNV65571 RXR65571 SHN65571 SRJ65571 TBF65571 TLB65571 TUX65571 UET65571 UOP65571 UYL65571 VIH65571 VSD65571 WBZ65571 WLV65571 WVR65571 J131107 JF131107 TB131107 ACX131107 AMT131107 AWP131107 BGL131107 BQH131107 CAD131107 CJZ131107 CTV131107 DDR131107 DNN131107 DXJ131107 EHF131107 ERB131107 FAX131107 FKT131107 FUP131107 GEL131107 GOH131107 GYD131107 HHZ131107 HRV131107 IBR131107 ILN131107 IVJ131107 JFF131107 JPB131107 JYX131107 KIT131107 KSP131107 LCL131107 LMH131107 LWD131107 MFZ131107 MPV131107 MZR131107 NJN131107 NTJ131107 ODF131107 ONB131107 OWX131107 PGT131107 PQP131107 QAL131107 QKH131107 QUD131107 RDZ131107 RNV131107 RXR131107 SHN131107 SRJ131107 TBF131107 TLB131107 TUX131107 UET131107 UOP131107 UYL131107 VIH131107 VSD131107 WBZ131107 WLV131107 WVR131107 J196643 JF196643 TB196643 ACX196643 AMT196643 AWP196643 BGL196643 BQH196643 CAD196643 CJZ196643 CTV196643 DDR196643 DNN196643 DXJ196643 EHF196643 ERB196643 FAX196643 FKT196643 FUP196643 GEL196643 GOH196643 GYD196643 HHZ196643 HRV196643 IBR196643 ILN196643 IVJ196643 JFF196643 JPB196643 JYX196643 KIT196643 KSP196643 LCL196643 LMH196643 LWD196643 MFZ196643 MPV196643 MZR196643 NJN196643 NTJ196643 ODF196643 ONB196643 OWX196643 PGT196643 PQP196643 QAL196643 QKH196643 QUD196643 RDZ196643 RNV196643 RXR196643 SHN196643 SRJ196643 TBF196643 TLB196643 TUX196643 UET196643 UOP196643 UYL196643 VIH196643 VSD196643 WBZ196643 WLV196643 WVR196643 J262179 JF262179 TB262179 ACX262179 AMT262179 AWP262179 BGL262179 BQH262179 CAD262179 CJZ262179 CTV262179 DDR262179 DNN262179 DXJ262179 EHF262179 ERB262179 FAX262179 FKT262179 FUP262179 GEL262179 GOH262179 GYD262179 HHZ262179 HRV262179 IBR262179 ILN262179 IVJ262179 JFF262179 JPB262179 JYX262179 KIT262179 KSP262179 LCL262179 LMH262179 LWD262179 MFZ262179 MPV262179 MZR262179 NJN262179 NTJ262179 ODF262179 ONB262179 OWX262179 PGT262179 PQP262179 QAL262179 QKH262179 QUD262179 RDZ262179 RNV262179 RXR262179 SHN262179 SRJ262179 TBF262179 TLB262179 TUX262179 UET262179 UOP262179 UYL262179 VIH262179 VSD262179 WBZ262179 WLV262179 WVR262179 J327715 JF327715 TB327715 ACX327715 AMT327715 AWP327715 BGL327715 BQH327715 CAD327715 CJZ327715 CTV327715 DDR327715 DNN327715 DXJ327715 EHF327715 ERB327715 FAX327715 FKT327715 FUP327715 GEL327715 GOH327715 GYD327715 HHZ327715 HRV327715 IBR327715 ILN327715 IVJ327715 JFF327715 JPB327715 JYX327715 KIT327715 KSP327715 LCL327715 LMH327715 LWD327715 MFZ327715 MPV327715 MZR327715 NJN327715 NTJ327715 ODF327715 ONB327715 OWX327715 PGT327715 PQP327715 QAL327715 QKH327715 QUD327715 RDZ327715 RNV327715 RXR327715 SHN327715 SRJ327715 TBF327715 TLB327715 TUX327715 UET327715 UOP327715 UYL327715 VIH327715 VSD327715 WBZ327715 WLV327715 WVR327715 J393251 JF393251 TB393251 ACX393251 AMT393251 AWP393251 BGL393251 BQH393251 CAD393251 CJZ393251 CTV393251 DDR393251 DNN393251 DXJ393251 EHF393251 ERB393251 FAX393251 FKT393251 FUP393251 GEL393251 GOH393251 GYD393251 HHZ393251 HRV393251 IBR393251 ILN393251 IVJ393251 JFF393251 JPB393251 JYX393251 KIT393251 KSP393251 LCL393251 LMH393251 LWD393251 MFZ393251 MPV393251 MZR393251 NJN393251 NTJ393251 ODF393251 ONB393251 OWX393251 PGT393251 PQP393251 QAL393251 QKH393251 QUD393251 RDZ393251 RNV393251 RXR393251 SHN393251 SRJ393251 TBF393251 TLB393251 TUX393251 UET393251 UOP393251 UYL393251 VIH393251 VSD393251 WBZ393251 WLV393251 WVR393251 J458787 JF458787 TB458787 ACX458787 AMT458787 AWP458787 BGL458787 BQH458787 CAD458787 CJZ458787 CTV458787 DDR458787 DNN458787 DXJ458787 EHF458787 ERB458787 FAX458787 FKT458787 FUP458787 GEL458787 GOH458787 GYD458787 HHZ458787 HRV458787 IBR458787 ILN458787 IVJ458787 JFF458787 JPB458787 JYX458787 KIT458787 KSP458787 LCL458787 LMH458787 LWD458787 MFZ458787 MPV458787 MZR458787 NJN458787 NTJ458787 ODF458787 ONB458787 OWX458787 PGT458787 PQP458787 QAL458787 QKH458787 QUD458787 RDZ458787 RNV458787 RXR458787 SHN458787 SRJ458787 TBF458787 TLB458787 TUX458787 UET458787 UOP458787 UYL458787 VIH458787 VSD458787 WBZ458787 WLV458787 WVR458787 J524323 JF524323 TB524323 ACX524323 AMT524323 AWP524323 BGL524323 BQH524323 CAD524323 CJZ524323 CTV524323 DDR524323 DNN524323 DXJ524323 EHF524323 ERB524323 FAX524323 FKT524323 FUP524323 GEL524323 GOH524323 GYD524323 HHZ524323 HRV524323 IBR524323 ILN524323 IVJ524323 JFF524323 JPB524323 JYX524323 KIT524323 KSP524323 LCL524323 LMH524323 LWD524323 MFZ524323 MPV524323 MZR524323 NJN524323 NTJ524323 ODF524323 ONB524323 OWX524323 PGT524323 PQP524323 QAL524323 QKH524323 QUD524323 RDZ524323 RNV524323 RXR524323 SHN524323 SRJ524323 TBF524323 TLB524323 TUX524323 UET524323 UOP524323 UYL524323 VIH524323 VSD524323 WBZ524323 WLV524323 WVR524323 J589859 JF589859 TB589859 ACX589859 AMT589859 AWP589859 BGL589859 BQH589859 CAD589859 CJZ589859 CTV589859 DDR589859 DNN589859 DXJ589859 EHF589859 ERB589859 FAX589859 FKT589859 FUP589859 GEL589859 GOH589859 GYD589859 HHZ589859 HRV589859 IBR589859 ILN589859 IVJ589859 JFF589859 JPB589859 JYX589859 KIT589859 KSP589859 LCL589859 LMH589859 LWD589859 MFZ589859 MPV589859 MZR589859 NJN589859 NTJ589859 ODF589859 ONB589859 OWX589859 PGT589859 PQP589859 QAL589859 QKH589859 QUD589859 RDZ589859 RNV589859 RXR589859 SHN589859 SRJ589859 TBF589859 TLB589859 TUX589859 UET589859 UOP589859 UYL589859 VIH589859 VSD589859 WBZ589859 WLV589859 WVR589859 J655395 JF655395 TB655395 ACX655395 AMT655395 AWP655395 BGL655395 BQH655395 CAD655395 CJZ655395 CTV655395 DDR655395 DNN655395 DXJ655395 EHF655395 ERB655395 FAX655395 FKT655395 FUP655395 GEL655395 GOH655395 GYD655395 HHZ655395 HRV655395 IBR655395 ILN655395 IVJ655395 JFF655395 JPB655395 JYX655395 KIT655395 KSP655395 LCL655395 LMH655395 LWD655395 MFZ655395 MPV655395 MZR655395 NJN655395 NTJ655395 ODF655395 ONB655395 OWX655395 PGT655395 PQP655395 QAL655395 QKH655395 QUD655395 RDZ655395 RNV655395 RXR655395 SHN655395 SRJ655395 TBF655395 TLB655395 TUX655395 UET655395 UOP655395 UYL655395 VIH655395 VSD655395 WBZ655395 WLV655395 WVR655395 J720931 JF720931 TB720931 ACX720931 AMT720931 AWP720931 BGL720931 BQH720931 CAD720931 CJZ720931 CTV720931 DDR720931 DNN720931 DXJ720931 EHF720931 ERB720931 FAX720931 FKT720931 FUP720931 GEL720931 GOH720931 GYD720931 HHZ720931 HRV720931 IBR720931 ILN720931 IVJ720931 JFF720931 JPB720931 JYX720931 KIT720931 KSP720931 LCL720931 LMH720931 LWD720931 MFZ720931 MPV720931 MZR720931 NJN720931 NTJ720931 ODF720931 ONB720931 OWX720931 PGT720931 PQP720931 QAL720931 QKH720931 QUD720931 RDZ720931 RNV720931 RXR720931 SHN720931 SRJ720931 TBF720931 TLB720931 TUX720931 UET720931 UOP720931 UYL720931 VIH720931 VSD720931 WBZ720931 WLV720931 WVR720931 J786467 JF786467 TB786467 ACX786467 AMT786467 AWP786467 BGL786467 BQH786467 CAD786467 CJZ786467 CTV786467 DDR786467 DNN786467 DXJ786467 EHF786467 ERB786467 FAX786467 FKT786467 FUP786467 GEL786467 GOH786467 GYD786467 HHZ786467 HRV786467 IBR786467 ILN786467 IVJ786467 JFF786467 JPB786467 JYX786467 KIT786467 KSP786467 LCL786467 LMH786467 LWD786467 MFZ786467 MPV786467 MZR786467 NJN786467 NTJ786467 ODF786467 ONB786467 OWX786467 PGT786467 PQP786467 QAL786467 QKH786467 QUD786467 RDZ786467 RNV786467 RXR786467 SHN786467 SRJ786467 TBF786467 TLB786467 TUX786467 UET786467 UOP786467 UYL786467 VIH786467 VSD786467 WBZ786467 WLV786467 WVR786467 J852003 JF852003 TB852003 ACX852003 AMT852003 AWP852003 BGL852003 BQH852003 CAD852003 CJZ852003 CTV852003 DDR852003 DNN852003 DXJ852003 EHF852003 ERB852003 FAX852003 FKT852003 FUP852003 GEL852003 GOH852003 GYD852003 HHZ852003 HRV852003 IBR852003 ILN852003 IVJ852003 JFF852003 JPB852003 JYX852003 KIT852003 KSP852003 LCL852003 LMH852003 LWD852003 MFZ852003 MPV852003 MZR852003 NJN852003 NTJ852003 ODF852003 ONB852003 OWX852003 PGT852003 PQP852003 QAL852003 QKH852003 QUD852003 RDZ852003 RNV852003 RXR852003 SHN852003 SRJ852003 TBF852003 TLB852003 TUX852003 UET852003 UOP852003 UYL852003 VIH852003 VSD852003 WBZ852003 WLV852003 WVR852003 J917539 JF917539 TB917539 ACX917539 AMT917539 AWP917539 BGL917539 BQH917539 CAD917539 CJZ917539 CTV917539 DDR917539 DNN917539 DXJ917539 EHF917539 ERB917539 FAX917539 FKT917539 FUP917539 GEL917539 GOH917539 GYD917539 HHZ917539 HRV917539 IBR917539 ILN917539 IVJ917539 JFF917539 JPB917539 JYX917539 KIT917539 KSP917539 LCL917539 LMH917539 LWD917539 MFZ917539 MPV917539 MZR917539 NJN917539 NTJ917539 ODF917539 ONB917539 OWX917539 PGT917539 PQP917539 QAL917539 QKH917539 QUD917539 RDZ917539 RNV917539 RXR917539 SHN917539 SRJ917539 TBF917539 TLB917539 TUX917539 UET917539 UOP917539 UYL917539 VIH917539 VSD917539 WBZ917539 WLV917539 WVR917539 J983075 JF983075 TB983075 ACX983075 AMT983075 AWP983075 BGL983075 BQH983075 CAD983075 CJZ983075 CTV983075 DDR983075 DNN983075 DXJ983075 EHF983075 ERB983075 FAX983075 FKT983075 FUP983075 GEL983075 GOH983075 GYD983075 HHZ983075 HRV983075 IBR983075 ILN983075 IVJ983075 JFF983075 JPB983075 JYX983075 KIT983075 KSP983075 LCL983075 LMH983075 LWD983075 MFZ983075 MPV983075 MZR983075 NJN983075 NTJ983075 ODF983075 ONB983075 OWX983075 PGT983075 PQP983075 QAL983075 QKH983075 QUD983075 RDZ983075 RNV983075 RXR983075 SHN983075 SRJ983075 TBF983075 TLB983075 TUX983075 UET983075 UOP983075 UYL983075 VIH983075 VSD983075 WBZ983075 WLV983075 WVR983075 G79 JC79 SY79 ACU79 AMQ79 AWM79 BGI79 BQE79 CAA79 CJW79 CTS79 DDO79 DNK79 DXG79 EHC79 EQY79 FAU79 FKQ79 FUM79 GEI79 GOE79 GYA79 HHW79 HRS79 IBO79 ILK79 IVG79 JFC79 JOY79 JYU79 KIQ79 KSM79 LCI79 LME79 LWA79 MFW79 MPS79 MZO79 NJK79 NTG79 ODC79 OMY79 OWU79 PGQ79 PQM79 QAI79 QKE79 QUA79 RDW79 RNS79 RXO79 SHK79 SRG79 TBC79 TKY79 TUU79 UEQ79 UOM79 UYI79 VIE79 VSA79 WBW79 WLS79 WVO79 G65619 JC65619 SY65619 ACU65619 AMQ65619 AWM65619 BGI65619 BQE65619 CAA65619 CJW65619 CTS65619 DDO65619 DNK65619 DXG65619 EHC65619 EQY65619 FAU65619 FKQ65619 FUM65619 GEI65619 GOE65619 GYA65619 HHW65619 HRS65619 IBO65619 ILK65619 IVG65619 JFC65619 JOY65619 JYU65619 KIQ65619 KSM65619 LCI65619 LME65619 LWA65619 MFW65619 MPS65619 MZO65619 NJK65619 NTG65619 ODC65619 OMY65619 OWU65619 PGQ65619 PQM65619 QAI65619 QKE65619 QUA65619 RDW65619 RNS65619 RXO65619 SHK65619 SRG65619 TBC65619 TKY65619 TUU65619 UEQ65619 UOM65619 UYI65619 VIE65619 VSA65619 WBW65619 WLS65619 WVO65619 G131155 JC131155 SY131155 ACU131155 AMQ131155 AWM131155 BGI131155 BQE131155 CAA131155 CJW131155 CTS131155 DDO131155 DNK131155 DXG131155 EHC131155 EQY131155 FAU131155 FKQ131155 FUM131155 GEI131155 GOE131155 GYA131155 HHW131155 HRS131155 IBO131155 ILK131155 IVG131155 JFC131155 JOY131155 JYU131155 KIQ131155 KSM131155 LCI131155 LME131155 LWA131155 MFW131155 MPS131155 MZO131155 NJK131155 NTG131155 ODC131155 OMY131155 OWU131155 PGQ131155 PQM131155 QAI131155 QKE131155 QUA131155 RDW131155 RNS131155 RXO131155 SHK131155 SRG131155 TBC131155 TKY131155 TUU131155 UEQ131155 UOM131155 UYI131155 VIE131155 VSA131155 WBW131155 WLS131155 WVO131155 G196691 JC196691 SY196691 ACU196691 AMQ196691 AWM196691 BGI196691 BQE196691 CAA196691 CJW196691 CTS196691 DDO196691 DNK196691 DXG196691 EHC196691 EQY196691 FAU196691 FKQ196691 FUM196691 GEI196691 GOE196691 GYA196691 HHW196691 HRS196691 IBO196691 ILK196691 IVG196691 JFC196691 JOY196691 JYU196691 KIQ196691 KSM196691 LCI196691 LME196691 LWA196691 MFW196691 MPS196691 MZO196691 NJK196691 NTG196691 ODC196691 OMY196691 OWU196691 PGQ196691 PQM196691 QAI196691 QKE196691 QUA196691 RDW196691 RNS196691 RXO196691 SHK196691 SRG196691 TBC196691 TKY196691 TUU196691 UEQ196691 UOM196691 UYI196691 VIE196691 VSA196691 WBW196691 WLS196691 WVO196691 G262227 JC262227 SY262227 ACU262227 AMQ262227 AWM262227 BGI262227 BQE262227 CAA262227 CJW262227 CTS262227 DDO262227 DNK262227 DXG262227 EHC262227 EQY262227 FAU262227 FKQ262227 FUM262227 GEI262227 GOE262227 GYA262227 HHW262227 HRS262227 IBO262227 ILK262227 IVG262227 JFC262227 JOY262227 JYU262227 KIQ262227 KSM262227 LCI262227 LME262227 LWA262227 MFW262227 MPS262227 MZO262227 NJK262227 NTG262227 ODC262227 OMY262227 OWU262227 PGQ262227 PQM262227 QAI262227 QKE262227 QUA262227 RDW262227 RNS262227 RXO262227 SHK262227 SRG262227 TBC262227 TKY262227 TUU262227 UEQ262227 UOM262227 UYI262227 VIE262227 VSA262227 WBW262227 WLS262227 WVO262227 G327763 JC327763 SY327763 ACU327763 AMQ327763 AWM327763 BGI327763 BQE327763 CAA327763 CJW327763 CTS327763 DDO327763 DNK327763 DXG327763 EHC327763 EQY327763 FAU327763 FKQ327763 FUM327763 GEI327763 GOE327763 GYA327763 HHW327763 HRS327763 IBO327763 ILK327763 IVG327763 JFC327763 JOY327763 JYU327763 KIQ327763 KSM327763 LCI327763 LME327763 LWA327763 MFW327763 MPS327763 MZO327763 NJK327763 NTG327763 ODC327763 OMY327763 OWU327763 PGQ327763 PQM327763 QAI327763 QKE327763 QUA327763 RDW327763 RNS327763 RXO327763 SHK327763 SRG327763 TBC327763 TKY327763 TUU327763 UEQ327763 UOM327763 UYI327763 VIE327763 VSA327763 WBW327763 WLS327763 WVO327763 G393299 JC393299 SY393299 ACU393299 AMQ393299 AWM393299 BGI393299 BQE393299 CAA393299 CJW393299 CTS393299 DDO393299 DNK393299 DXG393299 EHC393299 EQY393299 FAU393299 FKQ393299 FUM393299 GEI393299 GOE393299 GYA393299 HHW393299 HRS393299 IBO393299 ILK393299 IVG393299 JFC393299 JOY393299 JYU393299 KIQ393299 KSM393299 LCI393299 LME393299 LWA393299 MFW393299 MPS393299 MZO393299 NJK393299 NTG393299 ODC393299 OMY393299 OWU393299 PGQ393299 PQM393299 QAI393299 QKE393299 QUA393299 RDW393299 RNS393299 RXO393299 SHK393299 SRG393299 TBC393299 TKY393299 TUU393299 UEQ393299 UOM393299 UYI393299 VIE393299 VSA393299 WBW393299 WLS393299 WVO393299 G458835 JC458835 SY458835 ACU458835 AMQ458835 AWM458835 BGI458835 BQE458835 CAA458835 CJW458835 CTS458835 DDO458835 DNK458835 DXG458835 EHC458835 EQY458835 FAU458835 FKQ458835 FUM458835 GEI458835 GOE458835 GYA458835 HHW458835 HRS458835 IBO458835 ILK458835 IVG458835 JFC458835 JOY458835 JYU458835 KIQ458835 KSM458835 LCI458835 LME458835 LWA458835 MFW458835 MPS458835 MZO458835 NJK458835 NTG458835 ODC458835 OMY458835 OWU458835 PGQ458835 PQM458835 QAI458835 QKE458835 QUA458835 RDW458835 RNS458835 RXO458835 SHK458835 SRG458835 TBC458835 TKY458835 TUU458835 UEQ458835 UOM458835 UYI458835 VIE458835 VSA458835 WBW458835 WLS458835 WVO458835 G524371 JC524371 SY524371 ACU524371 AMQ524371 AWM524371 BGI524371 BQE524371 CAA524371 CJW524371 CTS524371 DDO524371 DNK524371 DXG524371 EHC524371 EQY524371 FAU524371 FKQ524371 FUM524371 GEI524371 GOE524371 GYA524371 HHW524371 HRS524371 IBO524371 ILK524371 IVG524371 JFC524371 JOY524371 JYU524371 KIQ524371 KSM524371 LCI524371 LME524371 LWA524371 MFW524371 MPS524371 MZO524371 NJK524371 NTG524371 ODC524371 OMY524371 OWU524371 PGQ524371 PQM524371 QAI524371 QKE524371 QUA524371 RDW524371 RNS524371 RXO524371 SHK524371 SRG524371 TBC524371 TKY524371 TUU524371 UEQ524371 UOM524371 UYI524371 VIE524371 VSA524371 WBW524371 WLS524371 WVO524371 G589907 JC589907 SY589907 ACU589907 AMQ589907 AWM589907 BGI589907 BQE589907 CAA589907 CJW589907 CTS589907 DDO589907 DNK589907 DXG589907 EHC589907 EQY589907 FAU589907 FKQ589907 FUM589907 GEI589907 GOE589907 GYA589907 HHW589907 HRS589907 IBO589907 ILK589907 IVG589907 JFC589907 JOY589907 JYU589907 KIQ589907 KSM589907 LCI589907 LME589907 LWA589907 MFW589907 MPS589907 MZO589907 NJK589907 NTG589907 ODC589907 OMY589907 OWU589907 PGQ589907 PQM589907 QAI589907 QKE589907 QUA589907 RDW589907 RNS589907 RXO589907 SHK589907 SRG589907 TBC589907 TKY589907 TUU589907 UEQ589907 UOM589907 UYI589907 VIE589907 VSA589907 WBW589907 WLS589907 WVO589907 G655443 JC655443 SY655443 ACU655443 AMQ655443 AWM655443 BGI655443 BQE655443 CAA655443 CJW655443 CTS655443 DDO655443 DNK655443 DXG655443 EHC655443 EQY655443 FAU655443 FKQ655443 FUM655443 GEI655443 GOE655443 GYA655443 HHW655443 HRS655443 IBO655443 ILK655443 IVG655443 JFC655443 JOY655443 JYU655443 KIQ655443 KSM655443 LCI655443 LME655443 LWA655443 MFW655443 MPS655443 MZO655443 NJK655443 NTG655443 ODC655443 OMY655443 OWU655443 PGQ655443 PQM655443 QAI655443 QKE655443 QUA655443 RDW655443 RNS655443 RXO655443 SHK655443 SRG655443 TBC655443 TKY655443 TUU655443 UEQ655443 UOM655443 UYI655443 VIE655443 VSA655443 WBW655443 WLS655443 WVO655443 G720979 JC720979 SY720979 ACU720979 AMQ720979 AWM720979 BGI720979 BQE720979 CAA720979 CJW720979 CTS720979 DDO720979 DNK720979 DXG720979 EHC720979 EQY720979 FAU720979 FKQ720979 FUM720979 GEI720979 GOE720979 GYA720979 HHW720979 HRS720979 IBO720979 ILK720979 IVG720979 JFC720979 JOY720979 JYU720979 KIQ720979 KSM720979 LCI720979 LME720979 LWA720979 MFW720979 MPS720979 MZO720979 NJK720979 NTG720979 ODC720979 OMY720979 OWU720979 PGQ720979 PQM720979 QAI720979 QKE720979 QUA720979 RDW720979 RNS720979 RXO720979 SHK720979 SRG720979 TBC720979 TKY720979 TUU720979 UEQ720979 UOM720979 UYI720979 VIE720979 VSA720979 WBW720979 WLS720979 WVO720979 G786515 JC786515 SY786515 ACU786515 AMQ786515 AWM786515 BGI786515 BQE786515 CAA786515 CJW786515 CTS786515 DDO786515 DNK786515 DXG786515 EHC786515 EQY786515 FAU786515 FKQ786515 FUM786515 GEI786515 GOE786515 GYA786515 HHW786515 HRS786515 IBO786515 ILK786515 IVG786515 JFC786515 JOY786515 JYU786515 KIQ786515 KSM786515 LCI786515 LME786515 LWA786515 MFW786515 MPS786515 MZO786515 NJK786515 NTG786515 ODC786515 OMY786515 OWU786515 PGQ786515 PQM786515 QAI786515 QKE786515 QUA786515 RDW786515 RNS786515 RXO786515 SHK786515 SRG786515 TBC786515 TKY786515 TUU786515 UEQ786515 UOM786515 UYI786515 VIE786515 VSA786515 WBW786515 WLS786515 WVO786515 G852051 JC852051 SY852051 ACU852051 AMQ852051 AWM852051 BGI852051 BQE852051 CAA852051 CJW852051 CTS852051 DDO852051 DNK852051 DXG852051 EHC852051 EQY852051 FAU852051 FKQ852051 FUM852051 GEI852051 GOE852051 GYA852051 HHW852051 HRS852051 IBO852051 ILK852051 IVG852051 JFC852051 JOY852051 JYU852051 KIQ852051 KSM852051 LCI852051 LME852051 LWA852051 MFW852051 MPS852051 MZO852051 NJK852051 NTG852051 ODC852051 OMY852051 OWU852051 PGQ852051 PQM852051 QAI852051 QKE852051 QUA852051 RDW852051 RNS852051 RXO852051 SHK852051 SRG852051 TBC852051 TKY852051 TUU852051 UEQ852051 UOM852051 UYI852051 VIE852051 VSA852051 WBW852051 WLS852051 WVO852051 G917587 JC917587 SY917587 ACU917587 AMQ917587 AWM917587 BGI917587 BQE917587 CAA917587 CJW917587 CTS917587 DDO917587 DNK917587 DXG917587 EHC917587 EQY917587 FAU917587 FKQ917587 FUM917587 GEI917587 GOE917587 GYA917587 HHW917587 HRS917587 IBO917587 ILK917587 IVG917587 JFC917587 JOY917587 JYU917587 KIQ917587 KSM917587 LCI917587 LME917587 LWA917587 MFW917587 MPS917587 MZO917587 NJK917587 NTG917587 ODC917587 OMY917587 OWU917587 PGQ917587 PQM917587 QAI917587 QKE917587 QUA917587 RDW917587 RNS917587 RXO917587 SHK917587 SRG917587 TBC917587 TKY917587 TUU917587 UEQ917587 UOM917587 UYI917587 VIE917587 VSA917587 WBW917587 WLS917587 WVO917587 G983123 JC983123 SY983123 ACU983123 AMQ983123 AWM983123 BGI983123 BQE983123 CAA983123 CJW983123 CTS983123 DDO983123 DNK983123 DXG983123 EHC983123 EQY983123 FAU983123 FKQ983123 FUM983123 GEI983123 GOE983123 GYA983123 HHW983123 HRS983123 IBO983123 ILK983123 IVG983123 JFC983123 JOY983123 JYU983123 KIQ983123 KSM983123 LCI983123 LME983123 LWA983123 MFW983123 MPS983123 MZO983123 NJK983123 NTG983123 ODC983123 OMY983123 OWU983123 PGQ983123 PQM983123 QAI983123 QKE983123 QUA983123 RDW983123 RNS983123 RXO983123 SHK983123 SRG983123 TBC983123 TKY983123 TUU983123 UEQ983123 UOM983123 UYI983123 VIE983123 VSA983123 WBW983123 WLS983123 WVO983123 G109:L109 JC109:JH109 SY109:TD109 ACU109:ACZ109 AMQ109:AMV109 AWM109:AWR109 BGI109:BGN109 BQE109:BQJ109 CAA109:CAF109 CJW109:CKB109 CTS109:CTX109 DDO109:DDT109 DNK109:DNP109 DXG109:DXL109 EHC109:EHH109 EQY109:ERD109 FAU109:FAZ109 FKQ109:FKV109 FUM109:FUR109 GEI109:GEN109 GOE109:GOJ109 GYA109:GYF109 HHW109:HIB109 HRS109:HRX109 IBO109:IBT109 ILK109:ILP109 IVG109:IVL109 JFC109:JFH109 JOY109:JPD109 JYU109:JYZ109 KIQ109:KIV109 KSM109:KSR109 LCI109:LCN109 LME109:LMJ109 LWA109:LWF109 MFW109:MGB109 MPS109:MPX109 MZO109:MZT109 NJK109:NJP109 NTG109:NTL109 ODC109:ODH109 OMY109:OND109 OWU109:OWZ109 PGQ109:PGV109 PQM109:PQR109 QAI109:QAN109 QKE109:QKJ109 QUA109:QUF109 RDW109:REB109 RNS109:RNX109 RXO109:RXT109 SHK109:SHP109 SRG109:SRL109 TBC109:TBH109 TKY109:TLD109 TUU109:TUZ109 UEQ109:UEV109 UOM109:UOR109 UYI109:UYN109 VIE109:VIJ109 VSA109:VSF109 WBW109:WCB109 WLS109:WLX109 WVO109:WVT109 G65649:L65649 JC65649:JH65649 SY65649:TD65649 ACU65649:ACZ65649 AMQ65649:AMV65649 AWM65649:AWR65649 BGI65649:BGN65649 BQE65649:BQJ65649 CAA65649:CAF65649 CJW65649:CKB65649 CTS65649:CTX65649 DDO65649:DDT65649 DNK65649:DNP65649 DXG65649:DXL65649 EHC65649:EHH65649 EQY65649:ERD65649 FAU65649:FAZ65649 FKQ65649:FKV65649 FUM65649:FUR65649 GEI65649:GEN65649 GOE65649:GOJ65649 GYA65649:GYF65649 HHW65649:HIB65649 HRS65649:HRX65649 IBO65649:IBT65649 ILK65649:ILP65649 IVG65649:IVL65649 JFC65649:JFH65649 JOY65649:JPD65649 JYU65649:JYZ65649 KIQ65649:KIV65649 KSM65649:KSR65649 LCI65649:LCN65649 LME65649:LMJ65649 LWA65649:LWF65649 MFW65649:MGB65649 MPS65649:MPX65649 MZO65649:MZT65649 NJK65649:NJP65649 NTG65649:NTL65649 ODC65649:ODH65649 OMY65649:OND65649 OWU65649:OWZ65649 PGQ65649:PGV65649 PQM65649:PQR65649 QAI65649:QAN65649 QKE65649:QKJ65649 QUA65649:QUF65649 RDW65649:REB65649 RNS65649:RNX65649 RXO65649:RXT65649 SHK65649:SHP65649 SRG65649:SRL65649 TBC65649:TBH65649 TKY65649:TLD65649 TUU65649:TUZ65649 UEQ65649:UEV65649 UOM65649:UOR65649 UYI65649:UYN65649 VIE65649:VIJ65649 VSA65649:VSF65649 WBW65649:WCB65649 WLS65649:WLX65649 WVO65649:WVT65649 G131185:L131185 JC131185:JH131185 SY131185:TD131185 ACU131185:ACZ131185 AMQ131185:AMV131185 AWM131185:AWR131185 BGI131185:BGN131185 BQE131185:BQJ131185 CAA131185:CAF131185 CJW131185:CKB131185 CTS131185:CTX131185 DDO131185:DDT131185 DNK131185:DNP131185 DXG131185:DXL131185 EHC131185:EHH131185 EQY131185:ERD131185 FAU131185:FAZ131185 FKQ131185:FKV131185 FUM131185:FUR131185 GEI131185:GEN131185 GOE131185:GOJ131185 GYA131185:GYF131185 HHW131185:HIB131185 HRS131185:HRX131185 IBO131185:IBT131185 ILK131185:ILP131185 IVG131185:IVL131185 JFC131185:JFH131185 JOY131185:JPD131185 JYU131185:JYZ131185 KIQ131185:KIV131185 KSM131185:KSR131185 LCI131185:LCN131185 LME131185:LMJ131185 LWA131185:LWF131185 MFW131185:MGB131185 MPS131185:MPX131185 MZO131185:MZT131185 NJK131185:NJP131185 NTG131185:NTL131185 ODC131185:ODH131185 OMY131185:OND131185 OWU131185:OWZ131185 PGQ131185:PGV131185 PQM131185:PQR131185 QAI131185:QAN131185 QKE131185:QKJ131185 QUA131185:QUF131185 RDW131185:REB131185 RNS131185:RNX131185 RXO131185:RXT131185 SHK131185:SHP131185 SRG131185:SRL131185 TBC131185:TBH131185 TKY131185:TLD131185 TUU131185:TUZ131185 UEQ131185:UEV131185 UOM131185:UOR131185 UYI131185:UYN131185 VIE131185:VIJ131185 VSA131185:VSF131185 WBW131185:WCB131185 WLS131185:WLX131185 WVO131185:WVT131185 G196721:L196721 JC196721:JH196721 SY196721:TD196721 ACU196721:ACZ196721 AMQ196721:AMV196721 AWM196721:AWR196721 BGI196721:BGN196721 BQE196721:BQJ196721 CAA196721:CAF196721 CJW196721:CKB196721 CTS196721:CTX196721 DDO196721:DDT196721 DNK196721:DNP196721 DXG196721:DXL196721 EHC196721:EHH196721 EQY196721:ERD196721 FAU196721:FAZ196721 FKQ196721:FKV196721 FUM196721:FUR196721 GEI196721:GEN196721 GOE196721:GOJ196721 GYA196721:GYF196721 HHW196721:HIB196721 HRS196721:HRX196721 IBO196721:IBT196721 ILK196721:ILP196721 IVG196721:IVL196721 JFC196721:JFH196721 JOY196721:JPD196721 JYU196721:JYZ196721 KIQ196721:KIV196721 KSM196721:KSR196721 LCI196721:LCN196721 LME196721:LMJ196721 LWA196721:LWF196721 MFW196721:MGB196721 MPS196721:MPX196721 MZO196721:MZT196721 NJK196721:NJP196721 NTG196721:NTL196721 ODC196721:ODH196721 OMY196721:OND196721 OWU196721:OWZ196721 PGQ196721:PGV196721 PQM196721:PQR196721 QAI196721:QAN196721 QKE196721:QKJ196721 QUA196721:QUF196721 RDW196721:REB196721 RNS196721:RNX196721 RXO196721:RXT196721 SHK196721:SHP196721 SRG196721:SRL196721 TBC196721:TBH196721 TKY196721:TLD196721 TUU196721:TUZ196721 UEQ196721:UEV196721 UOM196721:UOR196721 UYI196721:UYN196721 VIE196721:VIJ196721 VSA196721:VSF196721 WBW196721:WCB196721 WLS196721:WLX196721 WVO196721:WVT196721 G262257:L262257 JC262257:JH262257 SY262257:TD262257 ACU262257:ACZ262257 AMQ262257:AMV262257 AWM262257:AWR262257 BGI262257:BGN262257 BQE262257:BQJ262257 CAA262257:CAF262257 CJW262257:CKB262257 CTS262257:CTX262257 DDO262257:DDT262257 DNK262257:DNP262257 DXG262257:DXL262257 EHC262257:EHH262257 EQY262257:ERD262257 FAU262257:FAZ262257 FKQ262257:FKV262257 FUM262257:FUR262257 GEI262257:GEN262257 GOE262257:GOJ262257 GYA262257:GYF262257 HHW262257:HIB262257 HRS262257:HRX262257 IBO262257:IBT262257 ILK262257:ILP262257 IVG262257:IVL262257 JFC262257:JFH262257 JOY262257:JPD262257 JYU262257:JYZ262257 KIQ262257:KIV262257 KSM262257:KSR262257 LCI262257:LCN262257 LME262257:LMJ262257 LWA262257:LWF262257 MFW262257:MGB262257 MPS262257:MPX262257 MZO262257:MZT262257 NJK262257:NJP262257 NTG262257:NTL262257 ODC262257:ODH262257 OMY262257:OND262257 OWU262257:OWZ262257 PGQ262257:PGV262257 PQM262257:PQR262257 QAI262257:QAN262257 QKE262257:QKJ262257 QUA262257:QUF262257 RDW262257:REB262257 RNS262257:RNX262257 RXO262257:RXT262257 SHK262257:SHP262257 SRG262257:SRL262257 TBC262257:TBH262257 TKY262257:TLD262257 TUU262257:TUZ262257 UEQ262257:UEV262257 UOM262257:UOR262257 UYI262257:UYN262257 VIE262257:VIJ262257 VSA262257:VSF262257 WBW262257:WCB262257 WLS262257:WLX262257 WVO262257:WVT262257 G327793:L327793 JC327793:JH327793 SY327793:TD327793 ACU327793:ACZ327793 AMQ327793:AMV327793 AWM327793:AWR327793 BGI327793:BGN327793 BQE327793:BQJ327793 CAA327793:CAF327793 CJW327793:CKB327793 CTS327793:CTX327793 DDO327793:DDT327793 DNK327793:DNP327793 DXG327793:DXL327793 EHC327793:EHH327793 EQY327793:ERD327793 FAU327793:FAZ327793 FKQ327793:FKV327793 FUM327793:FUR327793 GEI327793:GEN327793 GOE327793:GOJ327793 GYA327793:GYF327793 HHW327793:HIB327793 HRS327793:HRX327793 IBO327793:IBT327793 ILK327793:ILP327793 IVG327793:IVL327793 JFC327793:JFH327793 JOY327793:JPD327793 JYU327793:JYZ327793 KIQ327793:KIV327793 KSM327793:KSR327793 LCI327793:LCN327793 LME327793:LMJ327793 LWA327793:LWF327793 MFW327793:MGB327793 MPS327793:MPX327793 MZO327793:MZT327793 NJK327793:NJP327793 NTG327793:NTL327793 ODC327793:ODH327793 OMY327793:OND327793 OWU327793:OWZ327793 PGQ327793:PGV327793 PQM327793:PQR327793 QAI327793:QAN327793 QKE327793:QKJ327793 QUA327793:QUF327793 RDW327793:REB327793 RNS327793:RNX327793 RXO327793:RXT327793 SHK327793:SHP327793 SRG327793:SRL327793 TBC327793:TBH327793 TKY327793:TLD327793 TUU327793:TUZ327793 UEQ327793:UEV327793 UOM327793:UOR327793 UYI327793:UYN327793 VIE327793:VIJ327793 VSA327793:VSF327793 WBW327793:WCB327793 WLS327793:WLX327793 WVO327793:WVT327793 G393329:L393329 JC393329:JH393329 SY393329:TD393329 ACU393329:ACZ393329 AMQ393329:AMV393329 AWM393329:AWR393329 BGI393329:BGN393329 BQE393329:BQJ393329 CAA393329:CAF393329 CJW393329:CKB393329 CTS393329:CTX393329 DDO393329:DDT393329 DNK393329:DNP393329 DXG393329:DXL393329 EHC393329:EHH393329 EQY393329:ERD393329 FAU393329:FAZ393329 FKQ393329:FKV393329 FUM393329:FUR393329 GEI393329:GEN393329 GOE393329:GOJ393329 GYA393329:GYF393329 HHW393329:HIB393329 HRS393329:HRX393329 IBO393329:IBT393329 ILK393329:ILP393329 IVG393329:IVL393329 JFC393329:JFH393329 JOY393329:JPD393329 JYU393329:JYZ393329 KIQ393329:KIV393329 KSM393329:KSR393329 LCI393329:LCN393329 LME393329:LMJ393329 LWA393329:LWF393329 MFW393329:MGB393329 MPS393329:MPX393329 MZO393329:MZT393329 NJK393329:NJP393329 NTG393329:NTL393329 ODC393329:ODH393329 OMY393329:OND393329 OWU393329:OWZ393329 PGQ393329:PGV393329 PQM393329:PQR393329 QAI393329:QAN393329 QKE393329:QKJ393329 QUA393329:QUF393329 RDW393329:REB393329 RNS393329:RNX393329 RXO393329:RXT393329 SHK393329:SHP393329 SRG393329:SRL393329 TBC393329:TBH393329 TKY393329:TLD393329 TUU393329:TUZ393329 UEQ393329:UEV393329 UOM393329:UOR393329 UYI393329:UYN393329 VIE393329:VIJ393329 VSA393329:VSF393329 WBW393329:WCB393329 WLS393329:WLX393329 WVO393329:WVT393329 G458865:L458865 JC458865:JH458865 SY458865:TD458865 ACU458865:ACZ458865 AMQ458865:AMV458865 AWM458865:AWR458865 BGI458865:BGN458865 BQE458865:BQJ458865 CAA458865:CAF458865 CJW458865:CKB458865 CTS458865:CTX458865 DDO458865:DDT458865 DNK458865:DNP458865 DXG458865:DXL458865 EHC458865:EHH458865 EQY458865:ERD458865 FAU458865:FAZ458865 FKQ458865:FKV458865 FUM458865:FUR458865 GEI458865:GEN458865 GOE458865:GOJ458865 GYA458865:GYF458865 HHW458865:HIB458865 HRS458865:HRX458865 IBO458865:IBT458865 ILK458865:ILP458865 IVG458865:IVL458865 JFC458865:JFH458865 JOY458865:JPD458865 JYU458865:JYZ458865 KIQ458865:KIV458865 KSM458865:KSR458865 LCI458865:LCN458865 LME458865:LMJ458865 LWA458865:LWF458865 MFW458865:MGB458865 MPS458865:MPX458865 MZO458865:MZT458865 NJK458865:NJP458865 NTG458865:NTL458865 ODC458865:ODH458865 OMY458865:OND458865 OWU458865:OWZ458865 PGQ458865:PGV458865 PQM458865:PQR458865 QAI458865:QAN458865 QKE458865:QKJ458865 QUA458865:QUF458865 RDW458865:REB458865 RNS458865:RNX458865 RXO458865:RXT458865 SHK458865:SHP458865 SRG458865:SRL458865 TBC458865:TBH458865 TKY458865:TLD458865 TUU458865:TUZ458865 UEQ458865:UEV458865 UOM458865:UOR458865 UYI458865:UYN458865 VIE458865:VIJ458865 VSA458865:VSF458865 WBW458865:WCB458865 WLS458865:WLX458865 WVO458865:WVT458865 G524401:L524401 JC524401:JH524401 SY524401:TD524401 ACU524401:ACZ524401 AMQ524401:AMV524401 AWM524401:AWR524401 BGI524401:BGN524401 BQE524401:BQJ524401 CAA524401:CAF524401 CJW524401:CKB524401 CTS524401:CTX524401 DDO524401:DDT524401 DNK524401:DNP524401 DXG524401:DXL524401 EHC524401:EHH524401 EQY524401:ERD524401 FAU524401:FAZ524401 FKQ524401:FKV524401 FUM524401:FUR524401 GEI524401:GEN524401 GOE524401:GOJ524401 GYA524401:GYF524401 HHW524401:HIB524401 HRS524401:HRX524401 IBO524401:IBT524401 ILK524401:ILP524401 IVG524401:IVL524401 JFC524401:JFH524401 JOY524401:JPD524401 JYU524401:JYZ524401 KIQ524401:KIV524401 KSM524401:KSR524401 LCI524401:LCN524401 LME524401:LMJ524401 LWA524401:LWF524401 MFW524401:MGB524401 MPS524401:MPX524401 MZO524401:MZT524401 NJK524401:NJP524401 NTG524401:NTL524401 ODC524401:ODH524401 OMY524401:OND524401 OWU524401:OWZ524401 PGQ524401:PGV524401 PQM524401:PQR524401 QAI524401:QAN524401 QKE524401:QKJ524401 QUA524401:QUF524401 RDW524401:REB524401 RNS524401:RNX524401 RXO524401:RXT524401 SHK524401:SHP524401 SRG524401:SRL524401 TBC524401:TBH524401 TKY524401:TLD524401 TUU524401:TUZ524401 UEQ524401:UEV524401 UOM524401:UOR524401 UYI524401:UYN524401 VIE524401:VIJ524401 VSA524401:VSF524401 WBW524401:WCB524401 WLS524401:WLX524401 WVO524401:WVT524401 G589937:L589937 JC589937:JH589937 SY589937:TD589937 ACU589937:ACZ589937 AMQ589937:AMV589937 AWM589937:AWR589937 BGI589937:BGN589937 BQE589937:BQJ589937 CAA589937:CAF589937 CJW589937:CKB589937 CTS589937:CTX589937 DDO589937:DDT589937 DNK589937:DNP589937 DXG589937:DXL589937 EHC589937:EHH589937 EQY589937:ERD589937 FAU589937:FAZ589937 FKQ589937:FKV589937 FUM589937:FUR589937 GEI589937:GEN589937 GOE589937:GOJ589937 GYA589937:GYF589937 HHW589937:HIB589937 HRS589937:HRX589937 IBO589937:IBT589937 ILK589937:ILP589937 IVG589937:IVL589937 JFC589937:JFH589937 JOY589937:JPD589937 JYU589937:JYZ589937 KIQ589937:KIV589937 KSM589937:KSR589937 LCI589937:LCN589937 LME589937:LMJ589937 LWA589937:LWF589937 MFW589937:MGB589937 MPS589937:MPX589937 MZO589937:MZT589937 NJK589937:NJP589937 NTG589937:NTL589937 ODC589937:ODH589937 OMY589937:OND589937 OWU589937:OWZ589937 PGQ589937:PGV589937 PQM589937:PQR589937 QAI589937:QAN589937 QKE589937:QKJ589937 QUA589937:QUF589937 RDW589937:REB589937 RNS589937:RNX589937 RXO589937:RXT589937 SHK589937:SHP589937 SRG589937:SRL589937 TBC589937:TBH589937 TKY589937:TLD589937 TUU589937:TUZ589937 UEQ589937:UEV589937 UOM589937:UOR589937 UYI589937:UYN589937 VIE589937:VIJ589937 VSA589937:VSF589937 WBW589937:WCB589937 WLS589937:WLX589937 WVO589937:WVT589937 G655473:L655473 JC655473:JH655473 SY655473:TD655473 ACU655473:ACZ655473 AMQ655473:AMV655473 AWM655473:AWR655473 BGI655473:BGN655473 BQE655473:BQJ655473 CAA655473:CAF655473 CJW655473:CKB655473 CTS655473:CTX655473 DDO655473:DDT655473 DNK655473:DNP655473 DXG655473:DXL655473 EHC655473:EHH655473 EQY655473:ERD655473 FAU655473:FAZ655473 FKQ655473:FKV655473 FUM655473:FUR655473 GEI655473:GEN655473 GOE655473:GOJ655473 GYA655473:GYF655473 HHW655473:HIB655473 HRS655473:HRX655473 IBO655473:IBT655473 ILK655473:ILP655473 IVG655473:IVL655473 JFC655473:JFH655473 JOY655473:JPD655473 JYU655473:JYZ655473 KIQ655473:KIV655473 KSM655473:KSR655473 LCI655473:LCN655473 LME655473:LMJ655473 LWA655473:LWF655473 MFW655473:MGB655473 MPS655473:MPX655473 MZO655473:MZT655473 NJK655473:NJP655473 NTG655473:NTL655473 ODC655473:ODH655473 OMY655473:OND655473 OWU655473:OWZ655473 PGQ655473:PGV655473 PQM655473:PQR655473 QAI655473:QAN655473 QKE655473:QKJ655473 QUA655473:QUF655473 RDW655473:REB655473 RNS655473:RNX655473 RXO655473:RXT655473 SHK655473:SHP655473 SRG655473:SRL655473 TBC655473:TBH655473 TKY655473:TLD655473 TUU655473:TUZ655473 UEQ655473:UEV655473 UOM655473:UOR655473 UYI655473:UYN655473 VIE655473:VIJ655473 VSA655473:VSF655473 WBW655473:WCB655473 WLS655473:WLX655473 WVO655473:WVT655473 G721009:L721009 JC721009:JH721009 SY721009:TD721009 ACU721009:ACZ721009 AMQ721009:AMV721009 AWM721009:AWR721009 BGI721009:BGN721009 BQE721009:BQJ721009 CAA721009:CAF721009 CJW721009:CKB721009 CTS721009:CTX721009 DDO721009:DDT721009 DNK721009:DNP721009 DXG721009:DXL721009 EHC721009:EHH721009 EQY721009:ERD721009 FAU721009:FAZ721009 FKQ721009:FKV721009 FUM721009:FUR721009 GEI721009:GEN721009 GOE721009:GOJ721009 GYA721009:GYF721009 HHW721009:HIB721009 HRS721009:HRX721009 IBO721009:IBT721009 ILK721009:ILP721009 IVG721009:IVL721009 JFC721009:JFH721009 JOY721009:JPD721009 JYU721009:JYZ721009 KIQ721009:KIV721009 KSM721009:KSR721009 LCI721009:LCN721009 LME721009:LMJ721009 LWA721009:LWF721009 MFW721009:MGB721009 MPS721009:MPX721009 MZO721009:MZT721009 NJK721009:NJP721009 NTG721009:NTL721009 ODC721009:ODH721009 OMY721009:OND721009 OWU721009:OWZ721009 PGQ721009:PGV721009 PQM721009:PQR721009 QAI721009:QAN721009 QKE721009:QKJ721009 QUA721009:QUF721009 RDW721009:REB721009 RNS721009:RNX721009 RXO721009:RXT721009 SHK721009:SHP721009 SRG721009:SRL721009 TBC721009:TBH721009 TKY721009:TLD721009 TUU721009:TUZ721009 UEQ721009:UEV721009 UOM721009:UOR721009 UYI721009:UYN721009 VIE721009:VIJ721009 VSA721009:VSF721009 WBW721009:WCB721009 WLS721009:WLX721009 WVO721009:WVT721009 G786545:L786545 JC786545:JH786545 SY786545:TD786545 ACU786545:ACZ786545 AMQ786545:AMV786545 AWM786545:AWR786545 BGI786545:BGN786545 BQE786545:BQJ786545 CAA786545:CAF786545 CJW786545:CKB786545 CTS786545:CTX786545 DDO786545:DDT786545 DNK786545:DNP786545 DXG786545:DXL786545 EHC786545:EHH786545 EQY786545:ERD786545 FAU786545:FAZ786545 FKQ786545:FKV786545 FUM786545:FUR786545 GEI786545:GEN786545 GOE786545:GOJ786545 GYA786545:GYF786545 HHW786545:HIB786545 HRS786545:HRX786545 IBO786545:IBT786545 ILK786545:ILP786545 IVG786545:IVL786545 JFC786545:JFH786545 JOY786545:JPD786545 JYU786545:JYZ786545 KIQ786545:KIV786545 KSM786545:KSR786545 LCI786545:LCN786545 LME786545:LMJ786545 LWA786545:LWF786545 MFW786545:MGB786545 MPS786545:MPX786545 MZO786545:MZT786545 NJK786545:NJP786545 NTG786545:NTL786545 ODC786545:ODH786545 OMY786545:OND786545 OWU786545:OWZ786545 PGQ786545:PGV786545 PQM786545:PQR786545 QAI786545:QAN786545 QKE786545:QKJ786545 QUA786545:QUF786545 RDW786545:REB786545 RNS786545:RNX786545 RXO786545:RXT786545 SHK786545:SHP786545 SRG786545:SRL786545 TBC786545:TBH786545 TKY786545:TLD786545 TUU786545:TUZ786545 UEQ786545:UEV786545 UOM786545:UOR786545 UYI786545:UYN786545 VIE786545:VIJ786545 VSA786545:VSF786545 WBW786545:WCB786545 WLS786545:WLX786545 WVO786545:WVT786545 G852081:L852081 JC852081:JH852081 SY852081:TD852081 ACU852081:ACZ852081 AMQ852081:AMV852081 AWM852081:AWR852081 BGI852081:BGN852081 BQE852081:BQJ852081 CAA852081:CAF852081 CJW852081:CKB852081 CTS852081:CTX852081 DDO852081:DDT852081 DNK852081:DNP852081 DXG852081:DXL852081 EHC852081:EHH852081 EQY852081:ERD852081 FAU852081:FAZ852081 FKQ852081:FKV852081 FUM852081:FUR852081 GEI852081:GEN852081 GOE852081:GOJ852081 GYA852081:GYF852081 HHW852081:HIB852081 HRS852081:HRX852081 IBO852081:IBT852081 ILK852081:ILP852081 IVG852081:IVL852081 JFC852081:JFH852081 JOY852081:JPD852081 JYU852081:JYZ852081 KIQ852081:KIV852081 KSM852081:KSR852081 LCI852081:LCN852081 LME852081:LMJ852081 LWA852081:LWF852081 MFW852081:MGB852081 MPS852081:MPX852081 MZO852081:MZT852081 NJK852081:NJP852081 NTG852081:NTL852081 ODC852081:ODH852081 OMY852081:OND852081 OWU852081:OWZ852081 PGQ852081:PGV852081 PQM852081:PQR852081 QAI852081:QAN852081 QKE852081:QKJ852081 QUA852081:QUF852081 RDW852081:REB852081 RNS852081:RNX852081 RXO852081:RXT852081 SHK852081:SHP852081 SRG852081:SRL852081 TBC852081:TBH852081 TKY852081:TLD852081 TUU852081:TUZ852081 UEQ852081:UEV852081 UOM852081:UOR852081 UYI852081:UYN852081 VIE852081:VIJ852081 VSA852081:VSF852081 WBW852081:WCB852081 WLS852081:WLX852081 WVO852081:WVT852081 G917617:L917617 JC917617:JH917617 SY917617:TD917617 ACU917617:ACZ917617 AMQ917617:AMV917617 AWM917617:AWR917617 BGI917617:BGN917617 BQE917617:BQJ917617 CAA917617:CAF917617 CJW917617:CKB917617 CTS917617:CTX917617 DDO917617:DDT917617 DNK917617:DNP917617 DXG917617:DXL917617 EHC917617:EHH917617 EQY917617:ERD917617 FAU917617:FAZ917617 FKQ917617:FKV917617 FUM917617:FUR917617 GEI917617:GEN917617 GOE917617:GOJ917617 GYA917617:GYF917617 HHW917617:HIB917617 HRS917617:HRX917617 IBO917617:IBT917617 ILK917617:ILP917617 IVG917617:IVL917617 JFC917617:JFH917617 JOY917617:JPD917617 JYU917617:JYZ917617 KIQ917617:KIV917617 KSM917617:KSR917617 LCI917617:LCN917617 LME917617:LMJ917617 LWA917617:LWF917617 MFW917617:MGB917617 MPS917617:MPX917617 MZO917617:MZT917617 NJK917617:NJP917617 NTG917617:NTL917617 ODC917617:ODH917617 OMY917617:OND917617 OWU917617:OWZ917617 PGQ917617:PGV917617 PQM917617:PQR917617 QAI917617:QAN917617 QKE917617:QKJ917617 QUA917617:QUF917617 RDW917617:REB917617 RNS917617:RNX917617 RXO917617:RXT917617 SHK917617:SHP917617 SRG917617:SRL917617 TBC917617:TBH917617 TKY917617:TLD917617 TUU917617:TUZ917617 UEQ917617:UEV917617 UOM917617:UOR917617 UYI917617:UYN917617 VIE917617:VIJ917617 VSA917617:VSF917617 WBW917617:WCB917617 WLS917617:WLX917617 WVO917617:WVT917617 G983153:L983153 JC983153:JH983153 SY983153:TD983153 ACU983153:ACZ983153 AMQ983153:AMV983153 AWM983153:AWR983153 BGI983153:BGN983153 BQE983153:BQJ983153 CAA983153:CAF983153 CJW983153:CKB983153 CTS983153:CTX983153 DDO983153:DDT983153 DNK983153:DNP983153 DXG983153:DXL983153 EHC983153:EHH983153 EQY983153:ERD983153 FAU983153:FAZ983153 FKQ983153:FKV983153 FUM983153:FUR983153 GEI983153:GEN983153 GOE983153:GOJ983153 GYA983153:GYF983153 HHW983153:HIB983153 HRS983153:HRX983153 IBO983153:IBT983153 ILK983153:ILP983153 IVG983153:IVL983153 JFC983153:JFH983153 JOY983153:JPD983153 JYU983153:JYZ983153 KIQ983153:KIV983153 KSM983153:KSR983153 LCI983153:LCN983153 LME983153:LMJ983153 LWA983153:LWF983153 MFW983153:MGB983153 MPS983153:MPX983153 MZO983153:MZT983153 NJK983153:NJP983153 NTG983153:NTL983153 ODC983153:ODH983153 OMY983153:OND983153 OWU983153:OWZ983153 PGQ983153:PGV983153 PQM983153:PQR983153 QAI983153:QAN983153 QKE983153:QKJ983153 QUA983153:QUF983153 RDW983153:REB983153 RNS983153:RNX983153 RXO983153:RXT983153 SHK983153:SHP983153 SRG983153:SRL983153 TBC983153:TBH983153 TKY983153:TLD983153 TUU983153:TUZ983153 UEQ983153:UEV983153 UOM983153:UOR983153 UYI983153:UYN983153 VIE983153:VIJ983153 VSA983153:VSF983153 WBW983153:WCB983153 WLS983153:WLX983153 WVO983153:WVT983153 WVO983155:WVT983160 JC111:JH117 SY111:TD117 ACU111:ACZ117 AMQ111:AMV117 AWM111:AWR117 BGI111:BGN117 BQE111:BQJ117 CAA111:CAF117 CJW111:CKB117 CTS111:CTX117 DDO111:DDT117 DNK111:DNP117 DXG111:DXL117 EHC111:EHH117 EQY111:ERD117 FAU111:FAZ117 FKQ111:FKV117 FUM111:FUR117 GEI111:GEN117 GOE111:GOJ117 GYA111:GYF117 HHW111:HIB117 HRS111:HRX117 IBO111:IBT117 ILK111:ILP117 IVG111:IVL117 JFC111:JFH117 JOY111:JPD117 JYU111:JYZ117 KIQ111:KIV117 KSM111:KSR117 LCI111:LCN117 LME111:LMJ117 LWA111:LWF117 MFW111:MGB117 MPS111:MPX117 MZO111:MZT117 NJK111:NJP117 NTG111:NTL117 ODC111:ODH117 OMY111:OND117 OWU111:OWZ117 PGQ111:PGV117 PQM111:PQR117 QAI111:QAN117 QKE111:QKJ117 QUA111:QUF117 RDW111:REB117 RNS111:RNX117 RXO111:RXT117 SHK111:SHP117 SRG111:SRL117 TBC111:TBH117 TKY111:TLD117 TUU111:TUZ117 UEQ111:UEV117 UOM111:UOR117 UYI111:UYN117 VIE111:VIJ117 VSA111:VSF117 WBW111:WCB117 WLS111:WLX117 WVO111:WVT117 G65651:L65656 JC65651:JH65656 SY65651:TD65656 ACU65651:ACZ65656 AMQ65651:AMV65656 AWM65651:AWR65656 BGI65651:BGN65656 BQE65651:BQJ65656 CAA65651:CAF65656 CJW65651:CKB65656 CTS65651:CTX65656 DDO65651:DDT65656 DNK65651:DNP65656 DXG65651:DXL65656 EHC65651:EHH65656 EQY65651:ERD65656 FAU65651:FAZ65656 FKQ65651:FKV65656 FUM65651:FUR65656 GEI65651:GEN65656 GOE65651:GOJ65656 GYA65651:GYF65656 HHW65651:HIB65656 HRS65651:HRX65656 IBO65651:IBT65656 ILK65651:ILP65656 IVG65651:IVL65656 JFC65651:JFH65656 JOY65651:JPD65656 JYU65651:JYZ65656 KIQ65651:KIV65656 KSM65651:KSR65656 LCI65651:LCN65656 LME65651:LMJ65656 LWA65651:LWF65656 MFW65651:MGB65656 MPS65651:MPX65656 MZO65651:MZT65656 NJK65651:NJP65656 NTG65651:NTL65656 ODC65651:ODH65656 OMY65651:OND65656 OWU65651:OWZ65656 PGQ65651:PGV65656 PQM65651:PQR65656 QAI65651:QAN65656 QKE65651:QKJ65656 QUA65651:QUF65656 RDW65651:REB65656 RNS65651:RNX65656 RXO65651:RXT65656 SHK65651:SHP65656 SRG65651:SRL65656 TBC65651:TBH65656 TKY65651:TLD65656 TUU65651:TUZ65656 UEQ65651:UEV65656 UOM65651:UOR65656 UYI65651:UYN65656 VIE65651:VIJ65656 VSA65651:VSF65656 WBW65651:WCB65656 WLS65651:WLX65656 WVO65651:WVT65656 G131187:L131192 JC131187:JH131192 SY131187:TD131192 ACU131187:ACZ131192 AMQ131187:AMV131192 AWM131187:AWR131192 BGI131187:BGN131192 BQE131187:BQJ131192 CAA131187:CAF131192 CJW131187:CKB131192 CTS131187:CTX131192 DDO131187:DDT131192 DNK131187:DNP131192 DXG131187:DXL131192 EHC131187:EHH131192 EQY131187:ERD131192 FAU131187:FAZ131192 FKQ131187:FKV131192 FUM131187:FUR131192 GEI131187:GEN131192 GOE131187:GOJ131192 GYA131187:GYF131192 HHW131187:HIB131192 HRS131187:HRX131192 IBO131187:IBT131192 ILK131187:ILP131192 IVG131187:IVL131192 JFC131187:JFH131192 JOY131187:JPD131192 JYU131187:JYZ131192 KIQ131187:KIV131192 KSM131187:KSR131192 LCI131187:LCN131192 LME131187:LMJ131192 LWA131187:LWF131192 MFW131187:MGB131192 MPS131187:MPX131192 MZO131187:MZT131192 NJK131187:NJP131192 NTG131187:NTL131192 ODC131187:ODH131192 OMY131187:OND131192 OWU131187:OWZ131192 PGQ131187:PGV131192 PQM131187:PQR131192 QAI131187:QAN131192 QKE131187:QKJ131192 QUA131187:QUF131192 RDW131187:REB131192 RNS131187:RNX131192 RXO131187:RXT131192 SHK131187:SHP131192 SRG131187:SRL131192 TBC131187:TBH131192 TKY131187:TLD131192 TUU131187:TUZ131192 UEQ131187:UEV131192 UOM131187:UOR131192 UYI131187:UYN131192 VIE131187:VIJ131192 VSA131187:VSF131192 WBW131187:WCB131192 WLS131187:WLX131192 WVO131187:WVT131192 G196723:L196728 JC196723:JH196728 SY196723:TD196728 ACU196723:ACZ196728 AMQ196723:AMV196728 AWM196723:AWR196728 BGI196723:BGN196728 BQE196723:BQJ196728 CAA196723:CAF196728 CJW196723:CKB196728 CTS196723:CTX196728 DDO196723:DDT196728 DNK196723:DNP196728 DXG196723:DXL196728 EHC196723:EHH196728 EQY196723:ERD196728 FAU196723:FAZ196728 FKQ196723:FKV196728 FUM196723:FUR196728 GEI196723:GEN196728 GOE196723:GOJ196728 GYA196723:GYF196728 HHW196723:HIB196728 HRS196723:HRX196728 IBO196723:IBT196728 ILK196723:ILP196728 IVG196723:IVL196728 JFC196723:JFH196728 JOY196723:JPD196728 JYU196723:JYZ196728 KIQ196723:KIV196728 KSM196723:KSR196728 LCI196723:LCN196728 LME196723:LMJ196728 LWA196723:LWF196728 MFW196723:MGB196728 MPS196723:MPX196728 MZO196723:MZT196728 NJK196723:NJP196728 NTG196723:NTL196728 ODC196723:ODH196728 OMY196723:OND196728 OWU196723:OWZ196728 PGQ196723:PGV196728 PQM196723:PQR196728 QAI196723:QAN196728 QKE196723:QKJ196728 QUA196723:QUF196728 RDW196723:REB196728 RNS196723:RNX196728 RXO196723:RXT196728 SHK196723:SHP196728 SRG196723:SRL196728 TBC196723:TBH196728 TKY196723:TLD196728 TUU196723:TUZ196728 UEQ196723:UEV196728 UOM196723:UOR196728 UYI196723:UYN196728 VIE196723:VIJ196728 VSA196723:VSF196728 WBW196723:WCB196728 WLS196723:WLX196728 WVO196723:WVT196728 G262259:L262264 JC262259:JH262264 SY262259:TD262264 ACU262259:ACZ262264 AMQ262259:AMV262264 AWM262259:AWR262264 BGI262259:BGN262264 BQE262259:BQJ262264 CAA262259:CAF262264 CJW262259:CKB262264 CTS262259:CTX262264 DDO262259:DDT262264 DNK262259:DNP262264 DXG262259:DXL262264 EHC262259:EHH262264 EQY262259:ERD262264 FAU262259:FAZ262264 FKQ262259:FKV262264 FUM262259:FUR262264 GEI262259:GEN262264 GOE262259:GOJ262264 GYA262259:GYF262264 HHW262259:HIB262264 HRS262259:HRX262264 IBO262259:IBT262264 ILK262259:ILP262264 IVG262259:IVL262264 JFC262259:JFH262264 JOY262259:JPD262264 JYU262259:JYZ262264 KIQ262259:KIV262264 KSM262259:KSR262264 LCI262259:LCN262264 LME262259:LMJ262264 LWA262259:LWF262264 MFW262259:MGB262264 MPS262259:MPX262264 MZO262259:MZT262264 NJK262259:NJP262264 NTG262259:NTL262264 ODC262259:ODH262264 OMY262259:OND262264 OWU262259:OWZ262264 PGQ262259:PGV262264 PQM262259:PQR262264 QAI262259:QAN262264 QKE262259:QKJ262264 QUA262259:QUF262264 RDW262259:REB262264 RNS262259:RNX262264 RXO262259:RXT262264 SHK262259:SHP262264 SRG262259:SRL262264 TBC262259:TBH262264 TKY262259:TLD262264 TUU262259:TUZ262264 UEQ262259:UEV262264 UOM262259:UOR262264 UYI262259:UYN262264 VIE262259:VIJ262264 VSA262259:VSF262264 WBW262259:WCB262264 WLS262259:WLX262264 WVO262259:WVT262264 G327795:L327800 JC327795:JH327800 SY327795:TD327800 ACU327795:ACZ327800 AMQ327795:AMV327800 AWM327795:AWR327800 BGI327795:BGN327800 BQE327795:BQJ327800 CAA327795:CAF327800 CJW327795:CKB327800 CTS327795:CTX327800 DDO327795:DDT327800 DNK327795:DNP327800 DXG327795:DXL327800 EHC327795:EHH327800 EQY327795:ERD327800 FAU327795:FAZ327800 FKQ327795:FKV327800 FUM327795:FUR327800 GEI327795:GEN327800 GOE327795:GOJ327800 GYA327795:GYF327800 HHW327795:HIB327800 HRS327795:HRX327800 IBO327795:IBT327800 ILK327795:ILP327800 IVG327795:IVL327800 JFC327795:JFH327800 JOY327795:JPD327800 JYU327795:JYZ327800 KIQ327795:KIV327800 KSM327795:KSR327800 LCI327795:LCN327800 LME327795:LMJ327800 LWA327795:LWF327800 MFW327795:MGB327800 MPS327795:MPX327800 MZO327795:MZT327800 NJK327795:NJP327800 NTG327795:NTL327800 ODC327795:ODH327800 OMY327795:OND327800 OWU327795:OWZ327800 PGQ327795:PGV327800 PQM327795:PQR327800 QAI327795:QAN327800 QKE327795:QKJ327800 QUA327795:QUF327800 RDW327795:REB327800 RNS327795:RNX327800 RXO327795:RXT327800 SHK327795:SHP327800 SRG327795:SRL327800 TBC327795:TBH327800 TKY327795:TLD327800 TUU327795:TUZ327800 UEQ327795:UEV327800 UOM327795:UOR327800 UYI327795:UYN327800 VIE327795:VIJ327800 VSA327795:VSF327800 WBW327795:WCB327800 WLS327795:WLX327800 WVO327795:WVT327800 G393331:L393336 JC393331:JH393336 SY393331:TD393336 ACU393331:ACZ393336 AMQ393331:AMV393336 AWM393331:AWR393336 BGI393331:BGN393336 BQE393331:BQJ393336 CAA393331:CAF393336 CJW393331:CKB393336 CTS393331:CTX393336 DDO393331:DDT393336 DNK393331:DNP393336 DXG393331:DXL393336 EHC393331:EHH393336 EQY393331:ERD393336 FAU393331:FAZ393336 FKQ393331:FKV393336 FUM393331:FUR393336 GEI393331:GEN393336 GOE393331:GOJ393336 GYA393331:GYF393336 HHW393331:HIB393336 HRS393331:HRX393336 IBO393331:IBT393336 ILK393331:ILP393336 IVG393331:IVL393336 JFC393331:JFH393336 JOY393331:JPD393336 JYU393331:JYZ393336 KIQ393331:KIV393336 KSM393331:KSR393336 LCI393331:LCN393336 LME393331:LMJ393336 LWA393331:LWF393336 MFW393331:MGB393336 MPS393331:MPX393336 MZO393331:MZT393336 NJK393331:NJP393336 NTG393331:NTL393336 ODC393331:ODH393336 OMY393331:OND393336 OWU393331:OWZ393336 PGQ393331:PGV393336 PQM393331:PQR393336 QAI393331:QAN393336 QKE393331:QKJ393336 QUA393331:QUF393336 RDW393331:REB393336 RNS393331:RNX393336 RXO393331:RXT393336 SHK393331:SHP393336 SRG393331:SRL393336 TBC393331:TBH393336 TKY393331:TLD393336 TUU393331:TUZ393336 UEQ393331:UEV393336 UOM393331:UOR393336 UYI393331:UYN393336 VIE393331:VIJ393336 VSA393331:VSF393336 WBW393331:WCB393336 WLS393331:WLX393336 WVO393331:WVT393336 G458867:L458872 JC458867:JH458872 SY458867:TD458872 ACU458867:ACZ458872 AMQ458867:AMV458872 AWM458867:AWR458872 BGI458867:BGN458872 BQE458867:BQJ458872 CAA458867:CAF458872 CJW458867:CKB458872 CTS458867:CTX458872 DDO458867:DDT458872 DNK458867:DNP458872 DXG458867:DXL458872 EHC458867:EHH458872 EQY458867:ERD458872 FAU458867:FAZ458872 FKQ458867:FKV458872 FUM458867:FUR458872 GEI458867:GEN458872 GOE458867:GOJ458872 GYA458867:GYF458872 HHW458867:HIB458872 HRS458867:HRX458872 IBO458867:IBT458872 ILK458867:ILP458872 IVG458867:IVL458872 JFC458867:JFH458872 JOY458867:JPD458872 JYU458867:JYZ458872 KIQ458867:KIV458872 KSM458867:KSR458872 LCI458867:LCN458872 LME458867:LMJ458872 LWA458867:LWF458872 MFW458867:MGB458872 MPS458867:MPX458872 MZO458867:MZT458872 NJK458867:NJP458872 NTG458867:NTL458872 ODC458867:ODH458872 OMY458867:OND458872 OWU458867:OWZ458872 PGQ458867:PGV458872 PQM458867:PQR458872 QAI458867:QAN458872 QKE458867:QKJ458872 QUA458867:QUF458872 RDW458867:REB458872 RNS458867:RNX458872 RXO458867:RXT458872 SHK458867:SHP458872 SRG458867:SRL458872 TBC458867:TBH458872 TKY458867:TLD458872 TUU458867:TUZ458872 UEQ458867:UEV458872 UOM458867:UOR458872 UYI458867:UYN458872 VIE458867:VIJ458872 VSA458867:VSF458872 WBW458867:WCB458872 WLS458867:WLX458872 WVO458867:WVT458872 G524403:L524408 JC524403:JH524408 SY524403:TD524408 ACU524403:ACZ524408 AMQ524403:AMV524408 AWM524403:AWR524408 BGI524403:BGN524408 BQE524403:BQJ524408 CAA524403:CAF524408 CJW524403:CKB524408 CTS524403:CTX524408 DDO524403:DDT524408 DNK524403:DNP524408 DXG524403:DXL524408 EHC524403:EHH524408 EQY524403:ERD524408 FAU524403:FAZ524408 FKQ524403:FKV524408 FUM524403:FUR524408 GEI524403:GEN524408 GOE524403:GOJ524408 GYA524403:GYF524408 HHW524403:HIB524408 HRS524403:HRX524408 IBO524403:IBT524408 ILK524403:ILP524408 IVG524403:IVL524408 JFC524403:JFH524408 JOY524403:JPD524408 JYU524403:JYZ524408 KIQ524403:KIV524408 KSM524403:KSR524408 LCI524403:LCN524408 LME524403:LMJ524408 LWA524403:LWF524408 MFW524403:MGB524408 MPS524403:MPX524408 MZO524403:MZT524408 NJK524403:NJP524408 NTG524403:NTL524408 ODC524403:ODH524408 OMY524403:OND524408 OWU524403:OWZ524408 PGQ524403:PGV524408 PQM524403:PQR524408 QAI524403:QAN524408 QKE524403:QKJ524408 QUA524403:QUF524408 RDW524403:REB524408 RNS524403:RNX524408 RXO524403:RXT524408 SHK524403:SHP524408 SRG524403:SRL524408 TBC524403:TBH524408 TKY524403:TLD524408 TUU524403:TUZ524408 UEQ524403:UEV524408 UOM524403:UOR524408 UYI524403:UYN524408 VIE524403:VIJ524408 VSA524403:VSF524408 WBW524403:WCB524408 WLS524403:WLX524408 WVO524403:WVT524408 G589939:L589944 JC589939:JH589944 SY589939:TD589944 ACU589939:ACZ589944 AMQ589939:AMV589944 AWM589939:AWR589944 BGI589939:BGN589944 BQE589939:BQJ589944 CAA589939:CAF589944 CJW589939:CKB589944 CTS589939:CTX589944 DDO589939:DDT589944 DNK589939:DNP589944 DXG589939:DXL589944 EHC589939:EHH589944 EQY589939:ERD589944 FAU589939:FAZ589944 FKQ589939:FKV589944 FUM589939:FUR589944 GEI589939:GEN589944 GOE589939:GOJ589944 GYA589939:GYF589944 HHW589939:HIB589944 HRS589939:HRX589944 IBO589939:IBT589944 ILK589939:ILP589944 IVG589939:IVL589944 JFC589939:JFH589944 JOY589939:JPD589944 JYU589939:JYZ589944 KIQ589939:KIV589944 KSM589939:KSR589944 LCI589939:LCN589944 LME589939:LMJ589944 LWA589939:LWF589944 MFW589939:MGB589944 MPS589939:MPX589944 MZO589939:MZT589944 NJK589939:NJP589944 NTG589939:NTL589944 ODC589939:ODH589944 OMY589939:OND589944 OWU589939:OWZ589944 PGQ589939:PGV589944 PQM589939:PQR589944 QAI589939:QAN589944 QKE589939:QKJ589944 QUA589939:QUF589944 RDW589939:REB589944 RNS589939:RNX589944 RXO589939:RXT589944 SHK589939:SHP589944 SRG589939:SRL589944 TBC589939:TBH589944 TKY589939:TLD589944 TUU589939:TUZ589944 UEQ589939:UEV589944 UOM589939:UOR589944 UYI589939:UYN589944 VIE589939:VIJ589944 VSA589939:VSF589944 WBW589939:WCB589944 WLS589939:WLX589944 WVO589939:WVT589944 G655475:L655480 JC655475:JH655480 SY655475:TD655480 ACU655475:ACZ655480 AMQ655475:AMV655480 AWM655475:AWR655480 BGI655475:BGN655480 BQE655475:BQJ655480 CAA655475:CAF655480 CJW655475:CKB655480 CTS655475:CTX655480 DDO655475:DDT655480 DNK655475:DNP655480 DXG655475:DXL655480 EHC655475:EHH655480 EQY655475:ERD655480 FAU655475:FAZ655480 FKQ655475:FKV655480 FUM655475:FUR655480 GEI655475:GEN655480 GOE655475:GOJ655480 GYA655475:GYF655480 HHW655475:HIB655480 HRS655475:HRX655480 IBO655475:IBT655480 ILK655475:ILP655480 IVG655475:IVL655480 JFC655475:JFH655480 JOY655475:JPD655480 JYU655475:JYZ655480 KIQ655475:KIV655480 KSM655475:KSR655480 LCI655475:LCN655480 LME655475:LMJ655480 LWA655475:LWF655480 MFW655475:MGB655480 MPS655475:MPX655480 MZO655475:MZT655480 NJK655475:NJP655480 NTG655475:NTL655480 ODC655475:ODH655480 OMY655475:OND655480 OWU655475:OWZ655480 PGQ655475:PGV655480 PQM655475:PQR655480 QAI655475:QAN655480 QKE655475:QKJ655480 QUA655475:QUF655480 RDW655475:REB655480 RNS655475:RNX655480 RXO655475:RXT655480 SHK655475:SHP655480 SRG655475:SRL655480 TBC655475:TBH655480 TKY655475:TLD655480 TUU655475:TUZ655480 UEQ655475:UEV655480 UOM655475:UOR655480 UYI655475:UYN655480 VIE655475:VIJ655480 VSA655475:VSF655480 WBW655475:WCB655480 WLS655475:WLX655480 WVO655475:WVT655480 G721011:L721016 JC721011:JH721016 SY721011:TD721016 ACU721011:ACZ721016 AMQ721011:AMV721016 AWM721011:AWR721016 BGI721011:BGN721016 BQE721011:BQJ721016 CAA721011:CAF721016 CJW721011:CKB721016 CTS721011:CTX721016 DDO721011:DDT721016 DNK721011:DNP721016 DXG721011:DXL721016 EHC721011:EHH721016 EQY721011:ERD721016 FAU721011:FAZ721016 FKQ721011:FKV721016 FUM721011:FUR721016 GEI721011:GEN721016 GOE721011:GOJ721016 GYA721011:GYF721016 HHW721011:HIB721016 HRS721011:HRX721016 IBO721011:IBT721016 ILK721011:ILP721016 IVG721011:IVL721016 JFC721011:JFH721016 JOY721011:JPD721016 JYU721011:JYZ721016 KIQ721011:KIV721016 KSM721011:KSR721016 LCI721011:LCN721016 LME721011:LMJ721016 LWA721011:LWF721016 MFW721011:MGB721016 MPS721011:MPX721016 MZO721011:MZT721016 NJK721011:NJP721016 NTG721011:NTL721016 ODC721011:ODH721016 OMY721011:OND721016 OWU721011:OWZ721016 PGQ721011:PGV721016 PQM721011:PQR721016 QAI721011:QAN721016 QKE721011:QKJ721016 QUA721011:QUF721016 RDW721011:REB721016 RNS721011:RNX721016 RXO721011:RXT721016 SHK721011:SHP721016 SRG721011:SRL721016 TBC721011:TBH721016 TKY721011:TLD721016 TUU721011:TUZ721016 UEQ721011:UEV721016 UOM721011:UOR721016 UYI721011:UYN721016 VIE721011:VIJ721016 VSA721011:VSF721016 WBW721011:WCB721016 WLS721011:WLX721016 WVO721011:WVT721016 G786547:L786552 JC786547:JH786552 SY786547:TD786552 ACU786547:ACZ786552 AMQ786547:AMV786552 AWM786547:AWR786552 BGI786547:BGN786552 BQE786547:BQJ786552 CAA786547:CAF786552 CJW786547:CKB786552 CTS786547:CTX786552 DDO786547:DDT786552 DNK786547:DNP786552 DXG786547:DXL786552 EHC786547:EHH786552 EQY786547:ERD786552 FAU786547:FAZ786552 FKQ786547:FKV786552 FUM786547:FUR786552 GEI786547:GEN786552 GOE786547:GOJ786552 GYA786547:GYF786552 HHW786547:HIB786552 HRS786547:HRX786552 IBO786547:IBT786552 ILK786547:ILP786552 IVG786547:IVL786552 JFC786547:JFH786552 JOY786547:JPD786552 JYU786547:JYZ786552 KIQ786547:KIV786552 KSM786547:KSR786552 LCI786547:LCN786552 LME786547:LMJ786552 LWA786547:LWF786552 MFW786547:MGB786552 MPS786547:MPX786552 MZO786547:MZT786552 NJK786547:NJP786552 NTG786547:NTL786552 ODC786547:ODH786552 OMY786547:OND786552 OWU786547:OWZ786552 PGQ786547:PGV786552 PQM786547:PQR786552 QAI786547:QAN786552 QKE786547:QKJ786552 QUA786547:QUF786552 RDW786547:REB786552 RNS786547:RNX786552 RXO786547:RXT786552 SHK786547:SHP786552 SRG786547:SRL786552 TBC786547:TBH786552 TKY786547:TLD786552 TUU786547:TUZ786552 UEQ786547:UEV786552 UOM786547:UOR786552 UYI786547:UYN786552 VIE786547:VIJ786552 VSA786547:VSF786552 WBW786547:WCB786552 WLS786547:WLX786552 WVO786547:WVT786552 G852083:L852088 JC852083:JH852088 SY852083:TD852088 ACU852083:ACZ852088 AMQ852083:AMV852088 AWM852083:AWR852088 BGI852083:BGN852088 BQE852083:BQJ852088 CAA852083:CAF852088 CJW852083:CKB852088 CTS852083:CTX852088 DDO852083:DDT852088 DNK852083:DNP852088 DXG852083:DXL852088 EHC852083:EHH852088 EQY852083:ERD852088 FAU852083:FAZ852088 FKQ852083:FKV852088 FUM852083:FUR852088 GEI852083:GEN852088 GOE852083:GOJ852088 GYA852083:GYF852088 HHW852083:HIB852088 HRS852083:HRX852088 IBO852083:IBT852088 ILK852083:ILP852088 IVG852083:IVL852088 JFC852083:JFH852088 JOY852083:JPD852088 JYU852083:JYZ852088 KIQ852083:KIV852088 KSM852083:KSR852088 LCI852083:LCN852088 LME852083:LMJ852088 LWA852083:LWF852088 MFW852083:MGB852088 MPS852083:MPX852088 MZO852083:MZT852088 NJK852083:NJP852088 NTG852083:NTL852088 ODC852083:ODH852088 OMY852083:OND852088 OWU852083:OWZ852088 PGQ852083:PGV852088 PQM852083:PQR852088 QAI852083:QAN852088 QKE852083:QKJ852088 QUA852083:QUF852088 RDW852083:REB852088 RNS852083:RNX852088 RXO852083:RXT852088 SHK852083:SHP852088 SRG852083:SRL852088 TBC852083:TBH852088 TKY852083:TLD852088 TUU852083:TUZ852088 UEQ852083:UEV852088 UOM852083:UOR852088 UYI852083:UYN852088 VIE852083:VIJ852088 VSA852083:VSF852088 WBW852083:WCB852088 WLS852083:WLX852088 WVO852083:WVT852088 G917619:L917624 JC917619:JH917624 SY917619:TD917624 ACU917619:ACZ917624 AMQ917619:AMV917624 AWM917619:AWR917624 BGI917619:BGN917624 BQE917619:BQJ917624 CAA917619:CAF917624 CJW917619:CKB917624 CTS917619:CTX917624 DDO917619:DDT917624 DNK917619:DNP917624 DXG917619:DXL917624 EHC917619:EHH917624 EQY917619:ERD917624 FAU917619:FAZ917624 FKQ917619:FKV917624 FUM917619:FUR917624 GEI917619:GEN917624 GOE917619:GOJ917624 GYA917619:GYF917624 HHW917619:HIB917624 HRS917619:HRX917624 IBO917619:IBT917624 ILK917619:ILP917624 IVG917619:IVL917624 JFC917619:JFH917624 JOY917619:JPD917624 JYU917619:JYZ917624 KIQ917619:KIV917624 KSM917619:KSR917624 LCI917619:LCN917624 LME917619:LMJ917624 LWA917619:LWF917624 MFW917619:MGB917624 MPS917619:MPX917624 MZO917619:MZT917624 NJK917619:NJP917624 NTG917619:NTL917624 ODC917619:ODH917624 OMY917619:OND917624 OWU917619:OWZ917624 PGQ917619:PGV917624 PQM917619:PQR917624 QAI917619:QAN917624 QKE917619:QKJ917624 QUA917619:QUF917624 RDW917619:REB917624 RNS917619:RNX917624 RXO917619:RXT917624 SHK917619:SHP917624 SRG917619:SRL917624 TBC917619:TBH917624 TKY917619:TLD917624 TUU917619:TUZ917624 UEQ917619:UEV917624 UOM917619:UOR917624 UYI917619:UYN917624 VIE917619:VIJ917624 VSA917619:VSF917624 WBW917619:WCB917624 WLS917619:WLX917624 WVO917619:WVT917624 G983155:L983160 JC983155:JH983160 SY983155:TD983160 ACU983155:ACZ983160 AMQ983155:AMV983160 AWM983155:AWR983160 BGI983155:BGN983160 BQE983155:BQJ983160 CAA983155:CAF983160 CJW983155:CKB983160 CTS983155:CTX983160 DDO983155:DDT983160 DNK983155:DNP983160 DXG983155:DXL983160 EHC983155:EHH983160 EQY983155:ERD983160 FAU983155:FAZ983160 FKQ983155:FKV983160 FUM983155:FUR983160 GEI983155:GEN983160 GOE983155:GOJ983160 GYA983155:GYF983160 HHW983155:HIB983160 HRS983155:HRX983160 IBO983155:IBT983160 ILK983155:ILP983160 IVG983155:IVL983160 JFC983155:JFH983160 JOY983155:JPD983160 JYU983155:JYZ983160 KIQ983155:KIV983160 KSM983155:KSR983160 LCI983155:LCN983160 LME983155:LMJ983160 LWA983155:LWF983160 MFW983155:MGB983160 MPS983155:MPX983160 MZO983155:MZT983160 NJK983155:NJP983160 NTG983155:NTL983160 ODC983155:ODH983160 OMY983155:OND983160 OWU983155:OWZ983160 PGQ983155:PGV983160 PQM983155:PQR983160 QAI983155:QAN983160 QKE983155:QKJ983160 QUA983155:QUF983160 RDW983155:REB983160 RNS983155:RNX983160 RXO983155:RXT983160 SHK983155:SHP983160 SRG983155:SRL983160 TBC983155:TBH983160 TKY983155:TLD983160 TUU983155:TUZ983160 UEQ983155:UEV983160 UOM983155:UOR983160 UYI983155:UYN983160 VIE983155:VIJ983160 VSA983155:VSF983160 WBW983155:WCB983160 WLS983155:WLX983160 G111:G117 H111:L114 H116:L117">
      <formula1>"Yes, No"</formula1>
    </dataValidation>
  </dataValidations>
  <hyperlinks>
    <hyperlink ref="B25" location="SMPI_Parameters" display="Parameters"/>
    <hyperlink ref="B26" location="SMPI_Assumptions" display="SMPI Assumptions"/>
    <hyperlink ref="B27" location="SMPI_Fund_Assumptions" display="Fund Assumptions"/>
    <hyperlink ref="B28" location="SMPI_Data" display="Data "/>
    <hyperlink ref="B29" location="SMPI_Output" display="Fields to be included in the calculation output"/>
  </hyperlinks>
  <pageMargins left="0.7" right="0.7" top="0.75" bottom="0.75" header="0.3" footer="0.3"/>
  <pageSetup paperSize="9" orientation="portrait" r:id="rId1"/>
  <legacyDrawing r:id="rId2"/>
</worksheet>
</file>

<file path=xl/worksheets/sheet11.xml><?xml version="1.0" encoding="utf-8"?>
<worksheet xmlns="http://schemas.openxmlformats.org/spreadsheetml/2006/main" xmlns:r="http://schemas.openxmlformats.org/officeDocument/2006/relationships">
  <sheetPr codeName="Sheet2"/>
  <dimension ref="A1:P465"/>
  <sheetViews>
    <sheetView topLeftCell="A437" zoomScale="80" zoomScaleNormal="80" workbookViewId="0">
      <selection activeCell="J54" sqref="J54"/>
    </sheetView>
  </sheetViews>
  <sheetFormatPr defaultColWidth="11.7109375" defaultRowHeight="15"/>
  <cols>
    <col min="1" max="1" width="3.7109375" style="139" customWidth="1"/>
    <col min="2" max="2" width="16.5703125" style="139" customWidth="1"/>
    <col min="3" max="8" width="11.7109375" style="139"/>
    <col min="9" max="9" width="11.7109375" style="139" customWidth="1"/>
    <col min="10" max="256" width="11.7109375" style="139"/>
    <col min="257" max="257" width="3.7109375" style="139" customWidth="1"/>
    <col min="258" max="258" width="16.5703125" style="139" customWidth="1"/>
    <col min="259" max="264" width="11.7109375" style="139"/>
    <col min="265" max="265" width="11.7109375" style="139" customWidth="1"/>
    <col min="266" max="512" width="11.7109375" style="139"/>
    <col min="513" max="513" width="3.7109375" style="139" customWidth="1"/>
    <col min="514" max="514" width="16.5703125" style="139" customWidth="1"/>
    <col min="515" max="520" width="11.7109375" style="139"/>
    <col min="521" max="521" width="11.7109375" style="139" customWidth="1"/>
    <col min="522" max="768" width="11.7109375" style="139"/>
    <col min="769" max="769" width="3.7109375" style="139" customWidth="1"/>
    <col min="770" max="770" width="16.5703125" style="139" customWidth="1"/>
    <col min="771" max="776" width="11.7109375" style="139"/>
    <col min="777" max="777" width="11.7109375" style="139" customWidth="1"/>
    <col min="778" max="1024" width="11.7109375" style="139"/>
    <col min="1025" max="1025" width="3.7109375" style="139" customWidth="1"/>
    <col min="1026" max="1026" width="16.5703125" style="139" customWidth="1"/>
    <col min="1027" max="1032" width="11.7109375" style="139"/>
    <col min="1033" max="1033" width="11.7109375" style="139" customWidth="1"/>
    <col min="1034" max="1280" width="11.7109375" style="139"/>
    <col min="1281" max="1281" width="3.7109375" style="139" customWidth="1"/>
    <col min="1282" max="1282" width="16.5703125" style="139" customWidth="1"/>
    <col min="1283" max="1288" width="11.7109375" style="139"/>
    <col min="1289" max="1289" width="11.7109375" style="139" customWidth="1"/>
    <col min="1290" max="1536" width="11.7109375" style="139"/>
    <col min="1537" max="1537" width="3.7109375" style="139" customWidth="1"/>
    <col min="1538" max="1538" width="16.5703125" style="139" customWidth="1"/>
    <col min="1539" max="1544" width="11.7109375" style="139"/>
    <col min="1545" max="1545" width="11.7109375" style="139" customWidth="1"/>
    <col min="1546" max="1792" width="11.7109375" style="139"/>
    <col min="1793" max="1793" width="3.7109375" style="139" customWidth="1"/>
    <col min="1794" max="1794" width="16.5703125" style="139" customWidth="1"/>
    <col min="1795" max="1800" width="11.7109375" style="139"/>
    <col min="1801" max="1801" width="11.7109375" style="139" customWidth="1"/>
    <col min="1802" max="2048" width="11.7109375" style="139"/>
    <col min="2049" max="2049" width="3.7109375" style="139" customWidth="1"/>
    <col min="2050" max="2050" width="16.5703125" style="139" customWidth="1"/>
    <col min="2051" max="2056" width="11.7109375" style="139"/>
    <col min="2057" max="2057" width="11.7109375" style="139" customWidth="1"/>
    <col min="2058" max="2304" width="11.7109375" style="139"/>
    <col min="2305" max="2305" width="3.7109375" style="139" customWidth="1"/>
    <col min="2306" max="2306" width="16.5703125" style="139" customWidth="1"/>
    <col min="2307" max="2312" width="11.7109375" style="139"/>
    <col min="2313" max="2313" width="11.7109375" style="139" customWidth="1"/>
    <col min="2314" max="2560" width="11.7109375" style="139"/>
    <col min="2561" max="2561" width="3.7109375" style="139" customWidth="1"/>
    <col min="2562" max="2562" width="16.5703125" style="139" customWidth="1"/>
    <col min="2563" max="2568" width="11.7109375" style="139"/>
    <col min="2569" max="2569" width="11.7109375" style="139" customWidth="1"/>
    <col min="2570" max="2816" width="11.7109375" style="139"/>
    <col min="2817" max="2817" width="3.7109375" style="139" customWidth="1"/>
    <col min="2818" max="2818" width="16.5703125" style="139" customWidth="1"/>
    <col min="2819" max="2824" width="11.7109375" style="139"/>
    <col min="2825" max="2825" width="11.7109375" style="139" customWidth="1"/>
    <col min="2826" max="3072" width="11.7109375" style="139"/>
    <col min="3073" max="3073" width="3.7109375" style="139" customWidth="1"/>
    <col min="3074" max="3074" width="16.5703125" style="139" customWidth="1"/>
    <col min="3075" max="3080" width="11.7109375" style="139"/>
    <col min="3081" max="3081" width="11.7109375" style="139" customWidth="1"/>
    <col min="3082" max="3328" width="11.7109375" style="139"/>
    <col min="3329" max="3329" width="3.7109375" style="139" customWidth="1"/>
    <col min="3330" max="3330" width="16.5703125" style="139" customWidth="1"/>
    <col min="3331" max="3336" width="11.7109375" style="139"/>
    <col min="3337" max="3337" width="11.7109375" style="139" customWidth="1"/>
    <col min="3338" max="3584" width="11.7109375" style="139"/>
    <col min="3585" max="3585" width="3.7109375" style="139" customWidth="1"/>
    <col min="3586" max="3586" width="16.5703125" style="139" customWidth="1"/>
    <col min="3587" max="3592" width="11.7109375" style="139"/>
    <col min="3593" max="3593" width="11.7109375" style="139" customWidth="1"/>
    <col min="3594" max="3840" width="11.7109375" style="139"/>
    <col min="3841" max="3841" width="3.7109375" style="139" customWidth="1"/>
    <col min="3842" max="3842" width="16.5703125" style="139" customWidth="1"/>
    <col min="3843" max="3848" width="11.7109375" style="139"/>
    <col min="3849" max="3849" width="11.7109375" style="139" customWidth="1"/>
    <col min="3850" max="4096" width="11.7109375" style="139"/>
    <col min="4097" max="4097" width="3.7109375" style="139" customWidth="1"/>
    <col min="4098" max="4098" width="16.5703125" style="139" customWidth="1"/>
    <col min="4099" max="4104" width="11.7109375" style="139"/>
    <col min="4105" max="4105" width="11.7109375" style="139" customWidth="1"/>
    <col min="4106" max="4352" width="11.7109375" style="139"/>
    <col min="4353" max="4353" width="3.7109375" style="139" customWidth="1"/>
    <col min="4354" max="4354" width="16.5703125" style="139" customWidth="1"/>
    <col min="4355" max="4360" width="11.7109375" style="139"/>
    <col min="4361" max="4361" width="11.7109375" style="139" customWidth="1"/>
    <col min="4362" max="4608" width="11.7109375" style="139"/>
    <col min="4609" max="4609" width="3.7109375" style="139" customWidth="1"/>
    <col min="4610" max="4610" width="16.5703125" style="139" customWidth="1"/>
    <col min="4611" max="4616" width="11.7109375" style="139"/>
    <col min="4617" max="4617" width="11.7109375" style="139" customWidth="1"/>
    <col min="4618" max="4864" width="11.7109375" style="139"/>
    <col min="4865" max="4865" width="3.7109375" style="139" customWidth="1"/>
    <col min="4866" max="4866" width="16.5703125" style="139" customWidth="1"/>
    <col min="4867" max="4872" width="11.7109375" style="139"/>
    <col min="4873" max="4873" width="11.7109375" style="139" customWidth="1"/>
    <col min="4874" max="5120" width="11.7109375" style="139"/>
    <col min="5121" max="5121" width="3.7109375" style="139" customWidth="1"/>
    <col min="5122" max="5122" width="16.5703125" style="139" customWidth="1"/>
    <col min="5123" max="5128" width="11.7109375" style="139"/>
    <col min="5129" max="5129" width="11.7109375" style="139" customWidth="1"/>
    <col min="5130" max="5376" width="11.7109375" style="139"/>
    <col min="5377" max="5377" width="3.7109375" style="139" customWidth="1"/>
    <col min="5378" max="5378" width="16.5703125" style="139" customWidth="1"/>
    <col min="5379" max="5384" width="11.7109375" style="139"/>
    <col min="5385" max="5385" width="11.7109375" style="139" customWidth="1"/>
    <col min="5386" max="5632" width="11.7109375" style="139"/>
    <col min="5633" max="5633" width="3.7109375" style="139" customWidth="1"/>
    <col min="5634" max="5634" width="16.5703125" style="139" customWidth="1"/>
    <col min="5635" max="5640" width="11.7109375" style="139"/>
    <col min="5641" max="5641" width="11.7109375" style="139" customWidth="1"/>
    <col min="5642" max="5888" width="11.7109375" style="139"/>
    <col min="5889" max="5889" width="3.7109375" style="139" customWidth="1"/>
    <col min="5890" max="5890" width="16.5703125" style="139" customWidth="1"/>
    <col min="5891" max="5896" width="11.7109375" style="139"/>
    <col min="5897" max="5897" width="11.7109375" style="139" customWidth="1"/>
    <col min="5898" max="6144" width="11.7109375" style="139"/>
    <col min="6145" max="6145" width="3.7109375" style="139" customWidth="1"/>
    <col min="6146" max="6146" width="16.5703125" style="139" customWidth="1"/>
    <col min="6147" max="6152" width="11.7109375" style="139"/>
    <col min="6153" max="6153" width="11.7109375" style="139" customWidth="1"/>
    <col min="6154" max="6400" width="11.7109375" style="139"/>
    <col min="6401" max="6401" width="3.7109375" style="139" customWidth="1"/>
    <col min="6402" max="6402" width="16.5703125" style="139" customWidth="1"/>
    <col min="6403" max="6408" width="11.7109375" style="139"/>
    <col min="6409" max="6409" width="11.7109375" style="139" customWidth="1"/>
    <col min="6410" max="6656" width="11.7109375" style="139"/>
    <col min="6657" max="6657" width="3.7109375" style="139" customWidth="1"/>
    <col min="6658" max="6658" width="16.5703125" style="139" customWidth="1"/>
    <col min="6659" max="6664" width="11.7109375" style="139"/>
    <col min="6665" max="6665" width="11.7109375" style="139" customWidth="1"/>
    <col min="6666" max="6912" width="11.7109375" style="139"/>
    <col min="6913" max="6913" width="3.7109375" style="139" customWidth="1"/>
    <col min="6914" max="6914" width="16.5703125" style="139" customWidth="1"/>
    <col min="6915" max="6920" width="11.7109375" style="139"/>
    <col min="6921" max="6921" width="11.7109375" style="139" customWidth="1"/>
    <col min="6922" max="7168" width="11.7109375" style="139"/>
    <col min="7169" max="7169" width="3.7109375" style="139" customWidth="1"/>
    <col min="7170" max="7170" width="16.5703125" style="139" customWidth="1"/>
    <col min="7171" max="7176" width="11.7109375" style="139"/>
    <col min="7177" max="7177" width="11.7109375" style="139" customWidth="1"/>
    <col min="7178" max="7424" width="11.7109375" style="139"/>
    <col min="7425" max="7425" width="3.7109375" style="139" customWidth="1"/>
    <col min="7426" max="7426" width="16.5703125" style="139" customWidth="1"/>
    <col min="7427" max="7432" width="11.7109375" style="139"/>
    <col min="7433" max="7433" width="11.7109375" style="139" customWidth="1"/>
    <col min="7434" max="7680" width="11.7109375" style="139"/>
    <col min="7681" max="7681" width="3.7109375" style="139" customWidth="1"/>
    <col min="7682" max="7682" width="16.5703125" style="139" customWidth="1"/>
    <col min="7683" max="7688" width="11.7109375" style="139"/>
    <col min="7689" max="7689" width="11.7109375" style="139" customWidth="1"/>
    <col min="7690" max="7936" width="11.7109375" style="139"/>
    <col min="7937" max="7937" width="3.7109375" style="139" customWidth="1"/>
    <col min="7938" max="7938" width="16.5703125" style="139" customWidth="1"/>
    <col min="7939" max="7944" width="11.7109375" style="139"/>
    <col min="7945" max="7945" width="11.7109375" style="139" customWidth="1"/>
    <col min="7946" max="8192" width="11.7109375" style="139"/>
    <col min="8193" max="8193" width="3.7109375" style="139" customWidth="1"/>
    <col min="8194" max="8194" width="16.5703125" style="139" customWidth="1"/>
    <col min="8195" max="8200" width="11.7109375" style="139"/>
    <col min="8201" max="8201" width="11.7109375" style="139" customWidth="1"/>
    <col min="8202" max="8448" width="11.7109375" style="139"/>
    <col min="8449" max="8449" width="3.7109375" style="139" customWidth="1"/>
    <col min="8450" max="8450" width="16.5703125" style="139" customWidth="1"/>
    <col min="8451" max="8456" width="11.7109375" style="139"/>
    <col min="8457" max="8457" width="11.7109375" style="139" customWidth="1"/>
    <col min="8458" max="8704" width="11.7109375" style="139"/>
    <col min="8705" max="8705" width="3.7109375" style="139" customWidth="1"/>
    <col min="8706" max="8706" width="16.5703125" style="139" customWidth="1"/>
    <col min="8707" max="8712" width="11.7109375" style="139"/>
    <col min="8713" max="8713" width="11.7109375" style="139" customWidth="1"/>
    <col min="8714" max="8960" width="11.7109375" style="139"/>
    <col min="8961" max="8961" width="3.7109375" style="139" customWidth="1"/>
    <col min="8962" max="8962" width="16.5703125" style="139" customWidth="1"/>
    <col min="8963" max="8968" width="11.7109375" style="139"/>
    <col min="8969" max="8969" width="11.7109375" style="139" customWidth="1"/>
    <col min="8970" max="9216" width="11.7109375" style="139"/>
    <col min="9217" max="9217" width="3.7109375" style="139" customWidth="1"/>
    <col min="9218" max="9218" width="16.5703125" style="139" customWidth="1"/>
    <col min="9219" max="9224" width="11.7109375" style="139"/>
    <col min="9225" max="9225" width="11.7109375" style="139" customWidth="1"/>
    <col min="9226" max="9472" width="11.7109375" style="139"/>
    <col min="9473" max="9473" width="3.7109375" style="139" customWidth="1"/>
    <col min="9474" max="9474" width="16.5703125" style="139" customWidth="1"/>
    <col min="9475" max="9480" width="11.7109375" style="139"/>
    <col min="9481" max="9481" width="11.7109375" style="139" customWidth="1"/>
    <col min="9482" max="9728" width="11.7109375" style="139"/>
    <col min="9729" max="9729" width="3.7109375" style="139" customWidth="1"/>
    <col min="9730" max="9730" width="16.5703125" style="139" customWidth="1"/>
    <col min="9731" max="9736" width="11.7109375" style="139"/>
    <col min="9737" max="9737" width="11.7109375" style="139" customWidth="1"/>
    <col min="9738" max="9984" width="11.7109375" style="139"/>
    <col min="9985" max="9985" width="3.7109375" style="139" customWidth="1"/>
    <col min="9986" max="9986" width="16.5703125" style="139" customWidth="1"/>
    <col min="9987" max="9992" width="11.7109375" style="139"/>
    <col min="9993" max="9993" width="11.7109375" style="139" customWidth="1"/>
    <col min="9994" max="10240" width="11.7109375" style="139"/>
    <col min="10241" max="10241" width="3.7109375" style="139" customWidth="1"/>
    <col min="10242" max="10242" width="16.5703125" style="139" customWidth="1"/>
    <col min="10243" max="10248" width="11.7109375" style="139"/>
    <col min="10249" max="10249" width="11.7109375" style="139" customWidth="1"/>
    <col min="10250" max="10496" width="11.7109375" style="139"/>
    <col min="10497" max="10497" width="3.7109375" style="139" customWidth="1"/>
    <col min="10498" max="10498" width="16.5703125" style="139" customWidth="1"/>
    <col min="10499" max="10504" width="11.7109375" style="139"/>
    <col min="10505" max="10505" width="11.7109375" style="139" customWidth="1"/>
    <col min="10506" max="10752" width="11.7109375" style="139"/>
    <col min="10753" max="10753" width="3.7109375" style="139" customWidth="1"/>
    <col min="10754" max="10754" width="16.5703125" style="139" customWidth="1"/>
    <col min="10755" max="10760" width="11.7109375" style="139"/>
    <col min="10761" max="10761" width="11.7109375" style="139" customWidth="1"/>
    <col min="10762" max="11008" width="11.7109375" style="139"/>
    <col min="11009" max="11009" width="3.7109375" style="139" customWidth="1"/>
    <col min="11010" max="11010" width="16.5703125" style="139" customWidth="1"/>
    <col min="11011" max="11016" width="11.7109375" style="139"/>
    <col min="11017" max="11017" width="11.7109375" style="139" customWidth="1"/>
    <col min="11018" max="11264" width="11.7109375" style="139"/>
    <col min="11265" max="11265" width="3.7109375" style="139" customWidth="1"/>
    <col min="11266" max="11266" width="16.5703125" style="139" customWidth="1"/>
    <col min="11267" max="11272" width="11.7109375" style="139"/>
    <col min="11273" max="11273" width="11.7109375" style="139" customWidth="1"/>
    <col min="11274" max="11520" width="11.7109375" style="139"/>
    <col min="11521" max="11521" width="3.7109375" style="139" customWidth="1"/>
    <col min="11522" max="11522" width="16.5703125" style="139" customWidth="1"/>
    <col min="11523" max="11528" width="11.7109375" style="139"/>
    <col min="11529" max="11529" width="11.7109375" style="139" customWidth="1"/>
    <col min="11530" max="11776" width="11.7109375" style="139"/>
    <col min="11777" max="11777" width="3.7109375" style="139" customWidth="1"/>
    <col min="11778" max="11778" width="16.5703125" style="139" customWidth="1"/>
    <col min="11779" max="11784" width="11.7109375" style="139"/>
    <col min="11785" max="11785" width="11.7109375" style="139" customWidth="1"/>
    <col min="11786" max="12032" width="11.7109375" style="139"/>
    <col min="12033" max="12033" width="3.7109375" style="139" customWidth="1"/>
    <col min="12034" max="12034" width="16.5703125" style="139" customWidth="1"/>
    <col min="12035" max="12040" width="11.7109375" style="139"/>
    <col min="12041" max="12041" width="11.7109375" style="139" customWidth="1"/>
    <col min="12042" max="12288" width="11.7109375" style="139"/>
    <col min="12289" max="12289" width="3.7109375" style="139" customWidth="1"/>
    <col min="12290" max="12290" width="16.5703125" style="139" customWidth="1"/>
    <col min="12291" max="12296" width="11.7109375" style="139"/>
    <col min="12297" max="12297" width="11.7109375" style="139" customWidth="1"/>
    <col min="12298" max="12544" width="11.7109375" style="139"/>
    <col min="12545" max="12545" width="3.7109375" style="139" customWidth="1"/>
    <col min="12546" max="12546" width="16.5703125" style="139" customWidth="1"/>
    <col min="12547" max="12552" width="11.7109375" style="139"/>
    <col min="12553" max="12553" width="11.7109375" style="139" customWidth="1"/>
    <col min="12554" max="12800" width="11.7109375" style="139"/>
    <col min="12801" max="12801" width="3.7109375" style="139" customWidth="1"/>
    <col min="12802" max="12802" width="16.5703125" style="139" customWidth="1"/>
    <col min="12803" max="12808" width="11.7109375" style="139"/>
    <col min="12809" max="12809" width="11.7109375" style="139" customWidth="1"/>
    <col min="12810" max="13056" width="11.7109375" style="139"/>
    <col min="13057" max="13057" width="3.7109375" style="139" customWidth="1"/>
    <col min="13058" max="13058" width="16.5703125" style="139" customWidth="1"/>
    <col min="13059" max="13064" width="11.7109375" style="139"/>
    <col min="13065" max="13065" width="11.7109375" style="139" customWidth="1"/>
    <col min="13066" max="13312" width="11.7109375" style="139"/>
    <col min="13313" max="13313" width="3.7109375" style="139" customWidth="1"/>
    <col min="13314" max="13314" width="16.5703125" style="139" customWidth="1"/>
    <col min="13315" max="13320" width="11.7109375" style="139"/>
    <col min="13321" max="13321" width="11.7109375" style="139" customWidth="1"/>
    <col min="13322" max="13568" width="11.7109375" style="139"/>
    <col min="13569" max="13569" width="3.7109375" style="139" customWidth="1"/>
    <col min="13570" max="13570" width="16.5703125" style="139" customWidth="1"/>
    <col min="13571" max="13576" width="11.7109375" style="139"/>
    <col min="13577" max="13577" width="11.7109375" style="139" customWidth="1"/>
    <col min="13578" max="13824" width="11.7109375" style="139"/>
    <col min="13825" max="13825" width="3.7109375" style="139" customWidth="1"/>
    <col min="13826" max="13826" width="16.5703125" style="139" customWidth="1"/>
    <col min="13827" max="13832" width="11.7109375" style="139"/>
    <col min="13833" max="13833" width="11.7109375" style="139" customWidth="1"/>
    <col min="13834" max="14080" width="11.7109375" style="139"/>
    <col min="14081" max="14081" width="3.7109375" style="139" customWidth="1"/>
    <col min="14082" max="14082" width="16.5703125" style="139" customWidth="1"/>
    <col min="14083" max="14088" width="11.7109375" style="139"/>
    <col min="14089" max="14089" width="11.7109375" style="139" customWidth="1"/>
    <col min="14090" max="14336" width="11.7109375" style="139"/>
    <col min="14337" max="14337" width="3.7109375" style="139" customWidth="1"/>
    <col min="14338" max="14338" width="16.5703125" style="139" customWidth="1"/>
    <col min="14339" max="14344" width="11.7109375" style="139"/>
    <col min="14345" max="14345" width="11.7109375" style="139" customWidth="1"/>
    <col min="14346" max="14592" width="11.7109375" style="139"/>
    <col min="14593" max="14593" width="3.7109375" style="139" customWidth="1"/>
    <col min="14594" max="14594" width="16.5703125" style="139" customWidth="1"/>
    <col min="14595" max="14600" width="11.7109375" style="139"/>
    <col min="14601" max="14601" width="11.7109375" style="139" customWidth="1"/>
    <col min="14602" max="14848" width="11.7109375" style="139"/>
    <col min="14849" max="14849" width="3.7109375" style="139" customWidth="1"/>
    <col min="14850" max="14850" width="16.5703125" style="139" customWidth="1"/>
    <col min="14851" max="14856" width="11.7109375" style="139"/>
    <col min="14857" max="14857" width="11.7109375" style="139" customWidth="1"/>
    <col min="14858" max="15104" width="11.7109375" style="139"/>
    <col min="15105" max="15105" width="3.7109375" style="139" customWidth="1"/>
    <col min="15106" max="15106" width="16.5703125" style="139" customWidth="1"/>
    <col min="15107" max="15112" width="11.7109375" style="139"/>
    <col min="15113" max="15113" width="11.7109375" style="139" customWidth="1"/>
    <col min="15114" max="15360" width="11.7109375" style="139"/>
    <col min="15361" max="15361" width="3.7109375" style="139" customWidth="1"/>
    <col min="15362" max="15362" width="16.5703125" style="139" customWidth="1"/>
    <col min="15363" max="15368" width="11.7109375" style="139"/>
    <col min="15369" max="15369" width="11.7109375" style="139" customWidth="1"/>
    <col min="15370" max="15616" width="11.7109375" style="139"/>
    <col min="15617" max="15617" width="3.7109375" style="139" customWidth="1"/>
    <col min="15618" max="15618" width="16.5703125" style="139" customWidth="1"/>
    <col min="15619" max="15624" width="11.7109375" style="139"/>
    <col min="15625" max="15625" width="11.7109375" style="139" customWidth="1"/>
    <col min="15626" max="15872" width="11.7109375" style="139"/>
    <col min="15873" max="15873" width="3.7109375" style="139" customWidth="1"/>
    <col min="15874" max="15874" width="16.5703125" style="139" customWidth="1"/>
    <col min="15875" max="15880" width="11.7109375" style="139"/>
    <col min="15881" max="15881" width="11.7109375" style="139" customWidth="1"/>
    <col min="15882" max="16128" width="11.7109375" style="139"/>
    <col min="16129" max="16129" width="3.7109375" style="139" customWidth="1"/>
    <col min="16130" max="16130" width="16.5703125" style="139" customWidth="1"/>
    <col min="16131" max="16136" width="11.7109375" style="139"/>
    <col min="16137" max="16137" width="11.7109375" style="139" customWidth="1"/>
    <col min="16138" max="16384" width="11.7109375" style="139"/>
  </cols>
  <sheetData>
    <row r="1" spans="1:16" ht="18.75">
      <c r="A1" s="507"/>
      <c r="B1" s="507" t="s">
        <v>841</v>
      </c>
      <c r="C1" s="507"/>
      <c r="D1" s="507"/>
      <c r="E1" s="508"/>
      <c r="F1" s="509"/>
      <c r="G1" s="509"/>
      <c r="H1" s="509"/>
      <c r="I1" s="509"/>
      <c r="J1" s="509"/>
      <c r="K1" s="509"/>
      <c r="L1" s="509"/>
      <c r="M1" s="509"/>
      <c r="N1" s="509"/>
      <c r="O1" s="509"/>
      <c r="P1" s="509"/>
    </row>
    <row r="2" spans="1:16" ht="18.75">
      <c r="A2" s="507"/>
      <c r="B2" s="507"/>
      <c r="C2" s="507"/>
      <c r="D2" s="507"/>
      <c r="E2" s="508"/>
      <c r="F2" s="509"/>
      <c r="G2" s="509"/>
      <c r="H2" s="509"/>
      <c r="I2" s="509"/>
      <c r="J2" s="509"/>
      <c r="K2" s="509"/>
      <c r="L2" s="509"/>
      <c r="M2" s="509"/>
      <c r="N2" s="509"/>
      <c r="O2" s="509"/>
      <c r="P2" s="509"/>
    </row>
    <row r="3" spans="1:16" s="241" customFormat="1" ht="15" customHeight="1">
      <c r="A3" s="323"/>
      <c r="B3" s="11" t="s">
        <v>121</v>
      </c>
      <c r="C3" s="209"/>
      <c r="D3" s="18"/>
      <c r="E3" s="18"/>
      <c r="F3" s="18"/>
      <c r="G3" s="356"/>
      <c r="H3" s="18"/>
      <c r="I3" s="18"/>
      <c r="J3" s="18"/>
    </row>
    <row r="4" spans="1:16" s="241" customFormat="1" ht="15" customHeight="1" thickBot="1">
      <c r="A4" s="323"/>
      <c r="B4" s="204"/>
      <c r="C4" s="209"/>
      <c r="D4" s="18"/>
      <c r="E4" s="18"/>
      <c r="F4" s="18"/>
      <c r="G4" s="356"/>
      <c r="H4" s="18"/>
      <c r="I4" s="18"/>
      <c r="J4" s="18"/>
    </row>
    <row r="5" spans="1:16" s="241" customFormat="1" ht="15" customHeight="1" thickBot="1">
      <c r="A5" s="323"/>
      <c r="B5" s="487" t="s">
        <v>94</v>
      </c>
      <c r="C5" s="499" t="s">
        <v>122</v>
      </c>
      <c r="D5" s="999" t="s">
        <v>163</v>
      </c>
      <c r="E5" s="999"/>
      <c r="F5" s="999" t="s">
        <v>123</v>
      </c>
      <c r="G5" s="999"/>
      <c r="H5" s="999"/>
      <c r="I5" s="1028" t="s">
        <v>738</v>
      </c>
      <c r="J5" s="1029"/>
    </row>
    <row r="6" spans="1:16" s="241" customFormat="1" ht="15" customHeight="1">
      <c r="A6" s="323"/>
      <c r="B6" s="489"/>
      <c r="C6" s="500"/>
      <c r="D6" s="1000"/>
      <c r="E6" s="1000"/>
      <c r="F6" s="1000"/>
      <c r="G6" s="1000"/>
      <c r="H6" s="1000"/>
      <c r="I6" s="997"/>
      <c r="J6" s="998"/>
    </row>
    <row r="7" spans="1:16" s="241" customFormat="1" ht="15" customHeight="1">
      <c r="A7" s="323"/>
      <c r="B7" s="491"/>
      <c r="C7" s="501"/>
      <c r="D7" s="1022"/>
      <c r="E7" s="1022"/>
      <c r="F7" s="1022"/>
      <c r="G7" s="1022"/>
      <c r="H7" s="1022"/>
      <c r="I7" s="1023"/>
      <c r="J7" s="1024"/>
    </row>
    <row r="8" spans="1:16" s="241" customFormat="1" ht="15" customHeight="1">
      <c r="A8" s="323"/>
      <c r="B8" s="491"/>
      <c r="C8" s="501"/>
      <c r="D8" s="1022"/>
      <c r="E8" s="1022"/>
      <c r="F8" s="1022"/>
      <c r="G8" s="1022"/>
      <c r="H8" s="1022"/>
      <c r="I8" s="1023"/>
      <c r="J8" s="1024"/>
    </row>
    <row r="9" spans="1:16" s="241" customFormat="1" ht="15" customHeight="1">
      <c r="A9" s="323"/>
      <c r="B9" s="491"/>
      <c r="C9" s="501"/>
      <c r="D9" s="1022"/>
      <c r="E9" s="1022"/>
      <c r="F9" s="1022"/>
      <c r="G9" s="1022"/>
      <c r="H9" s="1022"/>
      <c r="I9" s="1023"/>
      <c r="J9" s="1024"/>
    </row>
    <row r="10" spans="1:16" s="241" customFormat="1" ht="15" customHeight="1">
      <c r="A10" s="323"/>
      <c r="B10" s="491"/>
      <c r="C10" s="501"/>
      <c r="D10" s="1022"/>
      <c r="E10" s="1022"/>
      <c r="F10" s="1022"/>
      <c r="G10" s="1022"/>
      <c r="H10" s="1022"/>
      <c r="I10" s="1023"/>
      <c r="J10" s="1024"/>
    </row>
    <row r="11" spans="1:16" s="241" customFormat="1" ht="15" customHeight="1">
      <c r="A11" s="323"/>
      <c r="B11" s="491"/>
      <c r="C11" s="501"/>
      <c r="D11" s="1022"/>
      <c r="E11" s="1022"/>
      <c r="F11" s="1022"/>
      <c r="G11" s="1022"/>
      <c r="H11" s="1022"/>
      <c r="I11" s="1023"/>
      <c r="J11" s="1024"/>
    </row>
    <row r="12" spans="1:16" s="241" customFormat="1" ht="15" customHeight="1">
      <c r="A12" s="323"/>
      <c r="B12" s="491"/>
      <c r="C12" s="501"/>
      <c r="D12" s="1022"/>
      <c r="E12" s="1022"/>
      <c r="F12" s="1022"/>
      <c r="G12" s="1022"/>
      <c r="H12" s="1022"/>
      <c r="I12" s="1023"/>
      <c r="J12" s="1024"/>
    </row>
    <row r="13" spans="1:16" s="241" customFormat="1" ht="15" customHeight="1">
      <c r="A13" s="323"/>
      <c r="B13" s="491"/>
      <c r="C13" s="501"/>
      <c r="D13" s="1022"/>
      <c r="E13" s="1022"/>
      <c r="F13" s="1022"/>
      <c r="G13" s="1022"/>
      <c r="H13" s="1022"/>
      <c r="I13" s="1023"/>
      <c r="J13" s="1024"/>
    </row>
    <row r="14" spans="1:16" s="241" customFormat="1" ht="15" customHeight="1">
      <c r="A14" s="323"/>
      <c r="B14" s="491"/>
      <c r="C14" s="501"/>
      <c r="D14" s="1022"/>
      <c r="E14" s="1022"/>
      <c r="F14" s="1022"/>
      <c r="G14" s="1022"/>
      <c r="H14" s="1022"/>
      <c r="I14" s="1023"/>
      <c r="J14" s="1024"/>
    </row>
    <row r="15" spans="1:16" s="241" customFormat="1" ht="15" customHeight="1">
      <c r="A15" s="323"/>
      <c r="B15" s="491"/>
      <c r="C15" s="501"/>
      <c r="D15" s="1022"/>
      <c r="E15" s="1022"/>
      <c r="F15" s="1022"/>
      <c r="G15" s="1022"/>
      <c r="H15" s="1022"/>
      <c r="I15" s="1023"/>
      <c r="J15" s="1024"/>
    </row>
    <row r="16" spans="1:16" s="241" customFormat="1" ht="15" customHeight="1">
      <c r="A16" s="323"/>
      <c r="B16" s="491"/>
      <c r="C16" s="501"/>
      <c r="D16" s="1022"/>
      <c r="E16" s="1022"/>
      <c r="F16" s="1022"/>
      <c r="G16" s="1022"/>
      <c r="H16" s="1022"/>
      <c r="I16" s="1023"/>
      <c r="J16" s="1024"/>
    </row>
    <row r="17" spans="1:12" s="241" customFormat="1" ht="15" customHeight="1">
      <c r="A17" s="323"/>
      <c r="B17" s="491"/>
      <c r="C17" s="501"/>
      <c r="D17" s="1022"/>
      <c r="E17" s="1022"/>
      <c r="F17" s="1022"/>
      <c r="G17" s="1022"/>
      <c r="H17" s="1022"/>
      <c r="I17" s="1023"/>
      <c r="J17" s="1024"/>
    </row>
    <row r="18" spans="1:12" s="241" customFormat="1" ht="15" customHeight="1">
      <c r="A18" s="323"/>
      <c r="B18" s="491"/>
      <c r="C18" s="501"/>
      <c r="D18" s="1022"/>
      <c r="E18" s="1022"/>
      <c r="F18" s="1022"/>
      <c r="G18" s="1022"/>
      <c r="H18" s="1022"/>
      <c r="I18" s="1023"/>
      <c r="J18" s="1024"/>
    </row>
    <row r="19" spans="1:12" s="241" customFormat="1" ht="15" customHeight="1">
      <c r="A19" s="323"/>
      <c r="B19" s="491"/>
      <c r="C19" s="501"/>
      <c r="D19" s="1022"/>
      <c r="E19" s="1022"/>
      <c r="F19" s="1022"/>
      <c r="G19" s="1022"/>
      <c r="H19" s="1022"/>
      <c r="I19" s="1023"/>
      <c r="J19" s="1024"/>
    </row>
    <row r="20" spans="1:12" s="241" customFormat="1" ht="15" customHeight="1">
      <c r="A20" s="323"/>
      <c r="B20" s="491"/>
      <c r="C20" s="501"/>
      <c r="D20" s="1022"/>
      <c r="E20" s="1022"/>
      <c r="F20" s="1022"/>
      <c r="G20" s="1022"/>
      <c r="H20" s="1022"/>
      <c r="I20" s="1023"/>
      <c r="J20" s="1024"/>
    </row>
    <row r="21" spans="1:12" s="241" customFormat="1" ht="15" customHeight="1">
      <c r="A21" s="323"/>
      <c r="B21" s="491"/>
      <c r="C21" s="501"/>
      <c r="D21" s="1022"/>
      <c r="E21" s="1022"/>
      <c r="F21" s="1022"/>
      <c r="G21" s="1022"/>
      <c r="H21" s="1022"/>
      <c r="I21" s="1023"/>
      <c r="J21" s="1024"/>
    </row>
    <row r="22" spans="1:12" s="241" customFormat="1" ht="15" customHeight="1" thickBot="1">
      <c r="A22" s="323"/>
      <c r="B22" s="492"/>
      <c r="C22" s="504"/>
      <c r="D22" s="1025"/>
      <c r="E22" s="1025"/>
      <c r="F22" s="1025"/>
      <c r="G22" s="1025"/>
      <c r="H22" s="1025"/>
      <c r="I22" s="1026"/>
      <c r="J22" s="1027"/>
    </row>
    <row r="23" spans="1:12" s="497" customFormat="1" ht="18.75">
      <c r="A23" s="561"/>
      <c r="B23" s="493"/>
      <c r="C23" s="467"/>
      <c r="D23" s="494"/>
      <c r="E23" s="494"/>
      <c r="F23" s="494"/>
      <c r="G23" s="494"/>
      <c r="H23" s="494"/>
      <c r="I23" s="494"/>
      <c r="J23" s="494"/>
    </row>
    <row r="24" spans="1:12" s="497" customFormat="1" ht="18.75">
      <c r="A24" s="561"/>
      <c r="B24" s="982" t="s">
        <v>881</v>
      </c>
      <c r="C24" s="982"/>
      <c r="D24" s="982"/>
      <c r="E24" s="982"/>
      <c r="F24" s="982"/>
      <c r="G24" s="982"/>
      <c r="H24" s="982"/>
      <c r="I24" s="982"/>
      <c r="J24" s="982"/>
    </row>
    <row r="25" spans="1:12" s="497" customFormat="1" ht="12.75">
      <c r="A25" s="419"/>
      <c r="B25" s="549" t="s">
        <v>842</v>
      </c>
      <c r="C25" s="467"/>
      <c r="D25" s="494"/>
      <c r="E25" s="494"/>
      <c r="F25" s="494"/>
      <c r="G25" s="494"/>
      <c r="H25" s="494"/>
      <c r="I25" s="494"/>
      <c r="J25" s="494"/>
    </row>
    <row r="26" spans="1:12" s="497" customFormat="1" ht="12.75">
      <c r="A26" s="419"/>
      <c r="B26" s="549" t="s">
        <v>847</v>
      </c>
      <c r="C26" s="467"/>
      <c r="D26" s="494"/>
      <c r="E26" s="494"/>
      <c r="F26" s="494"/>
      <c r="G26" s="494"/>
      <c r="H26" s="494"/>
      <c r="I26" s="494"/>
      <c r="J26" s="494"/>
    </row>
    <row r="27" spans="1:12" s="497" customFormat="1" ht="12.75">
      <c r="A27" s="419"/>
      <c r="B27" s="549" t="s">
        <v>860</v>
      </c>
      <c r="C27" s="467"/>
      <c r="D27" s="494"/>
      <c r="E27" s="494"/>
      <c r="F27" s="494"/>
      <c r="G27" s="494"/>
      <c r="H27" s="494"/>
      <c r="I27" s="494"/>
      <c r="J27" s="494"/>
    </row>
    <row r="28" spans="1:12" s="497" customFormat="1" ht="12.75">
      <c r="A28" s="419"/>
      <c r="B28" s="549" t="s">
        <v>863</v>
      </c>
      <c r="C28" s="467"/>
      <c r="D28" s="494"/>
      <c r="E28" s="494"/>
      <c r="F28" s="494"/>
      <c r="G28" s="494"/>
      <c r="H28" s="494"/>
      <c r="I28" s="494"/>
      <c r="J28" s="494"/>
    </row>
    <row r="29" spans="1:12" s="497" customFormat="1" ht="18.75">
      <c r="A29" s="561"/>
      <c r="B29" s="549"/>
      <c r="C29" s="467"/>
      <c r="D29" s="494"/>
      <c r="E29" s="494"/>
      <c r="F29" s="494"/>
      <c r="G29" s="494"/>
      <c r="H29" s="494"/>
      <c r="I29" s="494"/>
      <c r="J29" s="494"/>
    </row>
    <row r="30" spans="1:12">
      <c r="A30" s="510"/>
      <c r="B30" s="13" t="s">
        <v>842</v>
      </c>
    </row>
    <row r="31" spans="1:12" ht="15.75" thickBot="1"/>
    <row r="32" spans="1:12" ht="15.75" thickBot="1">
      <c r="B32" s="1657" t="s">
        <v>843</v>
      </c>
      <c r="C32" s="1658"/>
      <c r="D32" s="1658"/>
      <c r="E32" s="1658"/>
      <c r="F32" s="1659"/>
      <c r="G32" s="1660"/>
      <c r="H32" s="1660"/>
      <c r="I32" s="1660"/>
      <c r="J32" s="1660"/>
      <c r="K32" s="1660"/>
      <c r="L32" s="1661"/>
    </row>
    <row r="33" spans="2:13" s="518" customFormat="1" ht="15.75" thickBot="1">
      <c r="B33" s="512"/>
      <c r="C33" s="512"/>
      <c r="D33" s="512"/>
      <c r="E33" s="512"/>
      <c r="F33" s="512"/>
      <c r="G33" s="512"/>
      <c r="H33" s="512"/>
      <c r="I33" s="512"/>
      <c r="J33" s="512"/>
      <c r="K33" s="512"/>
      <c r="L33" s="512"/>
    </row>
    <row r="34" spans="2:13" ht="15.75" thickBot="1">
      <c r="B34" s="1657" t="s">
        <v>844</v>
      </c>
      <c r="C34" s="1658"/>
      <c r="D34" s="1658"/>
      <c r="E34" s="1658"/>
      <c r="F34" s="1659"/>
      <c r="G34" s="1660"/>
      <c r="H34" s="1660"/>
      <c r="I34" s="1660"/>
      <c r="J34" s="1660"/>
      <c r="K34" s="1660"/>
      <c r="L34" s="1661"/>
    </row>
    <row r="35" spans="2:13" s="518" customFormat="1" ht="15.75" thickBot="1">
      <c r="B35" s="512"/>
      <c r="C35" s="512"/>
      <c r="D35" s="512"/>
      <c r="E35" s="512"/>
      <c r="F35" s="512"/>
      <c r="G35" s="512"/>
      <c r="H35" s="512"/>
      <c r="I35" s="512"/>
      <c r="J35" s="512"/>
      <c r="K35" s="512"/>
      <c r="L35" s="512"/>
    </row>
    <row r="36" spans="2:13" ht="15" customHeight="1" thickBot="1">
      <c r="B36" s="1657" t="s">
        <v>845</v>
      </c>
      <c r="C36" s="1658"/>
      <c r="D36" s="1658"/>
      <c r="E36" s="1658"/>
      <c r="F36" s="1659"/>
      <c r="G36" s="532"/>
      <c r="H36" s="1722" t="s">
        <v>846</v>
      </c>
      <c r="I36" s="1725"/>
      <c r="J36" s="1725"/>
      <c r="K36" s="1725"/>
      <c r="L36" s="1726"/>
    </row>
    <row r="37" spans="2:13">
      <c r="B37" s="1"/>
      <c r="C37" s="1"/>
      <c r="D37" s="1"/>
      <c r="E37" s="1"/>
      <c r="F37" s="1"/>
      <c r="G37" s="1"/>
      <c r="H37" s="1723"/>
      <c r="I37" s="1727"/>
      <c r="J37" s="1727"/>
      <c r="K37" s="1727"/>
      <c r="L37" s="1728"/>
    </row>
    <row r="38" spans="2:13">
      <c r="B38" s="1"/>
      <c r="C38" s="1"/>
      <c r="D38" s="1"/>
      <c r="E38" s="1"/>
      <c r="F38" s="1"/>
      <c r="G38" s="1"/>
      <c r="H38" s="1723"/>
      <c r="I38" s="1727"/>
      <c r="J38" s="1727"/>
      <c r="K38" s="1727"/>
      <c r="L38" s="1728"/>
    </row>
    <row r="39" spans="2:13">
      <c r="B39" s="1"/>
      <c r="C39" s="1"/>
      <c r="D39" s="1"/>
      <c r="E39" s="1"/>
      <c r="F39" s="1"/>
      <c r="G39" s="1"/>
      <c r="H39" s="1723"/>
      <c r="I39" s="1727"/>
      <c r="J39" s="1727"/>
      <c r="K39" s="1727"/>
      <c r="L39" s="1728"/>
    </row>
    <row r="40" spans="2:13">
      <c r="B40" s="1"/>
      <c r="C40" s="1"/>
      <c r="D40" s="1"/>
      <c r="E40" s="1"/>
      <c r="F40" s="1"/>
      <c r="G40" s="1"/>
      <c r="H40" s="1723"/>
      <c r="I40" s="1727"/>
      <c r="J40" s="1727"/>
      <c r="K40" s="1727"/>
      <c r="L40" s="1728"/>
    </row>
    <row r="41" spans="2:13" ht="15.75" thickBot="1">
      <c r="B41" s="1"/>
      <c r="C41" s="1"/>
      <c r="D41" s="1"/>
      <c r="E41" s="1"/>
      <c r="F41" s="1"/>
      <c r="G41" s="1"/>
      <c r="H41" s="1724"/>
      <c r="I41" s="1729"/>
      <c r="J41" s="1729"/>
      <c r="K41" s="1729"/>
      <c r="L41" s="1730"/>
    </row>
    <row r="42" spans="2:13" ht="15.75" thickBot="1">
      <c r="B42" s="1"/>
      <c r="C42" s="1"/>
      <c r="D42" s="1"/>
      <c r="E42" s="1"/>
      <c r="F42" s="1"/>
      <c r="G42" s="1"/>
      <c r="H42" s="517"/>
      <c r="I42" s="519"/>
      <c r="J42" s="519"/>
      <c r="K42" s="519"/>
      <c r="L42" s="519"/>
      <c r="M42" s="518"/>
    </row>
    <row r="43" spans="2:13">
      <c r="B43" s="1707" t="s">
        <v>909</v>
      </c>
      <c r="C43" s="1708"/>
      <c r="D43" s="1708"/>
      <c r="E43" s="1708"/>
      <c r="F43" s="1709"/>
      <c r="G43" s="1716"/>
      <c r="H43" s="1716"/>
      <c r="I43" s="1716"/>
      <c r="J43" s="1716"/>
      <c r="K43" s="1716"/>
      <c r="L43" s="1717"/>
    </row>
    <row r="44" spans="2:13">
      <c r="B44" s="1710"/>
      <c r="C44" s="1711"/>
      <c r="D44" s="1711"/>
      <c r="E44" s="1711"/>
      <c r="F44" s="1712"/>
      <c r="G44" s="1718"/>
      <c r="H44" s="1718"/>
      <c r="I44" s="1718"/>
      <c r="J44" s="1718"/>
      <c r="K44" s="1718"/>
      <c r="L44" s="1719"/>
    </row>
    <row r="45" spans="2:13">
      <c r="B45" s="1710"/>
      <c r="C45" s="1711"/>
      <c r="D45" s="1711"/>
      <c r="E45" s="1711"/>
      <c r="F45" s="1712"/>
      <c r="G45" s="1718"/>
      <c r="H45" s="1718"/>
      <c r="I45" s="1718"/>
      <c r="J45" s="1718"/>
      <c r="K45" s="1718"/>
      <c r="L45" s="1719"/>
    </row>
    <row r="46" spans="2:13">
      <c r="B46" s="1710"/>
      <c r="C46" s="1711"/>
      <c r="D46" s="1711"/>
      <c r="E46" s="1711"/>
      <c r="F46" s="1712"/>
      <c r="G46" s="1718"/>
      <c r="H46" s="1718"/>
      <c r="I46" s="1718"/>
      <c r="J46" s="1718"/>
      <c r="K46" s="1718"/>
      <c r="L46" s="1719"/>
    </row>
    <row r="47" spans="2:13" ht="15.75" thickBot="1">
      <c r="B47" s="1713"/>
      <c r="C47" s="1714"/>
      <c r="D47" s="1714"/>
      <c r="E47" s="1714"/>
      <c r="F47" s="1715"/>
      <c r="G47" s="1720"/>
      <c r="H47" s="1720"/>
      <c r="I47" s="1720"/>
      <c r="J47" s="1720"/>
      <c r="K47" s="1720"/>
      <c r="L47" s="1721"/>
    </row>
    <row r="48" spans="2:13" s="520" customFormat="1" ht="15.75" thickBot="1">
      <c r="B48" s="12"/>
      <c r="C48" s="12"/>
      <c r="D48" s="12"/>
      <c r="E48" s="12"/>
      <c r="F48" s="12"/>
      <c r="G48" s="512"/>
      <c r="H48" s="512"/>
      <c r="I48" s="512"/>
      <c r="J48" s="512"/>
      <c r="K48" s="512"/>
      <c r="L48" s="512"/>
    </row>
    <row r="49" spans="2:12" s="520" customFormat="1" ht="15.75" thickBot="1">
      <c r="B49" s="1657" t="s">
        <v>964</v>
      </c>
      <c r="C49" s="1658"/>
      <c r="D49" s="1658"/>
      <c r="E49" s="1658"/>
      <c r="F49" s="1659"/>
      <c r="G49" s="1660"/>
      <c r="H49" s="1660"/>
      <c r="I49" s="1660"/>
      <c r="J49" s="1660"/>
      <c r="K49" s="1660"/>
      <c r="L49" s="1661"/>
    </row>
    <row r="50" spans="2:12" s="520" customFormat="1" ht="15.75" thickBot="1">
      <c r="B50" s="12"/>
      <c r="C50" s="12"/>
      <c r="D50" s="12"/>
      <c r="E50" s="12"/>
      <c r="F50" s="12"/>
      <c r="G50" s="512"/>
      <c r="H50" s="512"/>
      <c r="I50" s="512"/>
      <c r="J50" s="512"/>
      <c r="K50" s="512"/>
      <c r="L50" s="512"/>
    </row>
    <row r="51" spans="2:12" s="520" customFormat="1" ht="15.75" thickBot="1">
      <c r="B51" s="1657" t="s">
        <v>965</v>
      </c>
      <c r="C51" s="1658"/>
      <c r="D51" s="1658"/>
      <c r="E51" s="1658"/>
      <c r="F51" s="1659"/>
      <c r="G51" s="1660"/>
      <c r="H51" s="1660"/>
      <c r="I51" s="1660"/>
      <c r="J51" s="1660"/>
      <c r="K51" s="1660"/>
      <c r="L51" s="1661"/>
    </row>
    <row r="52" spans="2:12" s="520" customFormat="1">
      <c r="B52" s="12"/>
      <c r="C52" s="12"/>
      <c r="D52" s="12"/>
      <c r="E52" s="12"/>
      <c r="F52" s="12"/>
      <c r="G52" s="512"/>
      <c r="H52" s="512"/>
      <c r="I52" s="512"/>
      <c r="J52" s="512"/>
      <c r="K52" s="512"/>
      <c r="L52" s="512"/>
    </row>
    <row r="53" spans="2:12" s="520" customFormat="1">
      <c r="B53" s="12"/>
      <c r="C53" s="12"/>
      <c r="D53" s="12"/>
      <c r="E53" s="12"/>
      <c r="F53" s="12"/>
      <c r="G53" s="512"/>
      <c r="H53" s="512"/>
      <c r="I53" s="512"/>
      <c r="J53" s="512"/>
      <c r="K53" s="512"/>
      <c r="L53" s="512"/>
    </row>
    <row r="54" spans="2:12" s="520" customFormat="1">
      <c r="B54" s="509" t="s">
        <v>130</v>
      </c>
      <c r="C54" s="509"/>
      <c r="D54" s="509"/>
      <c r="E54" s="509"/>
      <c r="F54" s="509"/>
      <c r="G54" s="509"/>
      <c r="H54" s="509"/>
      <c r="I54" s="509"/>
      <c r="J54" s="509"/>
      <c r="K54" s="509"/>
      <c r="L54" s="509"/>
    </row>
    <row r="55" spans="2:12" s="520" customFormat="1" ht="15.75" thickBot="1">
      <c r="B55" s="509"/>
      <c r="C55" s="509"/>
      <c r="D55" s="509"/>
      <c r="E55" s="509"/>
      <c r="F55" s="509"/>
      <c r="G55" s="509"/>
      <c r="H55" s="509"/>
      <c r="I55" s="509"/>
      <c r="J55" s="509"/>
      <c r="K55" s="509"/>
      <c r="L55" s="509"/>
    </row>
    <row r="56" spans="2:12" s="520" customFormat="1">
      <c r="B56" s="1682"/>
      <c r="C56" s="1683"/>
      <c r="D56" s="1683"/>
      <c r="E56" s="1683"/>
      <c r="F56" s="1683"/>
      <c r="G56" s="1683"/>
      <c r="H56" s="1683"/>
      <c r="I56" s="1683"/>
      <c r="J56" s="1683"/>
      <c r="K56" s="1683"/>
      <c r="L56" s="1684"/>
    </row>
    <row r="57" spans="2:12" s="520" customFormat="1">
      <c r="B57" s="1685"/>
      <c r="C57" s="1686"/>
      <c r="D57" s="1686"/>
      <c r="E57" s="1686"/>
      <c r="F57" s="1686"/>
      <c r="G57" s="1686"/>
      <c r="H57" s="1686"/>
      <c r="I57" s="1686"/>
      <c r="J57" s="1686"/>
      <c r="K57" s="1686"/>
      <c r="L57" s="1687"/>
    </row>
    <row r="58" spans="2:12" s="520" customFormat="1">
      <c r="B58" s="1685"/>
      <c r="C58" s="1686"/>
      <c r="D58" s="1686"/>
      <c r="E58" s="1686"/>
      <c r="F58" s="1686"/>
      <c r="G58" s="1686"/>
      <c r="H58" s="1686"/>
      <c r="I58" s="1686"/>
      <c r="J58" s="1686"/>
      <c r="K58" s="1686"/>
      <c r="L58" s="1687"/>
    </row>
    <row r="59" spans="2:12" s="520" customFormat="1">
      <c r="B59" s="1685"/>
      <c r="C59" s="1686"/>
      <c r="D59" s="1686"/>
      <c r="E59" s="1686"/>
      <c r="F59" s="1686"/>
      <c r="G59" s="1686"/>
      <c r="H59" s="1686"/>
      <c r="I59" s="1686"/>
      <c r="J59" s="1686"/>
      <c r="K59" s="1686"/>
      <c r="L59" s="1687"/>
    </row>
    <row r="60" spans="2:12" s="520" customFormat="1">
      <c r="B60" s="1685"/>
      <c r="C60" s="1686"/>
      <c r="D60" s="1686"/>
      <c r="E60" s="1686"/>
      <c r="F60" s="1686"/>
      <c r="G60" s="1686"/>
      <c r="H60" s="1686"/>
      <c r="I60" s="1686"/>
      <c r="J60" s="1686"/>
      <c r="K60" s="1686"/>
      <c r="L60" s="1687"/>
    </row>
    <row r="61" spans="2:12" s="520" customFormat="1">
      <c r="B61" s="1685"/>
      <c r="C61" s="1686"/>
      <c r="D61" s="1686"/>
      <c r="E61" s="1686"/>
      <c r="F61" s="1686"/>
      <c r="G61" s="1686"/>
      <c r="H61" s="1686"/>
      <c r="I61" s="1686"/>
      <c r="J61" s="1686"/>
      <c r="K61" s="1686"/>
      <c r="L61" s="1687"/>
    </row>
    <row r="62" spans="2:12" s="520" customFormat="1">
      <c r="B62" s="1685"/>
      <c r="C62" s="1686"/>
      <c r="D62" s="1686"/>
      <c r="E62" s="1686"/>
      <c r="F62" s="1686"/>
      <c r="G62" s="1686"/>
      <c r="H62" s="1686"/>
      <c r="I62" s="1686"/>
      <c r="J62" s="1686"/>
      <c r="K62" s="1686"/>
      <c r="L62" s="1687"/>
    </row>
    <row r="63" spans="2:12" s="520" customFormat="1" ht="15.75" thickBot="1">
      <c r="B63" s="1688"/>
      <c r="C63" s="1689"/>
      <c r="D63" s="1689"/>
      <c r="E63" s="1689"/>
      <c r="F63" s="1689"/>
      <c r="G63" s="1689"/>
      <c r="H63" s="1689"/>
      <c r="I63" s="1689"/>
      <c r="J63" s="1689"/>
      <c r="K63" s="1689"/>
      <c r="L63" s="1690"/>
    </row>
    <row r="64" spans="2:12" s="520" customFormat="1">
      <c r="B64" s="12"/>
      <c r="C64" s="12"/>
      <c r="D64" s="12"/>
      <c r="E64" s="12"/>
      <c r="F64" s="12"/>
      <c r="G64" s="512"/>
      <c r="H64" s="512"/>
      <c r="I64" s="512"/>
      <c r="J64" s="512"/>
      <c r="K64" s="512"/>
      <c r="L64" s="512"/>
    </row>
    <row r="65" spans="1:15">
      <c r="A65" s="510"/>
      <c r="B65" s="13" t="s">
        <v>847</v>
      </c>
    </row>
    <row r="66" spans="1:15">
      <c r="A66" s="510"/>
      <c r="B66" s="13"/>
    </row>
    <row r="67" spans="1:15" ht="42.75" customHeight="1">
      <c r="A67" s="510"/>
      <c r="B67" s="1691" t="s">
        <v>911</v>
      </c>
      <c r="C67" s="1691"/>
      <c r="D67" s="1691"/>
      <c r="E67" s="1691"/>
      <c r="F67" s="1691"/>
      <c r="G67" s="1691"/>
      <c r="H67" s="1691"/>
      <c r="I67" s="1691"/>
      <c r="J67" s="1691"/>
      <c r="K67" s="1691"/>
      <c r="L67" s="1691"/>
    </row>
    <row r="68" spans="1:15" ht="15.75" thickBot="1">
      <c r="M68" s="518"/>
      <c r="N68" s="518"/>
      <c r="O68" s="518"/>
    </row>
    <row r="69" spans="1:15">
      <c r="B69" s="1692" t="s">
        <v>848</v>
      </c>
      <c r="C69" s="1693"/>
      <c r="D69" s="1693"/>
      <c r="E69" s="1693"/>
      <c r="F69" s="1694"/>
      <c r="G69" s="1695" t="s">
        <v>910</v>
      </c>
      <c r="H69" s="1696"/>
      <c r="I69" s="1696"/>
      <c r="J69" s="1696"/>
      <c r="K69" s="1696"/>
      <c r="L69" s="1697"/>
      <c r="M69" s="585"/>
      <c r="N69" s="585"/>
      <c r="O69" s="585"/>
    </row>
    <row r="70" spans="1:15">
      <c r="B70" s="1700" t="s">
        <v>849</v>
      </c>
      <c r="C70" s="1701"/>
      <c r="D70" s="1701"/>
      <c r="E70" s="1701"/>
      <c r="F70" s="1701"/>
      <c r="G70" s="1702"/>
      <c r="H70" s="1702"/>
      <c r="I70" s="1702"/>
      <c r="J70" s="1702"/>
      <c r="K70" s="1702"/>
      <c r="L70" s="1703"/>
      <c r="M70" s="518"/>
      <c r="N70" s="518"/>
      <c r="O70" s="518"/>
    </row>
    <row r="71" spans="1:15">
      <c r="B71" s="1704" t="s">
        <v>850</v>
      </c>
      <c r="C71" s="1705"/>
      <c r="D71" s="1705"/>
      <c r="E71" s="1705"/>
      <c r="F71" s="1706"/>
      <c r="G71" s="1702"/>
      <c r="H71" s="1702"/>
      <c r="I71" s="1702"/>
      <c r="J71" s="1702"/>
      <c r="K71" s="1702"/>
      <c r="L71" s="1703"/>
    </row>
    <row r="72" spans="1:15" ht="15.75" thickBot="1">
      <c r="B72" s="1671" t="s">
        <v>851</v>
      </c>
      <c r="C72" s="1672"/>
      <c r="D72" s="1672"/>
      <c r="E72" s="1672"/>
      <c r="F72" s="1673"/>
      <c r="G72" s="1674"/>
      <c r="H72" s="1674"/>
      <c r="I72" s="1674"/>
      <c r="J72" s="1674"/>
      <c r="K72" s="1674"/>
      <c r="L72" s="1675"/>
    </row>
    <row r="73" spans="1:15" ht="15.75" thickBot="1"/>
    <row r="74" spans="1:15" ht="26.25" thickBot="1">
      <c r="B74" s="521" t="s">
        <v>852</v>
      </c>
      <c r="C74" s="522" t="s">
        <v>853</v>
      </c>
      <c r="D74" s="522" t="s">
        <v>854</v>
      </c>
      <c r="E74" s="522" t="s">
        <v>855</v>
      </c>
      <c r="F74" s="522" t="s">
        <v>903</v>
      </c>
      <c r="G74" s="522" t="s">
        <v>904</v>
      </c>
      <c r="H74" s="522" t="s">
        <v>905</v>
      </c>
      <c r="I74" s="523" t="s">
        <v>856</v>
      </c>
    </row>
    <row r="75" spans="1:15">
      <c r="B75" s="533"/>
      <c r="C75" s="534"/>
      <c r="D75" s="534"/>
      <c r="E75" s="534"/>
      <c r="F75" s="534"/>
      <c r="G75" s="534"/>
      <c r="H75" s="534"/>
      <c r="I75" s="535">
        <f>SUM(C75:H75)</f>
        <v>0</v>
      </c>
    </row>
    <row r="76" spans="1:15">
      <c r="B76" s="533"/>
      <c r="C76" s="534"/>
      <c r="D76" s="534"/>
      <c r="E76" s="534"/>
      <c r="F76" s="534"/>
      <c r="G76" s="534"/>
      <c r="H76" s="534"/>
      <c r="I76" s="535">
        <f t="shared" ref="I76:I139" si="0">SUM(C76:H76)</f>
        <v>0</v>
      </c>
    </row>
    <row r="77" spans="1:15">
      <c r="B77" s="533"/>
      <c r="C77" s="534"/>
      <c r="D77" s="534"/>
      <c r="E77" s="534"/>
      <c r="F77" s="534"/>
      <c r="G77" s="534"/>
      <c r="H77" s="534"/>
      <c r="I77" s="535">
        <f t="shared" si="0"/>
        <v>0</v>
      </c>
    </row>
    <row r="78" spans="1:15">
      <c r="B78" s="533"/>
      <c r="C78" s="534"/>
      <c r="D78" s="534"/>
      <c r="E78" s="534"/>
      <c r="F78" s="534"/>
      <c r="G78" s="534"/>
      <c r="H78" s="534"/>
      <c r="I78" s="535">
        <f t="shared" si="0"/>
        <v>0</v>
      </c>
    </row>
    <row r="79" spans="1:15">
      <c r="B79" s="533"/>
      <c r="C79" s="534"/>
      <c r="D79" s="534"/>
      <c r="E79" s="534"/>
      <c r="F79" s="534"/>
      <c r="G79" s="534"/>
      <c r="H79" s="534"/>
      <c r="I79" s="535">
        <f t="shared" si="0"/>
        <v>0</v>
      </c>
    </row>
    <row r="80" spans="1:15">
      <c r="B80" s="533"/>
      <c r="C80" s="534"/>
      <c r="D80" s="534"/>
      <c r="E80" s="534"/>
      <c r="F80" s="534"/>
      <c r="G80" s="534"/>
      <c r="H80" s="534"/>
      <c r="I80" s="535">
        <f t="shared" si="0"/>
        <v>0</v>
      </c>
    </row>
    <row r="81" spans="2:9">
      <c r="B81" s="533"/>
      <c r="C81" s="534"/>
      <c r="D81" s="534"/>
      <c r="E81" s="534"/>
      <c r="F81" s="534"/>
      <c r="G81" s="534"/>
      <c r="H81" s="534"/>
      <c r="I81" s="535">
        <f t="shared" si="0"/>
        <v>0</v>
      </c>
    </row>
    <row r="82" spans="2:9">
      <c r="B82" s="533"/>
      <c r="C82" s="534"/>
      <c r="D82" s="534"/>
      <c r="E82" s="534"/>
      <c r="F82" s="534"/>
      <c r="G82" s="534"/>
      <c r="H82" s="534"/>
      <c r="I82" s="535">
        <f t="shared" si="0"/>
        <v>0</v>
      </c>
    </row>
    <row r="83" spans="2:9">
      <c r="B83" s="533"/>
      <c r="C83" s="534"/>
      <c r="D83" s="534"/>
      <c r="E83" s="534"/>
      <c r="F83" s="534"/>
      <c r="G83" s="534"/>
      <c r="H83" s="534"/>
      <c r="I83" s="535">
        <f t="shared" si="0"/>
        <v>0</v>
      </c>
    </row>
    <row r="84" spans="2:9">
      <c r="B84" s="533"/>
      <c r="C84" s="534"/>
      <c r="D84" s="534"/>
      <c r="E84" s="534"/>
      <c r="F84" s="534"/>
      <c r="G84" s="534"/>
      <c r="H84" s="534"/>
      <c r="I84" s="535">
        <f t="shared" si="0"/>
        <v>0</v>
      </c>
    </row>
    <row r="85" spans="2:9">
      <c r="B85" s="533"/>
      <c r="C85" s="534"/>
      <c r="D85" s="534"/>
      <c r="E85" s="534"/>
      <c r="F85" s="534"/>
      <c r="G85" s="534"/>
      <c r="H85" s="534"/>
      <c r="I85" s="535">
        <f t="shared" si="0"/>
        <v>0</v>
      </c>
    </row>
    <row r="86" spans="2:9">
      <c r="B86" s="533"/>
      <c r="C86" s="534"/>
      <c r="D86" s="534"/>
      <c r="E86" s="534"/>
      <c r="F86" s="534"/>
      <c r="G86" s="534"/>
      <c r="H86" s="534"/>
      <c r="I86" s="535">
        <f t="shared" si="0"/>
        <v>0</v>
      </c>
    </row>
    <row r="87" spans="2:9">
      <c r="B87" s="533"/>
      <c r="C87" s="534"/>
      <c r="D87" s="534"/>
      <c r="E87" s="534"/>
      <c r="F87" s="534"/>
      <c r="G87" s="534"/>
      <c r="H87" s="534"/>
      <c r="I87" s="535">
        <f t="shared" si="0"/>
        <v>0</v>
      </c>
    </row>
    <row r="88" spans="2:9">
      <c r="B88" s="533"/>
      <c r="C88" s="534"/>
      <c r="D88" s="534"/>
      <c r="E88" s="534"/>
      <c r="F88" s="534"/>
      <c r="G88" s="534"/>
      <c r="H88" s="534"/>
      <c r="I88" s="535">
        <f t="shared" si="0"/>
        <v>0</v>
      </c>
    </row>
    <row r="89" spans="2:9">
      <c r="B89" s="533"/>
      <c r="C89" s="534"/>
      <c r="D89" s="534"/>
      <c r="E89" s="534"/>
      <c r="F89" s="534"/>
      <c r="G89" s="534"/>
      <c r="H89" s="534"/>
      <c r="I89" s="535">
        <f t="shared" si="0"/>
        <v>0</v>
      </c>
    </row>
    <row r="90" spans="2:9" hidden="1">
      <c r="B90" s="533"/>
      <c r="C90" s="534"/>
      <c r="D90" s="534"/>
      <c r="E90" s="534"/>
      <c r="F90" s="534"/>
      <c r="G90" s="534"/>
      <c r="H90" s="534"/>
      <c r="I90" s="535">
        <f t="shared" si="0"/>
        <v>0</v>
      </c>
    </row>
    <row r="91" spans="2:9" hidden="1">
      <c r="B91" s="533"/>
      <c r="C91" s="534"/>
      <c r="D91" s="534"/>
      <c r="E91" s="534"/>
      <c r="F91" s="534"/>
      <c r="G91" s="534"/>
      <c r="H91" s="534"/>
      <c r="I91" s="535">
        <f t="shared" si="0"/>
        <v>0</v>
      </c>
    </row>
    <row r="92" spans="2:9" hidden="1">
      <c r="B92" s="533"/>
      <c r="C92" s="534"/>
      <c r="D92" s="534"/>
      <c r="E92" s="534"/>
      <c r="F92" s="534"/>
      <c r="G92" s="534"/>
      <c r="H92" s="534"/>
      <c r="I92" s="535">
        <f t="shared" si="0"/>
        <v>0</v>
      </c>
    </row>
    <row r="93" spans="2:9" hidden="1">
      <c r="B93" s="533"/>
      <c r="C93" s="534"/>
      <c r="D93" s="534"/>
      <c r="E93" s="534"/>
      <c r="F93" s="534"/>
      <c r="G93" s="534"/>
      <c r="H93" s="534"/>
      <c r="I93" s="535">
        <f t="shared" si="0"/>
        <v>0</v>
      </c>
    </row>
    <row r="94" spans="2:9" hidden="1">
      <c r="B94" s="533"/>
      <c r="C94" s="534"/>
      <c r="D94" s="534"/>
      <c r="E94" s="534"/>
      <c r="F94" s="534"/>
      <c r="G94" s="534"/>
      <c r="H94" s="534"/>
      <c r="I94" s="535">
        <f t="shared" si="0"/>
        <v>0</v>
      </c>
    </row>
    <row r="95" spans="2:9" hidden="1">
      <c r="B95" s="533"/>
      <c r="C95" s="534"/>
      <c r="D95" s="534"/>
      <c r="E95" s="534"/>
      <c r="F95" s="534"/>
      <c r="G95" s="534"/>
      <c r="H95" s="534"/>
      <c r="I95" s="535">
        <f t="shared" si="0"/>
        <v>0</v>
      </c>
    </row>
    <row r="96" spans="2:9" hidden="1">
      <c r="B96" s="533"/>
      <c r="C96" s="534"/>
      <c r="D96" s="534"/>
      <c r="E96" s="534"/>
      <c r="F96" s="534"/>
      <c r="G96" s="534"/>
      <c r="H96" s="534"/>
      <c r="I96" s="535">
        <f t="shared" si="0"/>
        <v>0</v>
      </c>
    </row>
    <row r="97" spans="2:9" hidden="1">
      <c r="B97" s="533"/>
      <c r="C97" s="534"/>
      <c r="D97" s="534"/>
      <c r="E97" s="534"/>
      <c r="F97" s="534"/>
      <c r="G97" s="534"/>
      <c r="H97" s="534"/>
      <c r="I97" s="535">
        <f t="shared" si="0"/>
        <v>0</v>
      </c>
    </row>
    <row r="98" spans="2:9" hidden="1">
      <c r="B98" s="533"/>
      <c r="C98" s="534"/>
      <c r="D98" s="534"/>
      <c r="E98" s="534"/>
      <c r="F98" s="534"/>
      <c r="G98" s="534"/>
      <c r="H98" s="534"/>
      <c r="I98" s="535">
        <f t="shared" si="0"/>
        <v>0</v>
      </c>
    </row>
    <row r="99" spans="2:9" hidden="1">
      <c r="B99" s="533"/>
      <c r="C99" s="534"/>
      <c r="D99" s="534"/>
      <c r="E99" s="534"/>
      <c r="F99" s="534"/>
      <c r="G99" s="534"/>
      <c r="H99" s="534"/>
      <c r="I99" s="535">
        <f t="shared" si="0"/>
        <v>0</v>
      </c>
    </row>
    <row r="100" spans="2:9" hidden="1">
      <c r="B100" s="533"/>
      <c r="C100" s="534"/>
      <c r="D100" s="534"/>
      <c r="E100" s="534"/>
      <c r="F100" s="534"/>
      <c r="G100" s="534"/>
      <c r="H100" s="534"/>
      <c r="I100" s="535">
        <f t="shared" si="0"/>
        <v>0</v>
      </c>
    </row>
    <row r="101" spans="2:9" hidden="1">
      <c r="B101" s="533"/>
      <c r="C101" s="534"/>
      <c r="D101" s="534"/>
      <c r="E101" s="534"/>
      <c r="F101" s="534"/>
      <c r="G101" s="534"/>
      <c r="H101" s="534"/>
      <c r="I101" s="535">
        <f t="shared" si="0"/>
        <v>0</v>
      </c>
    </row>
    <row r="102" spans="2:9" hidden="1">
      <c r="B102" s="533"/>
      <c r="C102" s="534"/>
      <c r="D102" s="534"/>
      <c r="E102" s="534"/>
      <c r="F102" s="534"/>
      <c r="G102" s="534"/>
      <c r="H102" s="534"/>
      <c r="I102" s="535">
        <f t="shared" si="0"/>
        <v>0</v>
      </c>
    </row>
    <row r="103" spans="2:9" hidden="1">
      <c r="B103" s="533"/>
      <c r="C103" s="534"/>
      <c r="D103" s="534"/>
      <c r="E103" s="534"/>
      <c r="F103" s="534"/>
      <c r="G103" s="534"/>
      <c r="H103" s="534"/>
      <c r="I103" s="535">
        <f t="shared" si="0"/>
        <v>0</v>
      </c>
    </row>
    <row r="104" spans="2:9" hidden="1">
      <c r="B104" s="533"/>
      <c r="C104" s="534"/>
      <c r="D104" s="534"/>
      <c r="E104" s="534"/>
      <c r="F104" s="534"/>
      <c r="G104" s="534"/>
      <c r="H104" s="534"/>
      <c r="I104" s="535">
        <f t="shared" si="0"/>
        <v>0</v>
      </c>
    </row>
    <row r="105" spans="2:9" hidden="1">
      <c r="B105" s="533"/>
      <c r="C105" s="534"/>
      <c r="D105" s="534"/>
      <c r="E105" s="534"/>
      <c r="F105" s="534"/>
      <c r="G105" s="534"/>
      <c r="H105" s="534"/>
      <c r="I105" s="535">
        <f t="shared" si="0"/>
        <v>0</v>
      </c>
    </row>
    <row r="106" spans="2:9" hidden="1">
      <c r="B106" s="533"/>
      <c r="C106" s="534"/>
      <c r="D106" s="534"/>
      <c r="E106" s="534"/>
      <c r="F106" s="534"/>
      <c r="G106" s="534"/>
      <c r="H106" s="534"/>
      <c r="I106" s="535">
        <f t="shared" si="0"/>
        <v>0</v>
      </c>
    </row>
    <row r="107" spans="2:9" hidden="1">
      <c r="B107" s="533"/>
      <c r="C107" s="534"/>
      <c r="D107" s="534"/>
      <c r="E107" s="534"/>
      <c r="F107" s="534"/>
      <c r="G107" s="534"/>
      <c r="H107" s="534"/>
      <c r="I107" s="535">
        <f t="shared" si="0"/>
        <v>0</v>
      </c>
    </row>
    <row r="108" spans="2:9" hidden="1">
      <c r="B108" s="533"/>
      <c r="C108" s="534"/>
      <c r="D108" s="534"/>
      <c r="E108" s="534"/>
      <c r="F108" s="534"/>
      <c r="G108" s="534"/>
      <c r="H108" s="534"/>
      <c r="I108" s="535">
        <f t="shared" si="0"/>
        <v>0</v>
      </c>
    </row>
    <row r="109" spans="2:9" hidden="1">
      <c r="B109" s="533"/>
      <c r="C109" s="534"/>
      <c r="D109" s="534"/>
      <c r="E109" s="534"/>
      <c r="F109" s="534"/>
      <c r="G109" s="534"/>
      <c r="H109" s="534"/>
      <c r="I109" s="535">
        <f t="shared" si="0"/>
        <v>0</v>
      </c>
    </row>
    <row r="110" spans="2:9" hidden="1">
      <c r="B110" s="533"/>
      <c r="C110" s="534"/>
      <c r="D110" s="534"/>
      <c r="E110" s="534"/>
      <c r="F110" s="534"/>
      <c r="G110" s="534"/>
      <c r="H110" s="534"/>
      <c r="I110" s="535">
        <f t="shared" si="0"/>
        <v>0</v>
      </c>
    </row>
    <row r="111" spans="2:9" hidden="1">
      <c r="B111" s="533"/>
      <c r="C111" s="534"/>
      <c r="D111" s="534"/>
      <c r="E111" s="534"/>
      <c r="F111" s="534"/>
      <c r="G111" s="534"/>
      <c r="H111" s="534"/>
      <c r="I111" s="535">
        <f t="shared" si="0"/>
        <v>0</v>
      </c>
    </row>
    <row r="112" spans="2:9" hidden="1">
      <c r="B112" s="533"/>
      <c r="C112" s="534"/>
      <c r="D112" s="534"/>
      <c r="E112" s="534"/>
      <c r="F112" s="534"/>
      <c r="G112" s="534"/>
      <c r="H112" s="534"/>
      <c r="I112" s="535">
        <f t="shared" si="0"/>
        <v>0</v>
      </c>
    </row>
    <row r="113" spans="2:9" hidden="1">
      <c r="B113" s="533"/>
      <c r="C113" s="534"/>
      <c r="D113" s="534"/>
      <c r="E113" s="534"/>
      <c r="F113" s="534"/>
      <c r="G113" s="534"/>
      <c r="H113" s="534"/>
      <c r="I113" s="535">
        <f t="shared" si="0"/>
        <v>0</v>
      </c>
    </row>
    <row r="114" spans="2:9" hidden="1">
      <c r="B114" s="533"/>
      <c r="C114" s="534"/>
      <c r="D114" s="534"/>
      <c r="E114" s="534"/>
      <c r="F114" s="534"/>
      <c r="G114" s="534"/>
      <c r="H114" s="534"/>
      <c r="I114" s="535">
        <f t="shared" si="0"/>
        <v>0</v>
      </c>
    </row>
    <row r="115" spans="2:9" hidden="1">
      <c r="B115" s="533"/>
      <c r="C115" s="534"/>
      <c r="D115" s="534"/>
      <c r="E115" s="534"/>
      <c r="F115" s="534"/>
      <c r="G115" s="534"/>
      <c r="H115" s="534"/>
      <c r="I115" s="535">
        <f t="shared" si="0"/>
        <v>0</v>
      </c>
    </row>
    <row r="116" spans="2:9" hidden="1">
      <c r="B116" s="533"/>
      <c r="C116" s="534"/>
      <c r="D116" s="534"/>
      <c r="E116" s="534"/>
      <c r="F116" s="534"/>
      <c r="G116" s="534"/>
      <c r="H116" s="534"/>
      <c r="I116" s="535">
        <f t="shared" si="0"/>
        <v>0</v>
      </c>
    </row>
    <row r="117" spans="2:9" hidden="1">
      <c r="B117" s="533"/>
      <c r="C117" s="534"/>
      <c r="D117" s="534"/>
      <c r="E117" s="534"/>
      <c r="F117" s="534"/>
      <c r="G117" s="534"/>
      <c r="H117" s="534"/>
      <c r="I117" s="535">
        <f t="shared" si="0"/>
        <v>0</v>
      </c>
    </row>
    <row r="118" spans="2:9" hidden="1">
      <c r="B118" s="533"/>
      <c r="C118" s="534"/>
      <c r="D118" s="534"/>
      <c r="E118" s="534"/>
      <c r="F118" s="534"/>
      <c r="G118" s="534"/>
      <c r="H118" s="534"/>
      <c r="I118" s="535">
        <f t="shared" si="0"/>
        <v>0</v>
      </c>
    </row>
    <row r="119" spans="2:9" hidden="1">
      <c r="B119" s="533"/>
      <c r="C119" s="534"/>
      <c r="D119" s="534"/>
      <c r="E119" s="534"/>
      <c r="F119" s="534"/>
      <c r="G119" s="534"/>
      <c r="H119" s="534"/>
      <c r="I119" s="535">
        <f t="shared" si="0"/>
        <v>0</v>
      </c>
    </row>
    <row r="120" spans="2:9" hidden="1">
      <c r="B120" s="533"/>
      <c r="C120" s="534"/>
      <c r="D120" s="534"/>
      <c r="E120" s="534"/>
      <c r="F120" s="534"/>
      <c r="G120" s="534"/>
      <c r="H120" s="534"/>
      <c r="I120" s="535">
        <f t="shared" si="0"/>
        <v>0</v>
      </c>
    </row>
    <row r="121" spans="2:9" hidden="1">
      <c r="B121" s="533"/>
      <c r="C121" s="534"/>
      <c r="D121" s="534"/>
      <c r="E121" s="534"/>
      <c r="F121" s="534"/>
      <c r="G121" s="534"/>
      <c r="H121" s="534"/>
      <c r="I121" s="535">
        <f t="shared" si="0"/>
        <v>0</v>
      </c>
    </row>
    <row r="122" spans="2:9" hidden="1">
      <c r="B122" s="533"/>
      <c r="C122" s="534"/>
      <c r="D122" s="534"/>
      <c r="E122" s="534"/>
      <c r="F122" s="534"/>
      <c r="G122" s="534"/>
      <c r="H122" s="534"/>
      <c r="I122" s="535">
        <f t="shared" si="0"/>
        <v>0</v>
      </c>
    </row>
    <row r="123" spans="2:9" hidden="1">
      <c r="B123" s="533"/>
      <c r="C123" s="534"/>
      <c r="D123" s="534"/>
      <c r="E123" s="534"/>
      <c r="F123" s="534"/>
      <c r="G123" s="534"/>
      <c r="H123" s="534"/>
      <c r="I123" s="535">
        <f t="shared" si="0"/>
        <v>0</v>
      </c>
    </row>
    <row r="124" spans="2:9" hidden="1">
      <c r="B124" s="533"/>
      <c r="C124" s="534"/>
      <c r="D124" s="534"/>
      <c r="E124" s="534"/>
      <c r="F124" s="534"/>
      <c r="G124" s="534"/>
      <c r="H124" s="534"/>
      <c r="I124" s="535">
        <f t="shared" si="0"/>
        <v>0</v>
      </c>
    </row>
    <row r="125" spans="2:9" hidden="1">
      <c r="B125" s="533"/>
      <c r="C125" s="534"/>
      <c r="D125" s="534"/>
      <c r="E125" s="534"/>
      <c r="F125" s="534"/>
      <c r="G125" s="534"/>
      <c r="H125" s="534"/>
      <c r="I125" s="535">
        <f t="shared" si="0"/>
        <v>0</v>
      </c>
    </row>
    <row r="126" spans="2:9" hidden="1">
      <c r="B126" s="533"/>
      <c r="C126" s="534"/>
      <c r="D126" s="534"/>
      <c r="E126" s="534"/>
      <c r="F126" s="534"/>
      <c r="G126" s="534"/>
      <c r="H126" s="534"/>
      <c r="I126" s="535">
        <f t="shared" si="0"/>
        <v>0</v>
      </c>
    </row>
    <row r="127" spans="2:9" hidden="1">
      <c r="B127" s="533"/>
      <c r="C127" s="534"/>
      <c r="D127" s="534"/>
      <c r="E127" s="534"/>
      <c r="F127" s="534"/>
      <c r="G127" s="534"/>
      <c r="H127" s="534"/>
      <c r="I127" s="535">
        <f t="shared" si="0"/>
        <v>0</v>
      </c>
    </row>
    <row r="128" spans="2:9" hidden="1">
      <c r="B128" s="533"/>
      <c r="C128" s="534"/>
      <c r="D128" s="534"/>
      <c r="E128" s="534"/>
      <c r="F128" s="534"/>
      <c r="G128" s="534"/>
      <c r="H128" s="534"/>
      <c r="I128" s="535">
        <f t="shared" si="0"/>
        <v>0</v>
      </c>
    </row>
    <row r="129" spans="2:9" hidden="1">
      <c r="B129" s="533"/>
      <c r="C129" s="534"/>
      <c r="D129" s="534"/>
      <c r="E129" s="534"/>
      <c r="F129" s="534"/>
      <c r="G129" s="534"/>
      <c r="H129" s="534"/>
      <c r="I129" s="535">
        <f t="shared" si="0"/>
        <v>0</v>
      </c>
    </row>
    <row r="130" spans="2:9" hidden="1">
      <c r="B130" s="533"/>
      <c r="C130" s="534"/>
      <c r="D130" s="534"/>
      <c r="E130" s="534"/>
      <c r="F130" s="534"/>
      <c r="G130" s="534"/>
      <c r="H130" s="534"/>
      <c r="I130" s="535">
        <f t="shared" si="0"/>
        <v>0</v>
      </c>
    </row>
    <row r="131" spans="2:9" hidden="1">
      <c r="B131" s="533"/>
      <c r="C131" s="534"/>
      <c r="D131" s="534"/>
      <c r="E131" s="534"/>
      <c r="F131" s="534"/>
      <c r="G131" s="534"/>
      <c r="H131" s="534"/>
      <c r="I131" s="535">
        <f t="shared" si="0"/>
        <v>0</v>
      </c>
    </row>
    <row r="132" spans="2:9" hidden="1">
      <c r="B132" s="533"/>
      <c r="C132" s="534"/>
      <c r="D132" s="534"/>
      <c r="E132" s="534"/>
      <c r="F132" s="534"/>
      <c r="G132" s="534"/>
      <c r="H132" s="534"/>
      <c r="I132" s="535">
        <f t="shared" si="0"/>
        <v>0</v>
      </c>
    </row>
    <row r="133" spans="2:9" hidden="1">
      <c r="B133" s="533"/>
      <c r="C133" s="534"/>
      <c r="D133" s="534"/>
      <c r="E133" s="534"/>
      <c r="F133" s="534"/>
      <c r="G133" s="534"/>
      <c r="H133" s="534"/>
      <c r="I133" s="535">
        <f t="shared" si="0"/>
        <v>0</v>
      </c>
    </row>
    <row r="134" spans="2:9" hidden="1">
      <c r="B134" s="533"/>
      <c r="C134" s="534"/>
      <c r="D134" s="534"/>
      <c r="E134" s="534"/>
      <c r="F134" s="534"/>
      <c r="G134" s="534"/>
      <c r="H134" s="534"/>
      <c r="I134" s="535">
        <f t="shared" si="0"/>
        <v>0</v>
      </c>
    </row>
    <row r="135" spans="2:9" hidden="1">
      <c r="B135" s="533"/>
      <c r="C135" s="534"/>
      <c r="D135" s="534"/>
      <c r="E135" s="534"/>
      <c r="F135" s="534"/>
      <c r="G135" s="534"/>
      <c r="H135" s="534"/>
      <c r="I135" s="535">
        <f t="shared" si="0"/>
        <v>0</v>
      </c>
    </row>
    <row r="136" spans="2:9" hidden="1">
      <c r="B136" s="533"/>
      <c r="C136" s="534"/>
      <c r="D136" s="534"/>
      <c r="E136" s="534"/>
      <c r="F136" s="534"/>
      <c r="G136" s="534"/>
      <c r="H136" s="534"/>
      <c r="I136" s="535">
        <f t="shared" si="0"/>
        <v>0</v>
      </c>
    </row>
    <row r="137" spans="2:9" hidden="1">
      <c r="B137" s="533"/>
      <c r="C137" s="534"/>
      <c r="D137" s="534"/>
      <c r="E137" s="534"/>
      <c r="F137" s="534"/>
      <c r="G137" s="534"/>
      <c r="H137" s="534"/>
      <c r="I137" s="535">
        <f t="shared" si="0"/>
        <v>0</v>
      </c>
    </row>
    <row r="138" spans="2:9" hidden="1">
      <c r="B138" s="533"/>
      <c r="C138" s="534"/>
      <c r="D138" s="534"/>
      <c r="E138" s="534"/>
      <c r="F138" s="534"/>
      <c r="G138" s="534"/>
      <c r="H138" s="534"/>
      <c r="I138" s="535">
        <f t="shared" si="0"/>
        <v>0</v>
      </c>
    </row>
    <row r="139" spans="2:9" hidden="1">
      <c r="B139" s="533"/>
      <c r="C139" s="534"/>
      <c r="D139" s="534"/>
      <c r="E139" s="534"/>
      <c r="F139" s="534"/>
      <c r="G139" s="534"/>
      <c r="H139" s="534"/>
      <c r="I139" s="535">
        <f t="shared" si="0"/>
        <v>0</v>
      </c>
    </row>
    <row r="140" spans="2:9" hidden="1">
      <c r="B140" s="533"/>
      <c r="C140" s="534"/>
      <c r="D140" s="534"/>
      <c r="E140" s="534"/>
      <c r="F140" s="534"/>
      <c r="G140" s="534"/>
      <c r="H140" s="534"/>
      <c r="I140" s="535">
        <f t="shared" ref="I140:I203" si="1">SUM(C140:H140)</f>
        <v>0</v>
      </c>
    </row>
    <row r="141" spans="2:9" hidden="1">
      <c r="B141" s="533"/>
      <c r="C141" s="534"/>
      <c r="D141" s="534"/>
      <c r="E141" s="534"/>
      <c r="F141" s="534"/>
      <c r="G141" s="534"/>
      <c r="H141" s="534"/>
      <c r="I141" s="535">
        <f t="shared" si="1"/>
        <v>0</v>
      </c>
    </row>
    <row r="142" spans="2:9" hidden="1">
      <c r="B142" s="533"/>
      <c r="C142" s="534"/>
      <c r="D142" s="534"/>
      <c r="E142" s="534"/>
      <c r="F142" s="534"/>
      <c r="G142" s="534"/>
      <c r="H142" s="534"/>
      <c r="I142" s="535">
        <f t="shared" si="1"/>
        <v>0</v>
      </c>
    </row>
    <row r="143" spans="2:9" hidden="1">
      <c r="B143" s="533"/>
      <c r="C143" s="534"/>
      <c r="D143" s="534"/>
      <c r="E143" s="534"/>
      <c r="F143" s="534"/>
      <c r="G143" s="534"/>
      <c r="H143" s="534"/>
      <c r="I143" s="535">
        <f t="shared" si="1"/>
        <v>0</v>
      </c>
    </row>
    <row r="144" spans="2:9" hidden="1">
      <c r="B144" s="533"/>
      <c r="C144" s="534"/>
      <c r="D144" s="534"/>
      <c r="E144" s="534"/>
      <c r="F144" s="534"/>
      <c r="G144" s="534"/>
      <c r="H144" s="534"/>
      <c r="I144" s="535">
        <f t="shared" si="1"/>
        <v>0</v>
      </c>
    </row>
    <row r="145" spans="2:9" hidden="1">
      <c r="B145" s="533"/>
      <c r="C145" s="534"/>
      <c r="D145" s="534"/>
      <c r="E145" s="534"/>
      <c r="F145" s="534"/>
      <c r="G145" s="534"/>
      <c r="H145" s="534"/>
      <c r="I145" s="535">
        <f t="shared" si="1"/>
        <v>0</v>
      </c>
    </row>
    <row r="146" spans="2:9" hidden="1">
      <c r="B146" s="533"/>
      <c r="C146" s="534"/>
      <c r="D146" s="534"/>
      <c r="E146" s="534"/>
      <c r="F146" s="534"/>
      <c r="G146" s="534"/>
      <c r="H146" s="534"/>
      <c r="I146" s="535">
        <f t="shared" si="1"/>
        <v>0</v>
      </c>
    </row>
    <row r="147" spans="2:9" hidden="1">
      <c r="B147" s="533"/>
      <c r="C147" s="534"/>
      <c r="D147" s="534"/>
      <c r="E147" s="534"/>
      <c r="F147" s="534"/>
      <c r="G147" s="534"/>
      <c r="H147" s="534"/>
      <c r="I147" s="535">
        <f t="shared" si="1"/>
        <v>0</v>
      </c>
    </row>
    <row r="148" spans="2:9" hidden="1">
      <c r="B148" s="533"/>
      <c r="C148" s="534"/>
      <c r="D148" s="534"/>
      <c r="E148" s="534"/>
      <c r="F148" s="534"/>
      <c r="G148" s="534"/>
      <c r="H148" s="534"/>
      <c r="I148" s="535">
        <f t="shared" si="1"/>
        <v>0</v>
      </c>
    </row>
    <row r="149" spans="2:9" hidden="1">
      <c r="B149" s="533"/>
      <c r="C149" s="534"/>
      <c r="D149" s="534"/>
      <c r="E149" s="534"/>
      <c r="F149" s="534"/>
      <c r="G149" s="534"/>
      <c r="H149" s="534"/>
      <c r="I149" s="535">
        <f t="shared" si="1"/>
        <v>0</v>
      </c>
    </row>
    <row r="150" spans="2:9" hidden="1">
      <c r="B150" s="533"/>
      <c r="C150" s="534"/>
      <c r="D150" s="534"/>
      <c r="E150" s="534"/>
      <c r="F150" s="534"/>
      <c r="G150" s="534"/>
      <c r="H150" s="534"/>
      <c r="I150" s="535">
        <f t="shared" si="1"/>
        <v>0</v>
      </c>
    </row>
    <row r="151" spans="2:9" hidden="1">
      <c r="B151" s="533"/>
      <c r="C151" s="534"/>
      <c r="D151" s="534"/>
      <c r="E151" s="534"/>
      <c r="F151" s="534"/>
      <c r="G151" s="534"/>
      <c r="H151" s="534"/>
      <c r="I151" s="535">
        <f t="shared" si="1"/>
        <v>0</v>
      </c>
    </row>
    <row r="152" spans="2:9" hidden="1">
      <c r="B152" s="533"/>
      <c r="C152" s="534"/>
      <c r="D152" s="534"/>
      <c r="E152" s="534"/>
      <c r="F152" s="534"/>
      <c r="G152" s="534"/>
      <c r="H152" s="534"/>
      <c r="I152" s="535">
        <f t="shared" si="1"/>
        <v>0</v>
      </c>
    </row>
    <row r="153" spans="2:9" hidden="1">
      <c r="B153" s="533"/>
      <c r="C153" s="534"/>
      <c r="D153" s="534"/>
      <c r="E153" s="534"/>
      <c r="F153" s="534"/>
      <c r="G153" s="534"/>
      <c r="H153" s="534"/>
      <c r="I153" s="535">
        <f t="shared" si="1"/>
        <v>0</v>
      </c>
    </row>
    <row r="154" spans="2:9" hidden="1">
      <c r="B154" s="533"/>
      <c r="C154" s="534"/>
      <c r="D154" s="534"/>
      <c r="E154" s="534"/>
      <c r="F154" s="534"/>
      <c r="G154" s="534"/>
      <c r="H154" s="534"/>
      <c r="I154" s="535">
        <f t="shared" si="1"/>
        <v>0</v>
      </c>
    </row>
    <row r="155" spans="2:9" hidden="1">
      <c r="B155" s="533"/>
      <c r="C155" s="534"/>
      <c r="D155" s="534"/>
      <c r="E155" s="534"/>
      <c r="F155" s="534"/>
      <c r="G155" s="534"/>
      <c r="H155" s="534"/>
      <c r="I155" s="535">
        <f t="shared" si="1"/>
        <v>0</v>
      </c>
    </row>
    <row r="156" spans="2:9" hidden="1">
      <c r="B156" s="533"/>
      <c r="C156" s="534"/>
      <c r="D156" s="534"/>
      <c r="E156" s="534"/>
      <c r="F156" s="534"/>
      <c r="G156" s="534"/>
      <c r="H156" s="534"/>
      <c r="I156" s="535">
        <f t="shared" si="1"/>
        <v>0</v>
      </c>
    </row>
    <row r="157" spans="2:9" hidden="1">
      <c r="B157" s="533"/>
      <c r="C157" s="534"/>
      <c r="D157" s="534"/>
      <c r="E157" s="534"/>
      <c r="F157" s="534"/>
      <c r="G157" s="534"/>
      <c r="H157" s="534"/>
      <c r="I157" s="535">
        <f t="shared" si="1"/>
        <v>0</v>
      </c>
    </row>
    <row r="158" spans="2:9" hidden="1">
      <c r="B158" s="533"/>
      <c r="C158" s="534"/>
      <c r="D158" s="534"/>
      <c r="E158" s="534"/>
      <c r="F158" s="534"/>
      <c r="G158" s="534"/>
      <c r="H158" s="534"/>
      <c r="I158" s="535">
        <f t="shared" si="1"/>
        <v>0</v>
      </c>
    </row>
    <row r="159" spans="2:9" hidden="1">
      <c r="B159" s="533"/>
      <c r="C159" s="534"/>
      <c r="D159" s="534"/>
      <c r="E159" s="534"/>
      <c r="F159" s="534"/>
      <c r="G159" s="534"/>
      <c r="H159" s="534"/>
      <c r="I159" s="535">
        <f t="shared" si="1"/>
        <v>0</v>
      </c>
    </row>
    <row r="160" spans="2:9" hidden="1">
      <c r="B160" s="533"/>
      <c r="C160" s="534"/>
      <c r="D160" s="534"/>
      <c r="E160" s="534"/>
      <c r="F160" s="534"/>
      <c r="G160" s="534"/>
      <c r="H160" s="534"/>
      <c r="I160" s="535">
        <f t="shared" si="1"/>
        <v>0</v>
      </c>
    </row>
    <row r="161" spans="2:9" hidden="1">
      <c r="B161" s="533"/>
      <c r="C161" s="534"/>
      <c r="D161" s="534"/>
      <c r="E161" s="534"/>
      <c r="F161" s="534"/>
      <c r="G161" s="534"/>
      <c r="H161" s="534"/>
      <c r="I161" s="535">
        <f t="shared" si="1"/>
        <v>0</v>
      </c>
    </row>
    <row r="162" spans="2:9" hidden="1">
      <c r="B162" s="533"/>
      <c r="C162" s="534"/>
      <c r="D162" s="534"/>
      <c r="E162" s="534"/>
      <c r="F162" s="534"/>
      <c r="G162" s="534"/>
      <c r="H162" s="534"/>
      <c r="I162" s="535">
        <f t="shared" si="1"/>
        <v>0</v>
      </c>
    </row>
    <row r="163" spans="2:9" hidden="1">
      <c r="B163" s="533"/>
      <c r="C163" s="534"/>
      <c r="D163" s="534"/>
      <c r="E163" s="534"/>
      <c r="F163" s="534"/>
      <c r="G163" s="534"/>
      <c r="H163" s="534"/>
      <c r="I163" s="535">
        <f t="shared" si="1"/>
        <v>0</v>
      </c>
    </row>
    <row r="164" spans="2:9" hidden="1">
      <c r="B164" s="533"/>
      <c r="C164" s="534"/>
      <c r="D164" s="534"/>
      <c r="E164" s="534"/>
      <c r="F164" s="534"/>
      <c r="G164" s="534"/>
      <c r="H164" s="534"/>
      <c r="I164" s="535">
        <f t="shared" si="1"/>
        <v>0</v>
      </c>
    </row>
    <row r="165" spans="2:9" hidden="1">
      <c r="B165" s="533"/>
      <c r="C165" s="534"/>
      <c r="D165" s="534"/>
      <c r="E165" s="534"/>
      <c r="F165" s="534"/>
      <c r="G165" s="534"/>
      <c r="H165" s="534"/>
      <c r="I165" s="535">
        <f t="shared" si="1"/>
        <v>0</v>
      </c>
    </row>
    <row r="166" spans="2:9" hidden="1">
      <c r="B166" s="533"/>
      <c r="C166" s="534"/>
      <c r="D166" s="534"/>
      <c r="E166" s="534"/>
      <c r="F166" s="534"/>
      <c r="G166" s="534"/>
      <c r="H166" s="534"/>
      <c r="I166" s="535">
        <f t="shared" si="1"/>
        <v>0</v>
      </c>
    </row>
    <row r="167" spans="2:9" hidden="1">
      <c r="B167" s="533"/>
      <c r="C167" s="534"/>
      <c r="D167" s="534"/>
      <c r="E167" s="534"/>
      <c r="F167" s="534"/>
      <c r="G167" s="534"/>
      <c r="H167" s="534"/>
      <c r="I167" s="535">
        <f t="shared" si="1"/>
        <v>0</v>
      </c>
    </row>
    <row r="168" spans="2:9" hidden="1">
      <c r="B168" s="533"/>
      <c r="C168" s="534"/>
      <c r="D168" s="534"/>
      <c r="E168" s="534"/>
      <c r="F168" s="534"/>
      <c r="G168" s="534"/>
      <c r="H168" s="534"/>
      <c r="I168" s="535">
        <f t="shared" si="1"/>
        <v>0</v>
      </c>
    </row>
    <row r="169" spans="2:9" hidden="1">
      <c r="B169" s="533"/>
      <c r="C169" s="534"/>
      <c r="D169" s="534"/>
      <c r="E169" s="534"/>
      <c r="F169" s="534"/>
      <c r="G169" s="534"/>
      <c r="H169" s="534"/>
      <c r="I169" s="535">
        <f t="shared" si="1"/>
        <v>0</v>
      </c>
    </row>
    <row r="170" spans="2:9" hidden="1">
      <c r="B170" s="533"/>
      <c r="C170" s="534"/>
      <c r="D170" s="534"/>
      <c r="E170" s="534"/>
      <c r="F170" s="534"/>
      <c r="G170" s="534"/>
      <c r="H170" s="534"/>
      <c r="I170" s="535">
        <f t="shared" si="1"/>
        <v>0</v>
      </c>
    </row>
    <row r="171" spans="2:9" hidden="1">
      <c r="B171" s="533"/>
      <c r="C171" s="534"/>
      <c r="D171" s="534"/>
      <c r="E171" s="534"/>
      <c r="F171" s="534"/>
      <c r="G171" s="534"/>
      <c r="H171" s="534"/>
      <c r="I171" s="535">
        <f t="shared" si="1"/>
        <v>0</v>
      </c>
    </row>
    <row r="172" spans="2:9" hidden="1">
      <c r="B172" s="533"/>
      <c r="C172" s="534"/>
      <c r="D172" s="534"/>
      <c r="E172" s="534"/>
      <c r="F172" s="534"/>
      <c r="G172" s="534"/>
      <c r="H172" s="534"/>
      <c r="I172" s="535">
        <f t="shared" si="1"/>
        <v>0</v>
      </c>
    </row>
    <row r="173" spans="2:9" hidden="1">
      <c r="B173" s="533"/>
      <c r="C173" s="534"/>
      <c r="D173" s="534"/>
      <c r="E173" s="534"/>
      <c r="F173" s="534"/>
      <c r="G173" s="534"/>
      <c r="H173" s="534"/>
      <c r="I173" s="535">
        <f t="shared" si="1"/>
        <v>0</v>
      </c>
    </row>
    <row r="174" spans="2:9" hidden="1">
      <c r="B174" s="533"/>
      <c r="C174" s="534"/>
      <c r="D174" s="534"/>
      <c r="E174" s="534"/>
      <c r="F174" s="534"/>
      <c r="G174" s="534"/>
      <c r="H174" s="534"/>
      <c r="I174" s="535">
        <f t="shared" si="1"/>
        <v>0</v>
      </c>
    </row>
    <row r="175" spans="2:9" hidden="1">
      <c r="B175" s="533"/>
      <c r="C175" s="534"/>
      <c r="D175" s="534"/>
      <c r="E175" s="534"/>
      <c r="F175" s="534"/>
      <c r="G175" s="534"/>
      <c r="H175" s="534"/>
      <c r="I175" s="535">
        <f t="shared" si="1"/>
        <v>0</v>
      </c>
    </row>
    <row r="176" spans="2:9" hidden="1">
      <c r="B176" s="533"/>
      <c r="C176" s="534"/>
      <c r="D176" s="534"/>
      <c r="E176" s="534"/>
      <c r="F176" s="534"/>
      <c r="G176" s="534"/>
      <c r="H176" s="534"/>
      <c r="I176" s="535">
        <f t="shared" si="1"/>
        <v>0</v>
      </c>
    </row>
    <row r="177" spans="2:9" hidden="1">
      <c r="B177" s="533"/>
      <c r="C177" s="534"/>
      <c r="D177" s="534"/>
      <c r="E177" s="534"/>
      <c r="F177" s="534"/>
      <c r="G177" s="534"/>
      <c r="H177" s="534"/>
      <c r="I177" s="535">
        <f t="shared" si="1"/>
        <v>0</v>
      </c>
    </row>
    <row r="178" spans="2:9" hidden="1">
      <c r="B178" s="533"/>
      <c r="C178" s="534"/>
      <c r="D178" s="534"/>
      <c r="E178" s="534"/>
      <c r="F178" s="534"/>
      <c r="G178" s="534"/>
      <c r="H178" s="534"/>
      <c r="I178" s="535">
        <f t="shared" si="1"/>
        <v>0</v>
      </c>
    </row>
    <row r="179" spans="2:9" hidden="1">
      <c r="B179" s="533"/>
      <c r="C179" s="534"/>
      <c r="D179" s="534"/>
      <c r="E179" s="534"/>
      <c r="F179" s="534"/>
      <c r="G179" s="534"/>
      <c r="H179" s="534"/>
      <c r="I179" s="535">
        <f t="shared" si="1"/>
        <v>0</v>
      </c>
    </row>
    <row r="180" spans="2:9" hidden="1">
      <c r="B180" s="533"/>
      <c r="C180" s="534"/>
      <c r="D180" s="534"/>
      <c r="E180" s="534"/>
      <c r="F180" s="534"/>
      <c r="G180" s="534"/>
      <c r="H180" s="534"/>
      <c r="I180" s="535">
        <f t="shared" si="1"/>
        <v>0</v>
      </c>
    </row>
    <row r="181" spans="2:9" hidden="1">
      <c r="B181" s="533"/>
      <c r="C181" s="534"/>
      <c r="D181" s="534"/>
      <c r="E181" s="534"/>
      <c r="F181" s="534"/>
      <c r="G181" s="534"/>
      <c r="H181" s="534"/>
      <c r="I181" s="535">
        <f t="shared" si="1"/>
        <v>0</v>
      </c>
    </row>
    <row r="182" spans="2:9" hidden="1">
      <c r="B182" s="533"/>
      <c r="C182" s="534"/>
      <c r="D182" s="534"/>
      <c r="E182" s="534"/>
      <c r="F182" s="534"/>
      <c r="G182" s="534"/>
      <c r="H182" s="534"/>
      <c r="I182" s="535">
        <f t="shared" si="1"/>
        <v>0</v>
      </c>
    </row>
    <row r="183" spans="2:9" hidden="1">
      <c r="B183" s="533"/>
      <c r="C183" s="534"/>
      <c r="D183" s="534"/>
      <c r="E183" s="534"/>
      <c r="F183" s="534"/>
      <c r="G183" s="534"/>
      <c r="H183" s="534"/>
      <c r="I183" s="535">
        <f t="shared" si="1"/>
        <v>0</v>
      </c>
    </row>
    <row r="184" spans="2:9" hidden="1">
      <c r="B184" s="533"/>
      <c r="C184" s="534"/>
      <c r="D184" s="534"/>
      <c r="E184" s="534"/>
      <c r="F184" s="534"/>
      <c r="G184" s="534"/>
      <c r="H184" s="534"/>
      <c r="I184" s="535">
        <f t="shared" si="1"/>
        <v>0</v>
      </c>
    </row>
    <row r="185" spans="2:9" hidden="1">
      <c r="B185" s="533"/>
      <c r="C185" s="534"/>
      <c r="D185" s="534"/>
      <c r="E185" s="534"/>
      <c r="F185" s="534"/>
      <c r="G185" s="534"/>
      <c r="H185" s="534"/>
      <c r="I185" s="535">
        <f t="shared" si="1"/>
        <v>0</v>
      </c>
    </row>
    <row r="186" spans="2:9" hidden="1">
      <c r="B186" s="533"/>
      <c r="C186" s="534"/>
      <c r="D186" s="534"/>
      <c r="E186" s="534"/>
      <c r="F186" s="534"/>
      <c r="G186" s="534"/>
      <c r="H186" s="534"/>
      <c r="I186" s="535">
        <f t="shared" si="1"/>
        <v>0</v>
      </c>
    </row>
    <row r="187" spans="2:9" hidden="1">
      <c r="B187" s="533"/>
      <c r="C187" s="534"/>
      <c r="D187" s="534"/>
      <c r="E187" s="534"/>
      <c r="F187" s="534"/>
      <c r="G187" s="534"/>
      <c r="H187" s="534"/>
      <c r="I187" s="535">
        <f t="shared" si="1"/>
        <v>0</v>
      </c>
    </row>
    <row r="188" spans="2:9" hidden="1">
      <c r="B188" s="533"/>
      <c r="C188" s="534"/>
      <c r="D188" s="534"/>
      <c r="E188" s="534"/>
      <c r="F188" s="534"/>
      <c r="G188" s="534"/>
      <c r="H188" s="534"/>
      <c r="I188" s="535">
        <f t="shared" si="1"/>
        <v>0</v>
      </c>
    </row>
    <row r="189" spans="2:9" hidden="1">
      <c r="B189" s="533"/>
      <c r="C189" s="534"/>
      <c r="D189" s="534"/>
      <c r="E189" s="534"/>
      <c r="F189" s="534"/>
      <c r="G189" s="534"/>
      <c r="H189" s="534"/>
      <c r="I189" s="535">
        <f t="shared" si="1"/>
        <v>0</v>
      </c>
    </row>
    <row r="190" spans="2:9" hidden="1">
      <c r="B190" s="533"/>
      <c r="C190" s="534"/>
      <c r="D190" s="534"/>
      <c r="E190" s="534"/>
      <c r="F190" s="534"/>
      <c r="G190" s="534"/>
      <c r="H190" s="534"/>
      <c r="I190" s="535">
        <f t="shared" si="1"/>
        <v>0</v>
      </c>
    </row>
    <row r="191" spans="2:9" hidden="1">
      <c r="B191" s="533"/>
      <c r="C191" s="534"/>
      <c r="D191" s="534"/>
      <c r="E191" s="534"/>
      <c r="F191" s="534"/>
      <c r="G191" s="534"/>
      <c r="H191" s="534"/>
      <c r="I191" s="535">
        <f t="shared" si="1"/>
        <v>0</v>
      </c>
    </row>
    <row r="192" spans="2:9" hidden="1">
      <c r="B192" s="533"/>
      <c r="C192" s="534"/>
      <c r="D192" s="534"/>
      <c r="E192" s="534"/>
      <c r="F192" s="534"/>
      <c r="G192" s="534"/>
      <c r="H192" s="534"/>
      <c r="I192" s="535">
        <f t="shared" si="1"/>
        <v>0</v>
      </c>
    </row>
    <row r="193" spans="2:9" hidden="1">
      <c r="B193" s="533"/>
      <c r="C193" s="534"/>
      <c r="D193" s="534"/>
      <c r="E193" s="534"/>
      <c r="F193" s="534"/>
      <c r="G193" s="534"/>
      <c r="H193" s="534"/>
      <c r="I193" s="535">
        <f t="shared" si="1"/>
        <v>0</v>
      </c>
    </row>
    <row r="194" spans="2:9" hidden="1">
      <c r="B194" s="533"/>
      <c r="C194" s="534"/>
      <c r="D194" s="534"/>
      <c r="E194" s="534"/>
      <c r="F194" s="534"/>
      <c r="G194" s="534"/>
      <c r="H194" s="534"/>
      <c r="I194" s="535">
        <f t="shared" si="1"/>
        <v>0</v>
      </c>
    </row>
    <row r="195" spans="2:9" hidden="1">
      <c r="B195" s="533"/>
      <c r="C195" s="534"/>
      <c r="D195" s="534"/>
      <c r="E195" s="534"/>
      <c r="F195" s="534"/>
      <c r="G195" s="534"/>
      <c r="H195" s="534"/>
      <c r="I195" s="535">
        <f t="shared" si="1"/>
        <v>0</v>
      </c>
    </row>
    <row r="196" spans="2:9" hidden="1">
      <c r="B196" s="533"/>
      <c r="C196" s="534"/>
      <c r="D196" s="534"/>
      <c r="E196" s="534"/>
      <c r="F196" s="534"/>
      <c r="G196" s="534"/>
      <c r="H196" s="534"/>
      <c r="I196" s="535">
        <f t="shared" si="1"/>
        <v>0</v>
      </c>
    </row>
    <row r="197" spans="2:9" hidden="1">
      <c r="B197" s="533"/>
      <c r="C197" s="534"/>
      <c r="D197" s="534"/>
      <c r="E197" s="534"/>
      <c r="F197" s="534"/>
      <c r="G197" s="534"/>
      <c r="H197" s="534"/>
      <c r="I197" s="535">
        <f t="shared" si="1"/>
        <v>0</v>
      </c>
    </row>
    <row r="198" spans="2:9" hidden="1">
      <c r="B198" s="533"/>
      <c r="C198" s="534"/>
      <c r="D198" s="534"/>
      <c r="E198" s="534"/>
      <c r="F198" s="534"/>
      <c r="G198" s="534"/>
      <c r="H198" s="534"/>
      <c r="I198" s="535">
        <f t="shared" si="1"/>
        <v>0</v>
      </c>
    </row>
    <row r="199" spans="2:9" hidden="1">
      <c r="B199" s="533"/>
      <c r="C199" s="534"/>
      <c r="D199" s="534"/>
      <c r="E199" s="534"/>
      <c r="F199" s="534"/>
      <c r="G199" s="534"/>
      <c r="H199" s="534"/>
      <c r="I199" s="535">
        <f t="shared" si="1"/>
        <v>0</v>
      </c>
    </row>
    <row r="200" spans="2:9" hidden="1">
      <c r="B200" s="533"/>
      <c r="C200" s="534"/>
      <c r="D200" s="534"/>
      <c r="E200" s="534"/>
      <c r="F200" s="534"/>
      <c r="G200" s="534"/>
      <c r="H200" s="534"/>
      <c r="I200" s="535">
        <f t="shared" si="1"/>
        <v>0</v>
      </c>
    </row>
    <row r="201" spans="2:9" hidden="1">
      <c r="B201" s="533"/>
      <c r="C201" s="534"/>
      <c r="D201" s="534"/>
      <c r="E201" s="534"/>
      <c r="F201" s="534"/>
      <c r="G201" s="534"/>
      <c r="H201" s="534"/>
      <c r="I201" s="535">
        <f t="shared" si="1"/>
        <v>0</v>
      </c>
    </row>
    <row r="202" spans="2:9" hidden="1">
      <c r="B202" s="533"/>
      <c r="C202" s="534"/>
      <c r="D202" s="534"/>
      <c r="E202" s="534"/>
      <c r="F202" s="534"/>
      <c r="G202" s="534"/>
      <c r="H202" s="534"/>
      <c r="I202" s="535">
        <f t="shared" si="1"/>
        <v>0</v>
      </c>
    </row>
    <row r="203" spans="2:9" hidden="1">
      <c r="B203" s="533"/>
      <c r="C203" s="534"/>
      <c r="D203" s="534"/>
      <c r="E203" s="534"/>
      <c r="F203" s="534"/>
      <c r="G203" s="534"/>
      <c r="H203" s="534"/>
      <c r="I203" s="535">
        <f t="shared" si="1"/>
        <v>0</v>
      </c>
    </row>
    <row r="204" spans="2:9" hidden="1">
      <c r="B204" s="533"/>
      <c r="C204" s="534"/>
      <c r="D204" s="534"/>
      <c r="E204" s="534"/>
      <c r="F204" s="534"/>
      <c r="G204" s="534"/>
      <c r="H204" s="534"/>
      <c r="I204" s="535">
        <f t="shared" ref="I204:I230" si="2">SUM(C204:H204)</f>
        <v>0</v>
      </c>
    </row>
    <row r="205" spans="2:9" hidden="1">
      <c r="B205" s="533"/>
      <c r="C205" s="534"/>
      <c r="D205" s="534"/>
      <c r="E205" s="534"/>
      <c r="F205" s="534"/>
      <c r="G205" s="534"/>
      <c r="H205" s="534"/>
      <c r="I205" s="535">
        <f t="shared" si="2"/>
        <v>0</v>
      </c>
    </row>
    <row r="206" spans="2:9" hidden="1">
      <c r="B206" s="533"/>
      <c r="C206" s="534"/>
      <c r="D206" s="534"/>
      <c r="E206" s="534"/>
      <c r="F206" s="534"/>
      <c r="G206" s="534"/>
      <c r="H206" s="534"/>
      <c r="I206" s="535">
        <f t="shared" si="2"/>
        <v>0</v>
      </c>
    </row>
    <row r="207" spans="2:9" hidden="1">
      <c r="B207" s="533"/>
      <c r="C207" s="534"/>
      <c r="D207" s="534"/>
      <c r="E207" s="534"/>
      <c r="F207" s="534"/>
      <c r="G207" s="534"/>
      <c r="H207" s="534"/>
      <c r="I207" s="535">
        <f t="shared" si="2"/>
        <v>0</v>
      </c>
    </row>
    <row r="208" spans="2:9" hidden="1">
      <c r="B208" s="533"/>
      <c r="C208" s="534"/>
      <c r="D208" s="534"/>
      <c r="E208" s="534"/>
      <c r="F208" s="534"/>
      <c r="G208" s="534"/>
      <c r="H208" s="534"/>
      <c r="I208" s="535">
        <f t="shared" si="2"/>
        <v>0</v>
      </c>
    </row>
    <row r="209" spans="2:9" hidden="1">
      <c r="B209" s="533"/>
      <c r="C209" s="534"/>
      <c r="D209" s="534"/>
      <c r="E209" s="534"/>
      <c r="F209" s="534"/>
      <c r="G209" s="534"/>
      <c r="H209" s="534"/>
      <c r="I209" s="535">
        <f t="shared" si="2"/>
        <v>0</v>
      </c>
    </row>
    <row r="210" spans="2:9" hidden="1">
      <c r="B210" s="533"/>
      <c r="C210" s="534"/>
      <c r="D210" s="534"/>
      <c r="E210" s="534"/>
      <c r="F210" s="534"/>
      <c r="G210" s="534"/>
      <c r="H210" s="534"/>
      <c r="I210" s="535">
        <f t="shared" si="2"/>
        <v>0</v>
      </c>
    </row>
    <row r="211" spans="2:9" hidden="1">
      <c r="B211" s="533"/>
      <c r="C211" s="534"/>
      <c r="D211" s="534"/>
      <c r="E211" s="534"/>
      <c r="F211" s="534"/>
      <c r="G211" s="534"/>
      <c r="H211" s="534"/>
      <c r="I211" s="535">
        <f t="shared" si="2"/>
        <v>0</v>
      </c>
    </row>
    <row r="212" spans="2:9" hidden="1">
      <c r="B212" s="533"/>
      <c r="C212" s="534"/>
      <c r="D212" s="534"/>
      <c r="E212" s="534"/>
      <c r="F212" s="534"/>
      <c r="G212" s="534"/>
      <c r="H212" s="534"/>
      <c r="I212" s="535">
        <f t="shared" si="2"/>
        <v>0</v>
      </c>
    </row>
    <row r="213" spans="2:9" hidden="1">
      <c r="B213" s="533"/>
      <c r="C213" s="534"/>
      <c r="D213" s="534"/>
      <c r="E213" s="534"/>
      <c r="F213" s="534"/>
      <c r="G213" s="534"/>
      <c r="H213" s="534"/>
      <c r="I213" s="535">
        <f t="shared" si="2"/>
        <v>0</v>
      </c>
    </row>
    <row r="214" spans="2:9" hidden="1">
      <c r="B214" s="533"/>
      <c r="C214" s="534"/>
      <c r="D214" s="534"/>
      <c r="E214" s="534"/>
      <c r="F214" s="534"/>
      <c r="G214" s="534"/>
      <c r="H214" s="534"/>
      <c r="I214" s="535">
        <f t="shared" si="2"/>
        <v>0</v>
      </c>
    </row>
    <row r="215" spans="2:9" hidden="1">
      <c r="B215" s="533"/>
      <c r="C215" s="534"/>
      <c r="D215" s="534"/>
      <c r="E215" s="534"/>
      <c r="F215" s="534"/>
      <c r="G215" s="534"/>
      <c r="H215" s="534"/>
      <c r="I215" s="535">
        <f t="shared" si="2"/>
        <v>0</v>
      </c>
    </row>
    <row r="216" spans="2:9" hidden="1">
      <c r="B216" s="533"/>
      <c r="C216" s="534"/>
      <c r="D216" s="534"/>
      <c r="E216" s="534"/>
      <c r="F216" s="534"/>
      <c r="G216" s="534"/>
      <c r="H216" s="534"/>
      <c r="I216" s="535">
        <f t="shared" si="2"/>
        <v>0</v>
      </c>
    </row>
    <row r="217" spans="2:9" hidden="1">
      <c r="B217" s="533"/>
      <c r="C217" s="534"/>
      <c r="D217" s="534"/>
      <c r="E217" s="534"/>
      <c r="F217" s="534"/>
      <c r="G217" s="534"/>
      <c r="H217" s="534"/>
      <c r="I217" s="535">
        <f t="shared" si="2"/>
        <v>0</v>
      </c>
    </row>
    <row r="218" spans="2:9" hidden="1">
      <c r="B218" s="533"/>
      <c r="C218" s="534"/>
      <c r="D218" s="534"/>
      <c r="E218" s="534"/>
      <c r="F218" s="534"/>
      <c r="G218" s="534"/>
      <c r="H218" s="534"/>
      <c r="I218" s="535">
        <f t="shared" si="2"/>
        <v>0</v>
      </c>
    </row>
    <row r="219" spans="2:9" hidden="1">
      <c r="B219" s="536"/>
      <c r="C219" s="537"/>
      <c r="D219" s="538"/>
      <c r="E219" s="537"/>
      <c r="F219" s="537"/>
      <c r="G219" s="537"/>
      <c r="H219" s="537"/>
      <c r="I219" s="535">
        <f t="shared" si="2"/>
        <v>0</v>
      </c>
    </row>
    <row r="220" spans="2:9" hidden="1">
      <c r="B220" s="536"/>
      <c r="C220" s="537"/>
      <c r="D220" s="538"/>
      <c r="E220" s="537"/>
      <c r="F220" s="580"/>
      <c r="G220" s="580"/>
      <c r="H220" s="580"/>
      <c r="I220" s="535">
        <f t="shared" si="2"/>
        <v>0</v>
      </c>
    </row>
    <row r="221" spans="2:9" hidden="1">
      <c r="B221" s="536"/>
      <c r="C221" s="537"/>
      <c r="D221" s="538"/>
      <c r="E221" s="537"/>
      <c r="F221" s="580"/>
      <c r="G221" s="580"/>
      <c r="H221" s="580"/>
      <c r="I221" s="535">
        <f t="shared" si="2"/>
        <v>0</v>
      </c>
    </row>
    <row r="222" spans="2:9" hidden="1">
      <c r="B222" s="536"/>
      <c r="C222" s="537"/>
      <c r="D222" s="538"/>
      <c r="E222" s="537"/>
      <c r="F222" s="580"/>
      <c r="G222" s="580"/>
      <c r="H222" s="580"/>
      <c r="I222" s="535">
        <f t="shared" si="2"/>
        <v>0</v>
      </c>
    </row>
    <row r="223" spans="2:9" hidden="1">
      <c r="B223" s="536"/>
      <c r="C223" s="537"/>
      <c r="D223" s="538"/>
      <c r="E223" s="537"/>
      <c r="F223" s="580"/>
      <c r="G223" s="580"/>
      <c r="H223" s="580"/>
      <c r="I223" s="535">
        <f t="shared" si="2"/>
        <v>0</v>
      </c>
    </row>
    <row r="224" spans="2:9" hidden="1">
      <c r="B224" s="536"/>
      <c r="C224" s="537"/>
      <c r="D224" s="538"/>
      <c r="E224" s="537"/>
      <c r="F224" s="580"/>
      <c r="G224" s="580"/>
      <c r="H224" s="580"/>
      <c r="I224" s="535">
        <f t="shared" si="2"/>
        <v>0</v>
      </c>
    </row>
    <row r="225" spans="2:12" hidden="1">
      <c r="B225" s="536"/>
      <c r="C225" s="537"/>
      <c r="D225" s="538"/>
      <c r="E225" s="537"/>
      <c r="F225" s="580"/>
      <c r="G225" s="580"/>
      <c r="H225" s="580"/>
      <c r="I225" s="535">
        <f t="shared" si="2"/>
        <v>0</v>
      </c>
    </row>
    <row r="226" spans="2:12" hidden="1">
      <c r="B226" s="536"/>
      <c r="C226" s="537"/>
      <c r="D226" s="538"/>
      <c r="E226" s="537"/>
      <c r="F226" s="580"/>
      <c r="G226" s="580"/>
      <c r="H226" s="580"/>
      <c r="I226" s="535">
        <f t="shared" si="2"/>
        <v>0</v>
      </c>
    </row>
    <row r="227" spans="2:12" hidden="1">
      <c r="B227" s="536"/>
      <c r="C227" s="537"/>
      <c r="D227" s="538"/>
      <c r="E227" s="537"/>
      <c r="F227" s="580"/>
      <c r="G227" s="580"/>
      <c r="H227" s="580"/>
      <c r="I227" s="535">
        <f t="shared" si="2"/>
        <v>0</v>
      </c>
    </row>
    <row r="228" spans="2:12" hidden="1">
      <c r="B228" s="536"/>
      <c r="C228" s="537"/>
      <c r="D228" s="538"/>
      <c r="E228" s="537"/>
      <c r="F228" s="580"/>
      <c r="G228" s="580"/>
      <c r="H228" s="580"/>
      <c r="I228" s="535">
        <f t="shared" si="2"/>
        <v>0</v>
      </c>
    </row>
    <row r="229" spans="2:12" hidden="1">
      <c r="B229" s="536"/>
      <c r="C229" s="537"/>
      <c r="D229" s="538"/>
      <c r="E229" s="537"/>
      <c r="F229" s="580"/>
      <c r="G229" s="580"/>
      <c r="H229" s="580"/>
      <c r="I229" s="535">
        <f t="shared" si="2"/>
        <v>0</v>
      </c>
    </row>
    <row r="230" spans="2:12" ht="15.75" hidden="1" thickBot="1">
      <c r="B230" s="539"/>
      <c r="C230" s="540"/>
      <c r="D230" s="541"/>
      <c r="E230" s="540"/>
      <c r="F230" s="581"/>
      <c r="G230" s="581"/>
      <c r="H230" s="581"/>
      <c r="I230" s="535">
        <f t="shared" si="2"/>
        <v>0</v>
      </c>
    </row>
    <row r="231" spans="2:12" s="520" customFormat="1" ht="15.75" thickBot="1">
      <c r="B231" s="524"/>
      <c r="C231" s="525"/>
      <c r="D231" s="526"/>
      <c r="E231" s="525"/>
      <c r="F231" s="527"/>
    </row>
    <row r="232" spans="2:12" s="520" customFormat="1" ht="15.75" thickBot="1">
      <c r="B232" s="528"/>
      <c r="C232" s="1676" t="s">
        <v>833</v>
      </c>
      <c r="D232" s="1677"/>
      <c r="E232" s="1677"/>
      <c r="F232" s="1678"/>
      <c r="G232" s="1665" t="s">
        <v>862</v>
      </c>
      <c r="H232" s="1666"/>
    </row>
    <row r="233" spans="2:12" s="520" customFormat="1">
      <c r="B233" s="582" t="s">
        <v>857</v>
      </c>
      <c r="C233" s="1698"/>
      <c r="D233" s="1698"/>
      <c r="E233" s="1698"/>
      <c r="F233" s="1699"/>
      <c r="G233" s="1667" t="s">
        <v>912</v>
      </c>
      <c r="H233" s="1668"/>
    </row>
    <row r="234" spans="2:12" s="520" customFormat="1">
      <c r="B234" s="583" t="s">
        <v>858</v>
      </c>
      <c r="C234" s="1662"/>
      <c r="D234" s="1662"/>
      <c r="E234" s="1662"/>
      <c r="F234" s="1679"/>
      <c r="G234" s="1663" t="s">
        <v>912</v>
      </c>
      <c r="H234" s="1664"/>
    </row>
    <row r="235" spans="2:12" s="520" customFormat="1">
      <c r="B235" s="583" t="s">
        <v>859</v>
      </c>
      <c r="C235" s="1662"/>
      <c r="D235" s="1662"/>
      <c r="E235" s="1662"/>
      <c r="F235" s="1679"/>
      <c r="G235" s="1663" t="s">
        <v>912</v>
      </c>
      <c r="H235" s="1664"/>
    </row>
    <row r="236" spans="2:12" s="520" customFormat="1">
      <c r="B236" s="583" t="s">
        <v>906</v>
      </c>
      <c r="C236" s="1662"/>
      <c r="D236" s="1662"/>
      <c r="E236" s="1662"/>
      <c r="F236" s="1679"/>
      <c r="G236" s="1663" t="s">
        <v>912</v>
      </c>
      <c r="H236" s="1664"/>
    </row>
    <row r="237" spans="2:12" s="520" customFormat="1">
      <c r="B237" s="583" t="s">
        <v>907</v>
      </c>
      <c r="C237" s="1662"/>
      <c r="D237" s="1662"/>
      <c r="E237" s="1662"/>
      <c r="F237" s="1679"/>
      <c r="G237" s="1663" t="s">
        <v>912</v>
      </c>
      <c r="H237" s="1664"/>
    </row>
    <row r="238" spans="2:12" s="520" customFormat="1" ht="15.75" thickBot="1">
      <c r="B238" s="584" t="s">
        <v>908</v>
      </c>
      <c r="C238" s="1680"/>
      <c r="D238" s="1680"/>
      <c r="E238" s="1680"/>
      <c r="F238" s="1681"/>
      <c r="G238" s="1669" t="s">
        <v>912</v>
      </c>
      <c r="H238" s="1670"/>
    </row>
    <row r="239" spans="2:12" s="520" customFormat="1">
      <c r="B239" s="524"/>
      <c r="C239" s="529"/>
      <c r="D239" s="529"/>
      <c r="E239" s="529"/>
      <c r="F239" s="529"/>
    </row>
    <row r="240" spans="2:12" s="520" customFormat="1">
      <c r="B240" s="509" t="s">
        <v>130</v>
      </c>
      <c r="C240" s="509"/>
      <c r="D240" s="509"/>
      <c r="E240" s="509"/>
      <c r="F240" s="509"/>
      <c r="G240" s="509"/>
      <c r="H240" s="509"/>
      <c r="I240" s="509"/>
      <c r="J240" s="509"/>
      <c r="K240" s="509"/>
      <c r="L240" s="509"/>
    </row>
    <row r="241" spans="1:12" s="520" customFormat="1" ht="15.75" thickBot="1">
      <c r="B241" s="509"/>
      <c r="C241" s="509"/>
      <c r="D241" s="509"/>
      <c r="E241" s="509"/>
      <c r="F241" s="509"/>
      <c r="G241" s="509"/>
      <c r="H241" s="509"/>
      <c r="I241" s="509"/>
      <c r="J241" s="509"/>
      <c r="K241" s="509"/>
      <c r="L241" s="509"/>
    </row>
    <row r="242" spans="1:12" s="520" customFormat="1">
      <c r="B242" s="1682"/>
      <c r="C242" s="1683"/>
      <c r="D242" s="1683"/>
      <c r="E242" s="1683"/>
      <c r="F242" s="1683"/>
      <c r="G242" s="1683"/>
      <c r="H242" s="1683"/>
      <c r="I242" s="1683"/>
      <c r="J242" s="1683"/>
      <c r="K242" s="1683"/>
      <c r="L242" s="1684"/>
    </row>
    <row r="243" spans="1:12" s="520" customFormat="1">
      <c r="B243" s="1685"/>
      <c r="C243" s="1686"/>
      <c r="D243" s="1686"/>
      <c r="E243" s="1686"/>
      <c r="F243" s="1686"/>
      <c r="G243" s="1686"/>
      <c r="H243" s="1686"/>
      <c r="I243" s="1686"/>
      <c r="J243" s="1686"/>
      <c r="K243" s="1686"/>
      <c r="L243" s="1687"/>
    </row>
    <row r="244" spans="1:12" s="520" customFormat="1">
      <c r="B244" s="1685"/>
      <c r="C244" s="1686"/>
      <c r="D244" s="1686"/>
      <c r="E244" s="1686"/>
      <c r="F244" s="1686"/>
      <c r="G244" s="1686"/>
      <c r="H244" s="1686"/>
      <c r="I244" s="1686"/>
      <c r="J244" s="1686"/>
      <c r="K244" s="1686"/>
      <c r="L244" s="1687"/>
    </row>
    <row r="245" spans="1:12" s="520" customFormat="1">
      <c r="B245" s="1685"/>
      <c r="C245" s="1686"/>
      <c r="D245" s="1686"/>
      <c r="E245" s="1686"/>
      <c r="F245" s="1686"/>
      <c r="G245" s="1686"/>
      <c r="H245" s="1686"/>
      <c r="I245" s="1686"/>
      <c r="J245" s="1686"/>
      <c r="K245" s="1686"/>
      <c r="L245" s="1687"/>
    </row>
    <row r="246" spans="1:12" s="520" customFormat="1">
      <c r="B246" s="1685"/>
      <c r="C246" s="1686"/>
      <c r="D246" s="1686"/>
      <c r="E246" s="1686"/>
      <c r="F246" s="1686"/>
      <c r="G246" s="1686"/>
      <c r="H246" s="1686"/>
      <c r="I246" s="1686"/>
      <c r="J246" s="1686"/>
      <c r="K246" s="1686"/>
      <c r="L246" s="1687"/>
    </row>
    <row r="247" spans="1:12" s="520" customFormat="1">
      <c r="B247" s="1685"/>
      <c r="C247" s="1686"/>
      <c r="D247" s="1686"/>
      <c r="E247" s="1686"/>
      <c r="F247" s="1686"/>
      <c r="G247" s="1686"/>
      <c r="H247" s="1686"/>
      <c r="I247" s="1686"/>
      <c r="J247" s="1686"/>
      <c r="K247" s="1686"/>
      <c r="L247" s="1687"/>
    </row>
    <row r="248" spans="1:12" s="520" customFormat="1">
      <c r="B248" s="1685"/>
      <c r="C248" s="1686"/>
      <c r="D248" s="1686"/>
      <c r="E248" s="1686"/>
      <c r="F248" s="1686"/>
      <c r="G248" s="1686"/>
      <c r="H248" s="1686"/>
      <c r="I248" s="1686"/>
      <c r="J248" s="1686"/>
      <c r="K248" s="1686"/>
      <c r="L248" s="1687"/>
    </row>
    <row r="249" spans="1:12" s="520" customFormat="1" ht="15.75" thickBot="1">
      <c r="B249" s="1688"/>
      <c r="C249" s="1689"/>
      <c r="D249" s="1689"/>
      <c r="E249" s="1689"/>
      <c r="F249" s="1689"/>
      <c r="G249" s="1689"/>
      <c r="H249" s="1689"/>
      <c r="I249" s="1689"/>
      <c r="J249" s="1689"/>
      <c r="K249" s="1689"/>
      <c r="L249" s="1690"/>
    </row>
    <row r="250" spans="1:12" s="520" customFormat="1">
      <c r="B250" s="524"/>
      <c r="C250" s="529"/>
      <c r="D250" s="529"/>
      <c r="E250" s="529"/>
      <c r="F250" s="529"/>
    </row>
    <row r="251" spans="1:12">
      <c r="A251" s="510"/>
      <c r="B251" s="13" t="s">
        <v>860</v>
      </c>
    </row>
    <row r="252" spans="1:12">
      <c r="A252" s="510"/>
      <c r="B252" s="13"/>
    </row>
    <row r="253" spans="1:12" ht="43.5" customHeight="1">
      <c r="A253" s="510"/>
      <c r="B253" s="1691" t="s">
        <v>911</v>
      </c>
      <c r="C253" s="1691"/>
      <c r="D253" s="1691"/>
      <c r="E253" s="1691"/>
      <c r="F253" s="1691"/>
      <c r="G253" s="1691"/>
      <c r="H253" s="1691"/>
      <c r="I253" s="1691"/>
      <c r="J253" s="1691"/>
      <c r="K253" s="1691"/>
      <c r="L253" s="1691"/>
    </row>
    <row r="254" spans="1:12" ht="15.75" thickBot="1"/>
    <row r="255" spans="1:12">
      <c r="B255" s="1692" t="s">
        <v>848</v>
      </c>
      <c r="C255" s="1693"/>
      <c r="D255" s="1693"/>
      <c r="E255" s="1693"/>
      <c r="F255" s="1694"/>
      <c r="G255" s="1695" t="s">
        <v>910</v>
      </c>
      <c r="H255" s="1696"/>
      <c r="I255" s="1696"/>
      <c r="J255" s="1696"/>
      <c r="K255" s="1696"/>
      <c r="L255" s="1697"/>
    </row>
    <row r="256" spans="1:12">
      <c r="B256" s="1700" t="s">
        <v>849</v>
      </c>
      <c r="C256" s="1701"/>
      <c r="D256" s="1701"/>
      <c r="E256" s="1701"/>
      <c r="F256" s="1701"/>
      <c r="G256" s="1702"/>
      <c r="H256" s="1702"/>
      <c r="I256" s="1702"/>
      <c r="J256" s="1702"/>
      <c r="K256" s="1702"/>
      <c r="L256" s="1703"/>
    </row>
    <row r="257" spans="2:12" ht="15.75" thickBot="1">
      <c r="B257" s="1671" t="s">
        <v>861</v>
      </c>
      <c r="C257" s="1672"/>
      <c r="D257" s="1672"/>
      <c r="E257" s="1672"/>
      <c r="F257" s="1673"/>
      <c r="G257" s="1674"/>
      <c r="H257" s="1674"/>
      <c r="I257" s="1674"/>
      <c r="J257" s="1674"/>
      <c r="K257" s="1674"/>
      <c r="L257" s="1675"/>
    </row>
    <row r="258" spans="2:12" ht="15.75" thickBot="1"/>
    <row r="259" spans="2:12" ht="26.25" thickBot="1">
      <c r="B259" s="521" t="s">
        <v>852</v>
      </c>
      <c r="C259" s="522" t="s">
        <v>853</v>
      </c>
      <c r="D259" s="522" t="s">
        <v>854</v>
      </c>
      <c r="E259" s="522" t="s">
        <v>855</v>
      </c>
      <c r="F259" s="522" t="s">
        <v>903</v>
      </c>
      <c r="G259" s="522" t="s">
        <v>904</v>
      </c>
      <c r="H259" s="522" t="s">
        <v>905</v>
      </c>
      <c r="I259" s="523" t="s">
        <v>856</v>
      </c>
    </row>
    <row r="260" spans="2:12">
      <c r="B260" s="542"/>
      <c r="C260" s="543"/>
      <c r="D260" s="543"/>
      <c r="E260" s="543"/>
      <c r="F260" s="543"/>
      <c r="G260" s="543"/>
      <c r="H260" s="543"/>
      <c r="I260" s="544">
        <f>SUM(C260:H260)</f>
        <v>0</v>
      </c>
    </row>
    <row r="261" spans="2:12">
      <c r="B261" s="533"/>
      <c r="C261" s="534"/>
      <c r="D261" s="534"/>
      <c r="E261" s="534"/>
      <c r="F261" s="534"/>
      <c r="G261" s="534"/>
      <c r="H261" s="534"/>
      <c r="I261" s="535">
        <f t="shared" ref="I261:I324" si="3">SUM(C261:H261)</f>
        <v>0</v>
      </c>
    </row>
    <row r="262" spans="2:12">
      <c r="B262" s="533"/>
      <c r="C262" s="534"/>
      <c r="D262" s="534"/>
      <c r="E262" s="534"/>
      <c r="F262" s="534"/>
      <c r="G262" s="534"/>
      <c r="H262" s="534"/>
      <c r="I262" s="535">
        <f t="shared" si="3"/>
        <v>0</v>
      </c>
    </row>
    <row r="263" spans="2:12">
      <c r="B263" s="533"/>
      <c r="C263" s="534"/>
      <c r="D263" s="534"/>
      <c r="E263" s="534"/>
      <c r="F263" s="534"/>
      <c r="G263" s="534"/>
      <c r="H263" s="534"/>
      <c r="I263" s="535">
        <f t="shared" si="3"/>
        <v>0</v>
      </c>
    </row>
    <row r="264" spans="2:12">
      <c r="B264" s="533"/>
      <c r="C264" s="534"/>
      <c r="D264" s="534"/>
      <c r="E264" s="534"/>
      <c r="F264" s="534"/>
      <c r="G264" s="534"/>
      <c r="H264" s="534"/>
      <c r="I264" s="535">
        <f t="shared" si="3"/>
        <v>0</v>
      </c>
    </row>
    <row r="265" spans="2:12">
      <c r="B265" s="533"/>
      <c r="C265" s="534"/>
      <c r="D265" s="534"/>
      <c r="E265" s="534"/>
      <c r="F265" s="534"/>
      <c r="G265" s="534"/>
      <c r="H265" s="534"/>
      <c r="I265" s="535">
        <f t="shared" si="3"/>
        <v>0</v>
      </c>
    </row>
    <row r="266" spans="2:12">
      <c r="B266" s="533"/>
      <c r="C266" s="534"/>
      <c r="D266" s="534"/>
      <c r="E266" s="534"/>
      <c r="F266" s="534"/>
      <c r="G266" s="534"/>
      <c r="H266" s="534"/>
      <c r="I266" s="535">
        <f t="shared" si="3"/>
        <v>0</v>
      </c>
    </row>
    <row r="267" spans="2:12">
      <c r="B267" s="533"/>
      <c r="C267" s="534"/>
      <c r="D267" s="534"/>
      <c r="E267" s="534"/>
      <c r="F267" s="534"/>
      <c r="G267" s="534"/>
      <c r="H267" s="534"/>
      <c r="I267" s="535">
        <f t="shared" si="3"/>
        <v>0</v>
      </c>
    </row>
    <row r="268" spans="2:12">
      <c r="B268" s="533"/>
      <c r="C268" s="534"/>
      <c r="D268" s="534"/>
      <c r="E268" s="534"/>
      <c r="F268" s="534"/>
      <c r="G268" s="534"/>
      <c r="H268" s="534"/>
      <c r="I268" s="535">
        <f t="shared" si="3"/>
        <v>0</v>
      </c>
    </row>
    <row r="269" spans="2:12">
      <c r="B269" s="533"/>
      <c r="C269" s="534"/>
      <c r="D269" s="534"/>
      <c r="E269" s="534"/>
      <c r="F269" s="534"/>
      <c r="G269" s="534"/>
      <c r="H269" s="534"/>
      <c r="I269" s="535">
        <f t="shared" si="3"/>
        <v>0</v>
      </c>
    </row>
    <row r="270" spans="2:12">
      <c r="B270" s="533"/>
      <c r="C270" s="534"/>
      <c r="D270" s="534"/>
      <c r="E270" s="534"/>
      <c r="F270" s="534"/>
      <c r="G270" s="534"/>
      <c r="H270" s="534"/>
      <c r="I270" s="535">
        <f t="shared" si="3"/>
        <v>0</v>
      </c>
    </row>
    <row r="271" spans="2:12">
      <c r="B271" s="533"/>
      <c r="C271" s="534"/>
      <c r="D271" s="534"/>
      <c r="E271" s="534"/>
      <c r="F271" s="534"/>
      <c r="G271" s="534"/>
      <c r="H271" s="534"/>
      <c r="I271" s="535">
        <f t="shared" si="3"/>
        <v>0</v>
      </c>
    </row>
    <row r="272" spans="2:12">
      <c r="B272" s="533"/>
      <c r="C272" s="534"/>
      <c r="D272" s="534"/>
      <c r="E272" s="534"/>
      <c r="F272" s="534"/>
      <c r="G272" s="534"/>
      <c r="H272" s="534"/>
      <c r="I272" s="535">
        <f t="shared" si="3"/>
        <v>0</v>
      </c>
    </row>
    <row r="273" spans="2:9">
      <c r="B273" s="533"/>
      <c r="C273" s="534"/>
      <c r="D273" s="534"/>
      <c r="E273" s="534"/>
      <c r="F273" s="534"/>
      <c r="G273" s="534"/>
      <c r="H273" s="534"/>
      <c r="I273" s="535">
        <f t="shared" si="3"/>
        <v>0</v>
      </c>
    </row>
    <row r="274" spans="2:9">
      <c r="B274" s="533"/>
      <c r="C274" s="534"/>
      <c r="D274" s="534"/>
      <c r="E274" s="534"/>
      <c r="F274" s="534"/>
      <c r="G274" s="534"/>
      <c r="H274" s="534"/>
      <c r="I274" s="535">
        <f t="shared" si="3"/>
        <v>0</v>
      </c>
    </row>
    <row r="275" spans="2:9" hidden="1">
      <c r="B275" s="586"/>
      <c r="C275" s="587"/>
      <c r="D275" s="587"/>
      <c r="E275" s="587"/>
      <c r="F275" s="587"/>
      <c r="G275" s="587"/>
      <c r="H275" s="587"/>
      <c r="I275" s="535">
        <f t="shared" si="3"/>
        <v>0</v>
      </c>
    </row>
    <row r="276" spans="2:9" hidden="1">
      <c r="B276" s="586"/>
      <c r="C276" s="587"/>
      <c r="D276" s="587"/>
      <c r="E276" s="587"/>
      <c r="F276" s="587"/>
      <c r="G276" s="587"/>
      <c r="H276" s="587"/>
      <c r="I276" s="535">
        <f t="shared" si="3"/>
        <v>0</v>
      </c>
    </row>
    <row r="277" spans="2:9" hidden="1">
      <c r="B277" s="586"/>
      <c r="C277" s="587"/>
      <c r="D277" s="587"/>
      <c r="E277" s="587"/>
      <c r="F277" s="587"/>
      <c r="G277" s="587"/>
      <c r="H277" s="587"/>
      <c r="I277" s="535">
        <f t="shared" si="3"/>
        <v>0</v>
      </c>
    </row>
    <row r="278" spans="2:9" hidden="1">
      <c r="B278" s="586"/>
      <c r="C278" s="587"/>
      <c r="D278" s="587"/>
      <c r="E278" s="587"/>
      <c r="F278" s="587"/>
      <c r="G278" s="587"/>
      <c r="H278" s="587"/>
      <c r="I278" s="535">
        <f t="shared" si="3"/>
        <v>0</v>
      </c>
    </row>
    <row r="279" spans="2:9" hidden="1">
      <c r="B279" s="586"/>
      <c r="C279" s="587"/>
      <c r="D279" s="587"/>
      <c r="E279" s="587"/>
      <c r="F279" s="587"/>
      <c r="G279" s="587"/>
      <c r="H279" s="587"/>
      <c r="I279" s="535">
        <f t="shared" si="3"/>
        <v>0</v>
      </c>
    </row>
    <row r="280" spans="2:9" hidden="1">
      <c r="B280" s="586"/>
      <c r="C280" s="587"/>
      <c r="D280" s="587"/>
      <c r="E280" s="587"/>
      <c r="F280" s="587"/>
      <c r="G280" s="587"/>
      <c r="H280" s="587"/>
      <c r="I280" s="535">
        <f t="shared" si="3"/>
        <v>0</v>
      </c>
    </row>
    <row r="281" spans="2:9" hidden="1">
      <c r="B281" s="586"/>
      <c r="C281" s="587"/>
      <c r="D281" s="587"/>
      <c r="E281" s="587"/>
      <c r="F281" s="587"/>
      <c r="G281" s="587"/>
      <c r="H281" s="587"/>
      <c r="I281" s="535">
        <f t="shared" si="3"/>
        <v>0</v>
      </c>
    </row>
    <row r="282" spans="2:9" hidden="1">
      <c r="B282" s="586"/>
      <c r="C282" s="587"/>
      <c r="D282" s="587"/>
      <c r="E282" s="587"/>
      <c r="F282" s="587"/>
      <c r="G282" s="587"/>
      <c r="H282" s="587"/>
      <c r="I282" s="535">
        <f t="shared" si="3"/>
        <v>0</v>
      </c>
    </row>
    <row r="283" spans="2:9" hidden="1">
      <c r="B283" s="586"/>
      <c r="C283" s="587"/>
      <c r="D283" s="587"/>
      <c r="E283" s="587"/>
      <c r="F283" s="587"/>
      <c r="G283" s="587"/>
      <c r="H283" s="587"/>
      <c r="I283" s="535">
        <f t="shared" si="3"/>
        <v>0</v>
      </c>
    </row>
    <row r="284" spans="2:9" hidden="1">
      <c r="B284" s="586"/>
      <c r="C284" s="587"/>
      <c r="D284" s="587"/>
      <c r="E284" s="587"/>
      <c r="F284" s="587"/>
      <c r="G284" s="587"/>
      <c r="H284" s="587"/>
      <c r="I284" s="535">
        <f t="shared" si="3"/>
        <v>0</v>
      </c>
    </row>
    <row r="285" spans="2:9" hidden="1">
      <c r="B285" s="586"/>
      <c r="C285" s="587"/>
      <c r="D285" s="587"/>
      <c r="E285" s="587"/>
      <c r="F285" s="587"/>
      <c r="G285" s="587"/>
      <c r="H285" s="587"/>
      <c r="I285" s="535">
        <f t="shared" si="3"/>
        <v>0</v>
      </c>
    </row>
    <row r="286" spans="2:9" hidden="1">
      <c r="B286" s="586"/>
      <c r="C286" s="587"/>
      <c r="D286" s="587"/>
      <c r="E286" s="587"/>
      <c r="F286" s="587"/>
      <c r="G286" s="587"/>
      <c r="H286" s="587"/>
      <c r="I286" s="535">
        <f t="shared" si="3"/>
        <v>0</v>
      </c>
    </row>
    <row r="287" spans="2:9" hidden="1">
      <c r="B287" s="586"/>
      <c r="C287" s="587"/>
      <c r="D287" s="587"/>
      <c r="E287" s="587"/>
      <c r="F287" s="587"/>
      <c r="G287" s="587"/>
      <c r="H287" s="587"/>
      <c r="I287" s="535">
        <f t="shared" si="3"/>
        <v>0</v>
      </c>
    </row>
    <row r="288" spans="2:9" hidden="1">
      <c r="B288" s="586"/>
      <c r="C288" s="587"/>
      <c r="D288" s="587"/>
      <c r="E288" s="587"/>
      <c r="F288" s="587"/>
      <c r="G288" s="587"/>
      <c r="H288" s="587"/>
      <c r="I288" s="535">
        <f t="shared" si="3"/>
        <v>0</v>
      </c>
    </row>
    <row r="289" spans="2:9" hidden="1">
      <c r="B289" s="586"/>
      <c r="C289" s="587"/>
      <c r="D289" s="587"/>
      <c r="E289" s="587"/>
      <c r="F289" s="587"/>
      <c r="G289" s="587"/>
      <c r="H289" s="587"/>
      <c r="I289" s="535">
        <f t="shared" si="3"/>
        <v>0</v>
      </c>
    </row>
    <row r="290" spans="2:9" hidden="1">
      <c r="B290" s="586"/>
      <c r="C290" s="587"/>
      <c r="D290" s="587"/>
      <c r="E290" s="587"/>
      <c r="F290" s="587"/>
      <c r="G290" s="587"/>
      <c r="H290" s="587"/>
      <c r="I290" s="535">
        <f t="shared" si="3"/>
        <v>0</v>
      </c>
    </row>
    <row r="291" spans="2:9" hidden="1">
      <c r="B291" s="586"/>
      <c r="C291" s="587"/>
      <c r="D291" s="587"/>
      <c r="E291" s="587"/>
      <c r="F291" s="587"/>
      <c r="G291" s="587"/>
      <c r="H291" s="587"/>
      <c r="I291" s="535">
        <f t="shared" si="3"/>
        <v>0</v>
      </c>
    </row>
    <row r="292" spans="2:9" hidden="1">
      <c r="B292" s="586"/>
      <c r="C292" s="587"/>
      <c r="D292" s="587"/>
      <c r="E292" s="587"/>
      <c r="F292" s="587"/>
      <c r="G292" s="587"/>
      <c r="H292" s="587"/>
      <c r="I292" s="535">
        <f t="shared" si="3"/>
        <v>0</v>
      </c>
    </row>
    <row r="293" spans="2:9" hidden="1">
      <c r="B293" s="586"/>
      <c r="C293" s="587"/>
      <c r="D293" s="587"/>
      <c r="E293" s="587"/>
      <c r="F293" s="587"/>
      <c r="G293" s="587"/>
      <c r="H293" s="587"/>
      <c r="I293" s="535">
        <f t="shared" si="3"/>
        <v>0</v>
      </c>
    </row>
    <row r="294" spans="2:9" hidden="1">
      <c r="B294" s="586"/>
      <c r="C294" s="587"/>
      <c r="D294" s="587"/>
      <c r="E294" s="587"/>
      <c r="F294" s="587"/>
      <c r="G294" s="587"/>
      <c r="H294" s="587"/>
      <c r="I294" s="535">
        <f t="shared" si="3"/>
        <v>0</v>
      </c>
    </row>
    <row r="295" spans="2:9" hidden="1">
      <c r="B295" s="586"/>
      <c r="C295" s="587"/>
      <c r="D295" s="587"/>
      <c r="E295" s="587"/>
      <c r="F295" s="587"/>
      <c r="G295" s="587"/>
      <c r="H295" s="587"/>
      <c r="I295" s="535">
        <f t="shared" si="3"/>
        <v>0</v>
      </c>
    </row>
    <row r="296" spans="2:9" hidden="1">
      <c r="B296" s="586"/>
      <c r="C296" s="587"/>
      <c r="D296" s="587"/>
      <c r="E296" s="587"/>
      <c r="F296" s="587"/>
      <c r="G296" s="587"/>
      <c r="H296" s="587"/>
      <c r="I296" s="535">
        <f t="shared" si="3"/>
        <v>0</v>
      </c>
    </row>
    <row r="297" spans="2:9" hidden="1">
      <c r="B297" s="586"/>
      <c r="C297" s="587"/>
      <c r="D297" s="587"/>
      <c r="E297" s="587"/>
      <c r="F297" s="587"/>
      <c r="G297" s="587"/>
      <c r="H297" s="587"/>
      <c r="I297" s="535">
        <f t="shared" si="3"/>
        <v>0</v>
      </c>
    </row>
    <row r="298" spans="2:9" hidden="1">
      <c r="B298" s="586"/>
      <c r="C298" s="587"/>
      <c r="D298" s="587"/>
      <c r="E298" s="587"/>
      <c r="F298" s="587"/>
      <c r="G298" s="587"/>
      <c r="H298" s="587"/>
      <c r="I298" s="535">
        <f t="shared" si="3"/>
        <v>0</v>
      </c>
    </row>
    <row r="299" spans="2:9" hidden="1">
      <c r="B299" s="586"/>
      <c r="C299" s="587"/>
      <c r="D299" s="587"/>
      <c r="E299" s="587"/>
      <c r="F299" s="587"/>
      <c r="G299" s="587"/>
      <c r="H299" s="587"/>
      <c r="I299" s="535">
        <f t="shared" si="3"/>
        <v>0</v>
      </c>
    </row>
    <row r="300" spans="2:9" hidden="1">
      <c r="B300" s="586"/>
      <c r="C300" s="587"/>
      <c r="D300" s="587"/>
      <c r="E300" s="587"/>
      <c r="F300" s="587"/>
      <c r="G300" s="587"/>
      <c r="H300" s="587"/>
      <c r="I300" s="535">
        <f t="shared" si="3"/>
        <v>0</v>
      </c>
    </row>
    <row r="301" spans="2:9" hidden="1">
      <c r="B301" s="586"/>
      <c r="C301" s="587"/>
      <c r="D301" s="587"/>
      <c r="E301" s="587"/>
      <c r="F301" s="587"/>
      <c r="G301" s="587"/>
      <c r="H301" s="587"/>
      <c r="I301" s="535">
        <f t="shared" si="3"/>
        <v>0</v>
      </c>
    </row>
    <row r="302" spans="2:9" hidden="1">
      <c r="B302" s="586"/>
      <c r="C302" s="587"/>
      <c r="D302" s="587"/>
      <c r="E302" s="587"/>
      <c r="F302" s="587"/>
      <c r="G302" s="587"/>
      <c r="H302" s="587"/>
      <c r="I302" s="535">
        <f t="shared" si="3"/>
        <v>0</v>
      </c>
    </row>
    <row r="303" spans="2:9" hidden="1">
      <c r="B303" s="586"/>
      <c r="C303" s="587"/>
      <c r="D303" s="587"/>
      <c r="E303" s="587"/>
      <c r="F303" s="587"/>
      <c r="G303" s="587"/>
      <c r="H303" s="587"/>
      <c r="I303" s="535">
        <f t="shared" si="3"/>
        <v>0</v>
      </c>
    </row>
    <row r="304" spans="2:9" hidden="1">
      <c r="B304" s="586"/>
      <c r="C304" s="587"/>
      <c r="D304" s="587"/>
      <c r="E304" s="587"/>
      <c r="F304" s="587"/>
      <c r="G304" s="587"/>
      <c r="H304" s="587"/>
      <c r="I304" s="535">
        <f t="shared" si="3"/>
        <v>0</v>
      </c>
    </row>
    <row r="305" spans="2:9" hidden="1">
      <c r="B305" s="586"/>
      <c r="C305" s="587"/>
      <c r="D305" s="587"/>
      <c r="E305" s="587"/>
      <c r="F305" s="587"/>
      <c r="G305" s="587"/>
      <c r="H305" s="587"/>
      <c r="I305" s="535">
        <f t="shared" si="3"/>
        <v>0</v>
      </c>
    </row>
    <row r="306" spans="2:9" hidden="1">
      <c r="B306" s="586"/>
      <c r="C306" s="587"/>
      <c r="D306" s="587"/>
      <c r="E306" s="587"/>
      <c r="F306" s="587"/>
      <c r="G306" s="587"/>
      <c r="H306" s="587"/>
      <c r="I306" s="535">
        <f t="shared" si="3"/>
        <v>0</v>
      </c>
    </row>
    <row r="307" spans="2:9" hidden="1">
      <c r="B307" s="586"/>
      <c r="C307" s="587"/>
      <c r="D307" s="587"/>
      <c r="E307" s="587"/>
      <c r="F307" s="587"/>
      <c r="G307" s="587"/>
      <c r="H307" s="587"/>
      <c r="I307" s="535">
        <f t="shared" si="3"/>
        <v>0</v>
      </c>
    </row>
    <row r="308" spans="2:9" hidden="1">
      <c r="B308" s="586"/>
      <c r="C308" s="587"/>
      <c r="D308" s="587"/>
      <c r="E308" s="587"/>
      <c r="F308" s="587"/>
      <c r="G308" s="587"/>
      <c r="H308" s="587"/>
      <c r="I308" s="535">
        <f t="shared" si="3"/>
        <v>0</v>
      </c>
    </row>
    <row r="309" spans="2:9" hidden="1">
      <c r="B309" s="586"/>
      <c r="C309" s="587"/>
      <c r="D309" s="587"/>
      <c r="E309" s="587"/>
      <c r="F309" s="587"/>
      <c r="G309" s="587"/>
      <c r="H309" s="587"/>
      <c r="I309" s="535">
        <f t="shared" si="3"/>
        <v>0</v>
      </c>
    </row>
    <row r="310" spans="2:9" hidden="1">
      <c r="B310" s="586"/>
      <c r="C310" s="587"/>
      <c r="D310" s="587"/>
      <c r="E310" s="587"/>
      <c r="F310" s="587"/>
      <c r="G310" s="587"/>
      <c r="H310" s="587"/>
      <c r="I310" s="535">
        <f t="shared" si="3"/>
        <v>0</v>
      </c>
    </row>
    <row r="311" spans="2:9" hidden="1">
      <c r="B311" s="586"/>
      <c r="C311" s="587"/>
      <c r="D311" s="587"/>
      <c r="E311" s="587"/>
      <c r="F311" s="587"/>
      <c r="G311" s="587"/>
      <c r="H311" s="587"/>
      <c r="I311" s="535">
        <f t="shared" si="3"/>
        <v>0</v>
      </c>
    </row>
    <row r="312" spans="2:9" hidden="1">
      <c r="B312" s="586"/>
      <c r="C312" s="587"/>
      <c r="D312" s="587"/>
      <c r="E312" s="587"/>
      <c r="F312" s="587"/>
      <c r="G312" s="587"/>
      <c r="H312" s="587"/>
      <c r="I312" s="535">
        <f t="shared" si="3"/>
        <v>0</v>
      </c>
    </row>
    <row r="313" spans="2:9" hidden="1">
      <c r="B313" s="586"/>
      <c r="C313" s="587"/>
      <c r="D313" s="587"/>
      <c r="E313" s="587"/>
      <c r="F313" s="587"/>
      <c r="G313" s="587"/>
      <c r="H313" s="587"/>
      <c r="I313" s="535">
        <f t="shared" si="3"/>
        <v>0</v>
      </c>
    </row>
    <row r="314" spans="2:9" hidden="1">
      <c r="B314" s="586"/>
      <c r="C314" s="587"/>
      <c r="D314" s="587"/>
      <c r="E314" s="587"/>
      <c r="F314" s="587"/>
      <c r="G314" s="587"/>
      <c r="H314" s="587"/>
      <c r="I314" s="535">
        <f t="shared" si="3"/>
        <v>0</v>
      </c>
    </row>
    <row r="315" spans="2:9" hidden="1">
      <c r="B315" s="586"/>
      <c r="C315" s="587"/>
      <c r="D315" s="587"/>
      <c r="E315" s="587"/>
      <c r="F315" s="587"/>
      <c r="G315" s="587"/>
      <c r="H315" s="587"/>
      <c r="I315" s="535">
        <f t="shared" si="3"/>
        <v>0</v>
      </c>
    </row>
    <row r="316" spans="2:9" hidden="1">
      <c r="B316" s="586"/>
      <c r="C316" s="587"/>
      <c r="D316" s="587"/>
      <c r="E316" s="587"/>
      <c r="F316" s="587"/>
      <c r="G316" s="587"/>
      <c r="H316" s="587"/>
      <c r="I316" s="535">
        <f t="shared" si="3"/>
        <v>0</v>
      </c>
    </row>
    <row r="317" spans="2:9" hidden="1">
      <c r="B317" s="586"/>
      <c r="C317" s="587"/>
      <c r="D317" s="587"/>
      <c r="E317" s="587"/>
      <c r="F317" s="587"/>
      <c r="G317" s="587"/>
      <c r="H317" s="587"/>
      <c r="I317" s="535">
        <f t="shared" si="3"/>
        <v>0</v>
      </c>
    </row>
    <row r="318" spans="2:9" hidden="1">
      <c r="B318" s="586"/>
      <c r="C318" s="587"/>
      <c r="D318" s="587"/>
      <c r="E318" s="587"/>
      <c r="F318" s="587"/>
      <c r="G318" s="587"/>
      <c r="H318" s="587"/>
      <c r="I318" s="535">
        <f t="shared" si="3"/>
        <v>0</v>
      </c>
    </row>
    <row r="319" spans="2:9" hidden="1">
      <c r="B319" s="586"/>
      <c r="C319" s="587"/>
      <c r="D319" s="587"/>
      <c r="E319" s="587"/>
      <c r="F319" s="587"/>
      <c r="G319" s="587"/>
      <c r="H319" s="587"/>
      <c r="I319" s="535">
        <f t="shared" si="3"/>
        <v>0</v>
      </c>
    </row>
    <row r="320" spans="2:9" hidden="1">
      <c r="B320" s="586"/>
      <c r="C320" s="587"/>
      <c r="D320" s="587"/>
      <c r="E320" s="587"/>
      <c r="F320" s="587"/>
      <c r="G320" s="587"/>
      <c r="H320" s="587"/>
      <c r="I320" s="535">
        <f t="shared" si="3"/>
        <v>0</v>
      </c>
    </row>
    <row r="321" spans="2:9" hidden="1">
      <c r="B321" s="586"/>
      <c r="C321" s="587"/>
      <c r="D321" s="587"/>
      <c r="E321" s="587"/>
      <c r="F321" s="587"/>
      <c r="G321" s="587"/>
      <c r="H321" s="587"/>
      <c r="I321" s="535">
        <f t="shared" si="3"/>
        <v>0</v>
      </c>
    </row>
    <row r="322" spans="2:9" hidden="1">
      <c r="B322" s="586"/>
      <c r="C322" s="587"/>
      <c r="D322" s="587"/>
      <c r="E322" s="587"/>
      <c r="F322" s="587"/>
      <c r="G322" s="587"/>
      <c r="H322" s="587"/>
      <c r="I322" s="535">
        <f t="shared" si="3"/>
        <v>0</v>
      </c>
    </row>
    <row r="323" spans="2:9" hidden="1">
      <c r="B323" s="586"/>
      <c r="C323" s="587"/>
      <c r="D323" s="587"/>
      <c r="E323" s="587"/>
      <c r="F323" s="587"/>
      <c r="G323" s="587"/>
      <c r="H323" s="587"/>
      <c r="I323" s="535">
        <f t="shared" si="3"/>
        <v>0</v>
      </c>
    </row>
    <row r="324" spans="2:9" hidden="1">
      <c r="B324" s="586"/>
      <c r="C324" s="587"/>
      <c r="D324" s="587"/>
      <c r="E324" s="587"/>
      <c r="F324" s="587"/>
      <c r="G324" s="587"/>
      <c r="H324" s="587"/>
      <c r="I324" s="535">
        <f t="shared" si="3"/>
        <v>0</v>
      </c>
    </row>
    <row r="325" spans="2:9" hidden="1">
      <c r="B325" s="586"/>
      <c r="C325" s="587"/>
      <c r="D325" s="587"/>
      <c r="E325" s="587"/>
      <c r="F325" s="587"/>
      <c r="G325" s="587"/>
      <c r="H325" s="587"/>
      <c r="I325" s="535">
        <f t="shared" ref="I325:I388" si="4">SUM(C325:H325)</f>
        <v>0</v>
      </c>
    </row>
    <row r="326" spans="2:9" hidden="1">
      <c r="B326" s="586"/>
      <c r="C326" s="587"/>
      <c r="D326" s="587"/>
      <c r="E326" s="587"/>
      <c r="F326" s="587"/>
      <c r="G326" s="587"/>
      <c r="H326" s="587"/>
      <c r="I326" s="535">
        <f t="shared" si="4"/>
        <v>0</v>
      </c>
    </row>
    <row r="327" spans="2:9" hidden="1">
      <c r="B327" s="586"/>
      <c r="C327" s="587"/>
      <c r="D327" s="587"/>
      <c r="E327" s="587"/>
      <c r="F327" s="587"/>
      <c r="G327" s="587"/>
      <c r="H327" s="587"/>
      <c r="I327" s="535">
        <f t="shared" si="4"/>
        <v>0</v>
      </c>
    </row>
    <row r="328" spans="2:9" hidden="1">
      <c r="B328" s="586"/>
      <c r="C328" s="587"/>
      <c r="D328" s="587"/>
      <c r="E328" s="587"/>
      <c r="F328" s="587"/>
      <c r="G328" s="587"/>
      <c r="H328" s="587"/>
      <c r="I328" s="535">
        <f t="shared" si="4"/>
        <v>0</v>
      </c>
    </row>
    <row r="329" spans="2:9" hidden="1">
      <c r="B329" s="586"/>
      <c r="C329" s="587"/>
      <c r="D329" s="587"/>
      <c r="E329" s="587"/>
      <c r="F329" s="587"/>
      <c r="G329" s="587"/>
      <c r="H329" s="587"/>
      <c r="I329" s="535">
        <f t="shared" si="4"/>
        <v>0</v>
      </c>
    </row>
    <row r="330" spans="2:9" hidden="1">
      <c r="B330" s="586"/>
      <c r="C330" s="587"/>
      <c r="D330" s="587"/>
      <c r="E330" s="587"/>
      <c r="F330" s="587"/>
      <c r="G330" s="587"/>
      <c r="H330" s="587"/>
      <c r="I330" s="535">
        <f t="shared" si="4"/>
        <v>0</v>
      </c>
    </row>
    <row r="331" spans="2:9" hidden="1">
      <c r="B331" s="586"/>
      <c r="C331" s="587"/>
      <c r="D331" s="587"/>
      <c r="E331" s="587"/>
      <c r="F331" s="587"/>
      <c r="G331" s="587"/>
      <c r="H331" s="587"/>
      <c r="I331" s="535">
        <f t="shared" si="4"/>
        <v>0</v>
      </c>
    </row>
    <row r="332" spans="2:9" hidden="1">
      <c r="B332" s="586"/>
      <c r="C332" s="587"/>
      <c r="D332" s="587"/>
      <c r="E332" s="587"/>
      <c r="F332" s="587"/>
      <c r="G332" s="587"/>
      <c r="H332" s="587"/>
      <c r="I332" s="535">
        <f t="shared" si="4"/>
        <v>0</v>
      </c>
    </row>
    <row r="333" spans="2:9" hidden="1">
      <c r="B333" s="586"/>
      <c r="C333" s="587"/>
      <c r="D333" s="587"/>
      <c r="E333" s="587"/>
      <c r="F333" s="587"/>
      <c r="G333" s="587"/>
      <c r="H333" s="587"/>
      <c r="I333" s="535">
        <f t="shared" si="4"/>
        <v>0</v>
      </c>
    </row>
    <row r="334" spans="2:9" hidden="1">
      <c r="B334" s="586"/>
      <c r="C334" s="587"/>
      <c r="D334" s="587"/>
      <c r="E334" s="587"/>
      <c r="F334" s="587"/>
      <c r="G334" s="587"/>
      <c r="H334" s="587"/>
      <c r="I334" s="535">
        <f t="shared" si="4"/>
        <v>0</v>
      </c>
    </row>
    <row r="335" spans="2:9" hidden="1">
      <c r="B335" s="586"/>
      <c r="C335" s="587"/>
      <c r="D335" s="587"/>
      <c r="E335" s="587"/>
      <c r="F335" s="587"/>
      <c r="G335" s="587"/>
      <c r="H335" s="587"/>
      <c r="I335" s="535">
        <f t="shared" si="4"/>
        <v>0</v>
      </c>
    </row>
    <row r="336" spans="2:9" hidden="1">
      <c r="B336" s="586"/>
      <c r="C336" s="587"/>
      <c r="D336" s="587"/>
      <c r="E336" s="587"/>
      <c r="F336" s="587"/>
      <c r="G336" s="587"/>
      <c r="H336" s="587"/>
      <c r="I336" s="535">
        <f t="shared" si="4"/>
        <v>0</v>
      </c>
    </row>
    <row r="337" spans="2:9" hidden="1">
      <c r="B337" s="586"/>
      <c r="C337" s="587"/>
      <c r="D337" s="587"/>
      <c r="E337" s="587"/>
      <c r="F337" s="587"/>
      <c r="G337" s="587"/>
      <c r="H337" s="587"/>
      <c r="I337" s="535">
        <f t="shared" si="4"/>
        <v>0</v>
      </c>
    </row>
    <row r="338" spans="2:9" hidden="1">
      <c r="B338" s="586"/>
      <c r="C338" s="587"/>
      <c r="D338" s="587"/>
      <c r="E338" s="587"/>
      <c r="F338" s="587"/>
      <c r="G338" s="587"/>
      <c r="H338" s="587"/>
      <c r="I338" s="535">
        <f t="shared" si="4"/>
        <v>0</v>
      </c>
    </row>
    <row r="339" spans="2:9" hidden="1">
      <c r="B339" s="586"/>
      <c r="C339" s="587"/>
      <c r="D339" s="587"/>
      <c r="E339" s="587"/>
      <c r="F339" s="587"/>
      <c r="G339" s="587"/>
      <c r="H339" s="587"/>
      <c r="I339" s="535">
        <f t="shared" si="4"/>
        <v>0</v>
      </c>
    </row>
    <row r="340" spans="2:9" hidden="1">
      <c r="B340" s="586"/>
      <c r="C340" s="587"/>
      <c r="D340" s="587"/>
      <c r="E340" s="587"/>
      <c r="F340" s="587"/>
      <c r="G340" s="587"/>
      <c r="H340" s="587"/>
      <c r="I340" s="535">
        <f t="shared" si="4"/>
        <v>0</v>
      </c>
    </row>
    <row r="341" spans="2:9" hidden="1">
      <c r="B341" s="586"/>
      <c r="C341" s="587"/>
      <c r="D341" s="587"/>
      <c r="E341" s="587"/>
      <c r="F341" s="587"/>
      <c r="G341" s="587"/>
      <c r="H341" s="587"/>
      <c r="I341" s="535">
        <f t="shared" si="4"/>
        <v>0</v>
      </c>
    </row>
    <row r="342" spans="2:9" hidden="1">
      <c r="B342" s="586"/>
      <c r="C342" s="587"/>
      <c r="D342" s="587"/>
      <c r="E342" s="587"/>
      <c r="F342" s="587"/>
      <c r="G342" s="587"/>
      <c r="H342" s="587"/>
      <c r="I342" s="535">
        <f t="shared" si="4"/>
        <v>0</v>
      </c>
    </row>
    <row r="343" spans="2:9" hidden="1">
      <c r="B343" s="586"/>
      <c r="C343" s="587"/>
      <c r="D343" s="587"/>
      <c r="E343" s="587"/>
      <c r="F343" s="587"/>
      <c r="G343" s="587"/>
      <c r="H343" s="587"/>
      <c r="I343" s="535">
        <f t="shared" si="4"/>
        <v>0</v>
      </c>
    </row>
    <row r="344" spans="2:9" hidden="1">
      <c r="B344" s="586"/>
      <c r="C344" s="587"/>
      <c r="D344" s="587"/>
      <c r="E344" s="587"/>
      <c r="F344" s="587"/>
      <c r="G344" s="587"/>
      <c r="H344" s="587"/>
      <c r="I344" s="535">
        <f t="shared" si="4"/>
        <v>0</v>
      </c>
    </row>
    <row r="345" spans="2:9" hidden="1">
      <c r="B345" s="586"/>
      <c r="C345" s="587"/>
      <c r="D345" s="587"/>
      <c r="E345" s="587"/>
      <c r="F345" s="587"/>
      <c r="G345" s="587"/>
      <c r="H345" s="587"/>
      <c r="I345" s="535">
        <f t="shared" si="4"/>
        <v>0</v>
      </c>
    </row>
    <row r="346" spans="2:9" hidden="1">
      <c r="B346" s="586"/>
      <c r="C346" s="587"/>
      <c r="D346" s="587"/>
      <c r="E346" s="587"/>
      <c r="F346" s="587"/>
      <c r="G346" s="587"/>
      <c r="H346" s="587"/>
      <c r="I346" s="535">
        <f t="shared" si="4"/>
        <v>0</v>
      </c>
    </row>
    <row r="347" spans="2:9" hidden="1">
      <c r="B347" s="586"/>
      <c r="C347" s="587"/>
      <c r="D347" s="587"/>
      <c r="E347" s="587"/>
      <c r="F347" s="587"/>
      <c r="G347" s="587"/>
      <c r="H347" s="587"/>
      <c r="I347" s="535">
        <f t="shared" si="4"/>
        <v>0</v>
      </c>
    </row>
    <row r="348" spans="2:9" hidden="1">
      <c r="B348" s="586"/>
      <c r="C348" s="587"/>
      <c r="D348" s="587"/>
      <c r="E348" s="587"/>
      <c r="F348" s="587"/>
      <c r="G348" s="587"/>
      <c r="H348" s="587"/>
      <c r="I348" s="535">
        <f t="shared" si="4"/>
        <v>0</v>
      </c>
    </row>
    <row r="349" spans="2:9" hidden="1">
      <c r="B349" s="586"/>
      <c r="C349" s="587"/>
      <c r="D349" s="587"/>
      <c r="E349" s="587"/>
      <c r="F349" s="587"/>
      <c r="G349" s="587"/>
      <c r="H349" s="587"/>
      <c r="I349" s="535">
        <f t="shared" si="4"/>
        <v>0</v>
      </c>
    </row>
    <row r="350" spans="2:9" hidden="1">
      <c r="B350" s="586"/>
      <c r="C350" s="587"/>
      <c r="D350" s="587"/>
      <c r="E350" s="587"/>
      <c r="F350" s="587"/>
      <c r="G350" s="587"/>
      <c r="H350" s="587"/>
      <c r="I350" s="535">
        <f t="shared" si="4"/>
        <v>0</v>
      </c>
    </row>
    <row r="351" spans="2:9" hidden="1">
      <c r="B351" s="586"/>
      <c r="C351" s="587"/>
      <c r="D351" s="587"/>
      <c r="E351" s="587"/>
      <c r="F351" s="587"/>
      <c r="G351" s="587"/>
      <c r="H351" s="587"/>
      <c r="I351" s="535">
        <f t="shared" si="4"/>
        <v>0</v>
      </c>
    </row>
    <row r="352" spans="2:9" hidden="1">
      <c r="B352" s="586"/>
      <c r="C352" s="587"/>
      <c r="D352" s="587"/>
      <c r="E352" s="587"/>
      <c r="F352" s="587"/>
      <c r="G352" s="587"/>
      <c r="H352" s="587"/>
      <c r="I352" s="535">
        <f t="shared" si="4"/>
        <v>0</v>
      </c>
    </row>
    <row r="353" spans="2:9" hidden="1">
      <c r="B353" s="586"/>
      <c r="C353" s="587"/>
      <c r="D353" s="587"/>
      <c r="E353" s="587"/>
      <c r="F353" s="587"/>
      <c r="G353" s="587"/>
      <c r="H353" s="587"/>
      <c r="I353" s="535">
        <f t="shared" si="4"/>
        <v>0</v>
      </c>
    </row>
    <row r="354" spans="2:9" hidden="1">
      <c r="B354" s="586"/>
      <c r="C354" s="587"/>
      <c r="D354" s="587"/>
      <c r="E354" s="587"/>
      <c r="F354" s="587"/>
      <c r="G354" s="587"/>
      <c r="H354" s="587"/>
      <c r="I354" s="535">
        <f t="shared" si="4"/>
        <v>0</v>
      </c>
    </row>
    <row r="355" spans="2:9" hidden="1">
      <c r="B355" s="586"/>
      <c r="C355" s="587"/>
      <c r="D355" s="587"/>
      <c r="E355" s="587"/>
      <c r="F355" s="587"/>
      <c r="G355" s="587"/>
      <c r="H355" s="587"/>
      <c r="I355" s="535">
        <f t="shared" si="4"/>
        <v>0</v>
      </c>
    </row>
    <row r="356" spans="2:9" hidden="1">
      <c r="B356" s="586"/>
      <c r="C356" s="587"/>
      <c r="D356" s="587"/>
      <c r="E356" s="587"/>
      <c r="F356" s="587"/>
      <c r="G356" s="587"/>
      <c r="H356" s="587"/>
      <c r="I356" s="535">
        <f t="shared" si="4"/>
        <v>0</v>
      </c>
    </row>
    <row r="357" spans="2:9" hidden="1">
      <c r="B357" s="586"/>
      <c r="C357" s="587"/>
      <c r="D357" s="587"/>
      <c r="E357" s="587"/>
      <c r="F357" s="587"/>
      <c r="G357" s="587"/>
      <c r="H357" s="587"/>
      <c r="I357" s="535">
        <f t="shared" si="4"/>
        <v>0</v>
      </c>
    </row>
    <row r="358" spans="2:9" hidden="1">
      <c r="B358" s="586"/>
      <c r="C358" s="587"/>
      <c r="D358" s="587"/>
      <c r="E358" s="587"/>
      <c r="F358" s="587"/>
      <c r="G358" s="587"/>
      <c r="H358" s="587"/>
      <c r="I358" s="535">
        <f t="shared" si="4"/>
        <v>0</v>
      </c>
    </row>
    <row r="359" spans="2:9" hidden="1">
      <c r="B359" s="586"/>
      <c r="C359" s="587"/>
      <c r="D359" s="587"/>
      <c r="E359" s="587"/>
      <c r="F359" s="587"/>
      <c r="G359" s="587"/>
      <c r="H359" s="587"/>
      <c r="I359" s="535">
        <f t="shared" si="4"/>
        <v>0</v>
      </c>
    </row>
    <row r="360" spans="2:9" hidden="1">
      <c r="B360" s="586"/>
      <c r="C360" s="587"/>
      <c r="D360" s="587"/>
      <c r="E360" s="587"/>
      <c r="F360" s="587"/>
      <c r="G360" s="587"/>
      <c r="H360" s="587"/>
      <c r="I360" s="535">
        <f t="shared" si="4"/>
        <v>0</v>
      </c>
    </row>
    <row r="361" spans="2:9" hidden="1">
      <c r="B361" s="586"/>
      <c r="C361" s="587"/>
      <c r="D361" s="587"/>
      <c r="E361" s="587"/>
      <c r="F361" s="587"/>
      <c r="G361" s="587"/>
      <c r="H361" s="587"/>
      <c r="I361" s="535">
        <f t="shared" si="4"/>
        <v>0</v>
      </c>
    </row>
    <row r="362" spans="2:9" hidden="1">
      <c r="B362" s="586"/>
      <c r="C362" s="587"/>
      <c r="D362" s="587"/>
      <c r="E362" s="587"/>
      <c r="F362" s="587"/>
      <c r="G362" s="587"/>
      <c r="H362" s="587"/>
      <c r="I362" s="535">
        <f t="shared" si="4"/>
        <v>0</v>
      </c>
    </row>
    <row r="363" spans="2:9" hidden="1">
      <c r="B363" s="586"/>
      <c r="C363" s="587"/>
      <c r="D363" s="587"/>
      <c r="E363" s="587"/>
      <c r="F363" s="587"/>
      <c r="G363" s="587"/>
      <c r="H363" s="587"/>
      <c r="I363" s="535">
        <f t="shared" si="4"/>
        <v>0</v>
      </c>
    </row>
    <row r="364" spans="2:9" hidden="1">
      <c r="B364" s="586"/>
      <c r="C364" s="587"/>
      <c r="D364" s="587"/>
      <c r="E364" s="587"/>
      <c r="F364" s="587"/>
      <c r="G364" s="587"/>
      <c r="H364" s="587"/>
      <c r="I364" s="535">
        <f t="shared" si="4"/>
        <v>0</v>
      </c>
    </row>
    <row r="365" spans="2:9" hidden="1">
      <c r="B365" s="586"/>
      <c r="C365" s="587"/>
      <c r="D365" s="587"/>
      <c r="E365" s="587"/>
      <c r="F365" s="587"/>
      <c r="G365" s="587"/>
      <c r="H365" s="587"/>
      <c r="I365" s="535">
        <f t="shared" si="4"/>
        <v>0</v>
      </c>
    </row>
    <row r="366" spans="2:9" hidden="1">
      <c r="B366" s="586"/>
      <c r="C366" s="587"/>
      <c r="D366" s="587"/>
      <c r="E366" s="587"/>
      <c r="F366" s="587"/>
      <c r="G366" s="587"/>
      <c r="H366" s="587"/>
      <c r="I366" s="535">
        <f t="shared" si="4"/>
        <v>0</v>
      </c>
    </row>
    <row r="367" spans="2:9" hidden="1">
      <c r="B367" s="586"/>
      <c r="C367" s="587"/>
      <c r="D367" s="587"/>
      <c r="E367" s="587"/>
      <c r="F367" s="587"/>
      <c r="G367" s="587"/>
      <c r="H367" s="587"/>
      <c r="I367" s="535">
        <f t="shared" si="4"/>
        <v>0</v>
      </c>
    </row>
    <row r="368" spans="2:9" hidden="1">
      <c r="B368" s="586"/>
      <c r="C368" s="587"/>
      <c r="D368" s="587"/>
      <c r="E368" s="587"/>
      <c r="F368" s="587"/>
      <c r="G368" s="587"/>
      <c r="H368" s="587"/>
      <c r="I368" s="535">
        <f t="shared" si="4"/>
        <v>0</v>
      </c>
    </row>
    <row r="369" spans="2:9" hidden="1">
      <c r="B369" s="586"/>
      <c r="C369" s="587"/>
      <c r="D369" s="587"/>
      <c r="E369" s="587"/>
      <c r="F369" s="587"/>
      <c r="G369" s="587"/>
      <c r="H369" s="587"/>
      <c r="I369" s="535">
        <f t="shared" si="4"/>
        <v>0</v>
      </c>
    </row>
    <row r="370" spans="2:9" hidden="1">
      <c r="B370" s="586"/>
      <c r="C370" s="587"/>
      <c r="D370" s="587"/>
      <c r="E370" s="587"/>
      <c r="F370" s="587"/>
      <c r="G370" s="587"/>
      <c r="H370" s="587"/>
      <c r="I370" s="535">
        <f t="shared" si="4"/>
        <v>0</v>
      </c>
    </row>
    <row r="371" spans="2:9" hidden="1">
      <c r="B371" s="586"/>
      <c r="C371" s="587"/>
      <c r="D371" s="587"/>
      <c r="E371" s="587"/>
      <c r="F371" s="587"/>
      <c r="G371" s="587"/>
      <c r="H371" s="587"/>
      <c r="I371" s="535">
        <f t="shared" si="4"/>
        <v>0</v>
      </c>
    </row>
    <row r="372" spans="2:9" hidden="1">
      <c r="B372" s="586"/>
      <c r="C372" s="587"/>
      <c r="D372" s="587"/>
      <c r="E372" s="587"/>
      <c r="F372" s="587"/>
      <c r="G372" s="587"/>
      <c r="H372" s="587"/>
      <c r="I372" s="535">
        <f t="shared" si="4"/>
        <v>0</v>
      </c>
    </row>
    <row r="373" spans="2:9" hidden="1">
      <c r="B373" s="586"/>
      <c r="C373" s="587"/>
      <c r="D373" s="587"/>
      <c r="E373" s="587"/>
      <c r="F373" s="587"/>
      <c r="G373" s="587"/>
      <c r="H373" s="587"/>
      <c r="I373" s="535">
        <f t="shared" si="4"/>
        <v>0</v>
      </c>
    </row>
    <row r="374" spans="2:9" hidden="1">
      <c r="B374" s="586"/>
      <c r="C374" s="587"/>
      <c r="D374" s="587"/>
      <c r="E374" s="587"/>
      <c r="F374" s="587"/>
      <c r="G374" s="587"/>
      <c r="H374" s="587"/>
      <c r="I374" s="535">
        <f t="shared" si="4"/>
        <v>0</v>
      </c>
    </row>
    <row r="375" spans="2:9" hidden="1">
      <c r="B375" s="586"/>
      <c r="C375" s="587"/>
      <c r="D375" s="587"/>
      <c r="E375" s="587"/>
      <c r="F375" s="587"/>
      <c r="G375" s="587"/>
      <c r="H375" s="587"/>
      <c r="I375" s="535">
        <f t="shared" si="4"/>
        <v>0</v>
      </c>
    </row>
    <row r="376" spans="2:9" hidden="1">
      <c r="B376" s="586"/>
      <c r="C376" s="587"/>
      <c r="D376" s="587"/>
      <c r="E376" s="587"/>
      <c r="F376" s="587"/>
      <c r="G376" s="587"/>
      <c r="H376" s="587"/>
      <c r="I376" s="535">
        <f t="shared" si="4"/>
        <v>0</v>
      </c>
    </row>
    <row r="377" spans="2:9" hidden="1">
      <c r="B377" s="586"/>
      <c r="C377" s="587"/>
      <c r="D377" s="587"/>
      <c r="E377" s="587"/>
      <c r="F377" s="587"/>
      <c r="G377" s="587"/>
      <c r="H377" s="587"/>
      <c r="I377" s="535">
        <f t="shared" si="4"/>
        <v>0</v>
      </c>
    </row>
    <row r="378" spans="2:9" hidden="1">
      <c r="B378" s="586"/>
      <c r="C378" s="587"/>
      <c r="D378" s="587"/>
      <c r="E378" s="587"/>
      <c r="F378" s="587"/>
      <c r="G378" s="587"/>
      <c r="H378" s="587"/>
      <c r="I378" s="535">
        <f t="shared" si="4"/>
        <v>0</v>
      </c>
    </row>
    <row r="379" spans="2:9" hidden="1">
      <c r="B379" s="586"/>
      <c r="C379" s="587"/>
      <c r="D379" s="587"/>
      <c r="E379" s="587"/>
      <c r="F379" s="587"/>
      <c r="G379" s="587"/>
      <c r="H379" s="587"/>
      <c r="I379" s="535">
        <f t="shared" si="4"/>
        <v>0</v>
      </c>
    </row>
    <row r="380" spans="2:9" hidden="1">
      <c r="B380" s="586"/>
      <c r="C380" s="587"/>
      <c r="D380" s="587"/>
      <c r="E380" s="587"/>
      <c r="F380" s="587"/>
      <c r="G380" s="587"/>
      <c r="H380" s="587"/>
      <c r="I380" s="535">
        <f t="shared" si="4"/>
        <v>0</v>
      </c>
    </row>
    <row r="381" spans="2:9" hidden="1">
      <c r="B381" s="586"/>
      <c r="C381" s="587"/>
      <c r="D381" s="587"/>
      <c r="E381" s="587"/>
      <c r="F381" s="587"/>
      <c r="G381" s="587"/>
      <c r="H381" s="587"/>
      <c r="I381" s="535">
        <f t="shared" si="4"/>
        <v>0</v>
      </c>
    </row>
    <row r="382" spans="2:9" hidden="1">
      <c r="B382" s="586"/>
      <c r="C382" s="587"/>
      <c r="D382" s="587"/>
      <c r="E382" s="587"/>
      <c r="F382" s="587"/>
      <c r="G382" s="587"/>
      <c r="H382" s="587"/>
      <c r="I382" s="535">
        <f t="shared" si="4"/>
        <v>0</v>
      </c>
    </row>
    <row r="383" spans="2:9" hidden="1">
      <c r="B383" s="586"/>
      <c r="C383" s="587"/>
      <c r="D383" s="587"/>
      <c r="E383" s="587"/>
      <c r="F383" s="587"/>
      <c r="G383" s="587"/>
      <c r="H383" s="587"/>
      <c r="I383" s="535">
        <f t="shared" si="4"/>
        <v>0</v>
      </c>
    </row>
    <row r="384" spans="2:9" hidden="1">
      <c r="B384" s="586"/>
      <c r="C384" s="587"/>
      <c r="D384" s="587"/>
      <c r="E384" s="587"/>
      <c r="F384" s="587"/>
      <c r="G384" s="587"/>
      <c r="H384" s="587"/>
      <c r="I384" s="535">
        <f t="shared" si="4"/>
        <v>0</v>
      </c>
    </row>
    <row r="385" spans="2:9" hidden="1">
      <c r="B385" s="586"/>
      <c r="C385" s="587"/>
      <c r="D385" s="587"/>
      <c r="E385" s="587"/>
      <c r="F385" s="587"/>
      <c r="G385" s="587"/>
      <c r="H385" s="587"/>
      <c r="I385" s="535">
        <f t="shared" si="4"/>
        <v>0</v>
      </c>
    </row>
    <row r="386" spans="2:9" hidden="1">
      <c r="B386" s="586"/>
      <c r="C386" s="587"/>
      <c r="D386" s="587"/>
      <c r="E386" s="587"/>
      <c r="F386" s="587"/>
      <c r="G386" s="587"/>
      <c r="H386" s="587"/>
      <c r="I386" s="535">
        <f t="shared" si="4"/>
        <v>0</v>
      </c>
    </row>
    <row r="387" spans="2:9" hidden="1">
      <c r="B387" s="586"/>
      <c r="C387" s="587"/>
      <c r="D387" s="587"/>
      <c r="E387" s="587"/>
      <c r="F387" s="587"/>
      <c r="G387" s="587"/>
      <c r="H387" s="587"/>
      <c r="I387" s="535">
        <f t="shared" si="4"/>
        <v>0</v>
      </c>
    </row>
    <row r="388" spans="2:9" hidden="1">
      <c r="B388" s="586"/>
      <c r="C388" s="587"/>
      <c r="D388" s="587"/>
      <c r="E388" s="587"/>
      <c r="F388" s="587"/>
      <c r="G388" s="587"/>
      <c r="H388" s="587"/>
      <c r="I388" s="535">
        <f t="shared" si="4"/>
        <v>0</v>
      </c>
    </row>
    <row r="389" spans="2:9" hidden="1">
      <c r="B389" s="586"/>
      <c r="C389" s="587"/>
      <c r="D389" s="587"/>
      <c r="E389" s="587"/>
      <c r="F389" s="587"/>
      <c r="G389" s="587"/>
      <c r="H389" s="587"/>
      <c r="I389" s="535">
        <f t="shared" ref="I389:I415" si="5">SUM(C389:H389)</f>
        <v>0</v>
      </c>
    </row>
    <row r="390" spans="2:9" hidden="1">
      <c r="B390" s="586"/>
      <c r="C390" s="587"/>
      <c r="D390" s="587"/>
      <c r="E390" s="587"/>
      <c r="F390" s="587"/>
      <c r="G390" s="587"/>
      <c r="H390" s="587"/>
      <c r="I390" s="535">
        <f t="shared" si="5"/>
        <v>0</v>
      </c>
    </row>
    <row r="391" spans="2:9" hidden="1">
      <c r="B391" s="586"/>
      <c r="C391" s="587"/>
      <c r="D391" s="587"/>
      <c r="E391" s="587"/>
      <c r="F391" s="587"/>
      <c r="G391" s="587"/>
      <c r="H391" s="587"/>
      <c r="I391" s="535">
        <f t="shared" si="5"/>
        <v>0</v>
      </c>
    </row>
    <row r="392" spans="2:9" hidden="1">
      <c r="B392" s="586"/>
      <c r="C392" s="587"/>
      <c r="D392" s="587"/>
      <c r="E392" s="587"/>
      <c r="F392" s="587"/>
      <c r="G392" s="587"/>
      <c r="H392" s="587"/>
      <c r="I392" s="535">
        <f t="shared" si="5"/>
        <v>0</v>
      </c>
    </row>
    <row r="393" spans="2:9" hidden="1">
      <c r="B393" s="586"/>
      <c r="C393" s="587"/>
      <c r="D393" s="587"/>
      <c r="E393" s="587"/>
      <c r="F393" s="587"/>
      <c r="G393" s="587"/>
      <c r="H393" s="587"/>
      <c r="I393" s="535">
        <f t="shared" si="5"/>
        <v>0</v>
      </c>
    </row>
    <row r="394" spans="2:9" hidden="1">
      <c r="B394" s="586"/>
      <c r="C394" s="587"/>
      <c r="D394" s="587"/>
      <c r="E394" s="587"/>
      <c r="F394" s="587"/>
      <c r="G394" s="587"/>
      <c r="H394" s="587"/>
      <c r="I394" s="535">
        <f t="shared" si="5"/>
        <v>0</v>
      </c>
    </row>
    <row r="395" spans="2:9" hidden="1">
      <c r="B395" s="586"/>
      <c r="C395" s="587"/>
      <c r="D395" s="587"/>
      <c r="E395" s="587"/>
      <c r="F395" s="587"/>
      <c r="G395" s="587"/>
      <c r="H395" s="587"/>
      <c r="I395" s="535">
        <f t="shared" si="5"/>
        <v>0</v>
      </c>
    </row>
    <row r="396" spans="2:9" hidden="1">
      <c r="B396" s="586"/>
      <c r="C396" s="587"/>
      <c r="D396" s="587"/>
      <c r="E396" s="587"/>
      <c r="F396" s="587"/>
      <c r="G396" s="587"/>
      <c r="H396" s="587"/>
      <c r="I396" s="535">
        <f t="shared" si="5"/>
        <v>0</v>
      </c>
    </row>
    <row r="397" spans="2:9" hidden="1">
      <c r="B397" s="586"/>
      <c r="C397" s="587"/>
      <c r="D397" s="587"/>
      <c r="E397" s="587"/>
      <c r="F397" s="587"/>
      <c r="G397" s="587"/>
      <c r="H397" s="587"/>
      <c r="I397" s="535">
        <f t="shared" si="5"/>
        <v>0</v>
      </c>
    </row>
    <row r="398" spans="2:9" hidden="1">
      <c r="B398" s="586"/>
      <c r="C398" s="587"/>
      <c r="D398" s="587"/>
      <c r="E398" s="587"/>
      <c r="F398" s="587"/>
      <c r="G398" s="587"/>
      <c r="H398" s="587"/>
      <c r="I398" s="535">
        <f t="shared" si="5"/>
        <v>0</v>
      </c>
    </row>
    <row r="399" spans="2:9" hidden="1">
      <c r="B399" s="586"/>
      <c r="C399" s="587"/>
      <c r="D399" s="587"/>
      <c r="E399" s="587"/>
      <c r="F399" s="587"/>
      <c r="G399" s="587"/>
      <c r="H399" s="587"/>
      <c r="I399" s="535">
        <f t="shared" si="5"/>
        <v>0</v>
      </c>
    </row>
    <row r="400" spans="2:9" hidden="1">
      <c r="B400" s="586"/>
      <c r="C400" s="587"/>
      <c r="D400" s="587"/>
      <c r="E400" s="587"/>
      <c r="F400" s="587"/>
      <c r="G400" s="587"/>
      <c r="H400" s="587"/>
      <c r="I400" s="535">
        <f t="shared" si="5"/>
        <v>0</v>
      </c>
    </row>
    <row r="401" spans="2:12" hidden="1">
      <c r="B401" s="586"/>
      <c r="C401" s="587"/>
      <c r="D401" s="587"/>
      <c r="E401" s="587"/>
      <c r="F401" s="587"/>
      <c r="G401" s="587"/>
      <c r="H401" s="587"/>
      <c r="I401" s="535">
        <f t="shared" si="5"/>
        <v>0</v>
      </c>
    </row>
    <row r="402" spans="2:12" hidden="1">
      <c r="B402" s="586"/>
      <c r="C402" s="587"/>
      <c r="D402" s="587"/>
      <c r="E402" s="587"/>
      <c r="F402" s="587"/>
      <c r="G402" s="587"/>
      <c r="H402" s="587"/>
      <c r="I402" s="535">
        <f t="shared" si="5"/>
        <v>0</v>
      </c>
    </row>
    <row r="403" spans="2:12" hidden="1">
      <c r="B403" s="586"/>
      <c r="C403" s="587"/>
      <c r="D403" s="587"/>
      <c r="E403" s="587"/>
      <c r="F403" s="587"/>
      <c r="G403" s="587"/>
      <c r="H403" s="587"/>
      <c r="I403" s="535">
        <f t="shared" si="5"/>
        <v>0</v>
      </c>
    </row>
    <row r="404" spans="2:12" hidden="1">
      <c r="B404" s="588"/>
      <c r="C404" s="589"/>
      <c r="D404" s="590"/>
      <c r="E404" s="589"/>
      <c r="F404" s="589"/>
      <c r="G404" s="589"/>
      <c r="H404" s="589"/>
      <c r="I404" s="535">
        <f t="shared" si="5"/>
        <v>0</v>
      </c>
    </row>
    <row r="405" spans="2:12" hidden="1">
      <c r="B405" s="588"/>
      <c r="C405" s="589"/>
      <c r="D405" s="590"/>
      <c r="E405" s="589"/>
      <c r="F405" s="594"/>
      <c r="G405" s="594"/>
      <c r="H405" s="594"/>
      <c r="I405" s="535">
        <f t="shared" si="5"/>
        <v>0</v>
      </c>
    </row>
    <row r="406" spans="2:12" hidden="1">
      <c r="B406" s="588"/>
      <c r="C406" s="589"/>
      <c r="D406" s="590"/>
      <c r="E406" s="589"/>
      <c r="F406" s="594"/>
      <c r="G406" s="594"/>
      <c r="H406" s="594"/>
      <c r="I406" s="535">
        <f t="shared" si="5"/>
        <v>0</v>
      </c>
    </row>
    <row r="407" spans="2:12" hidden="1">
      <c r="B407" s="588"/>
      <c r="C407" s="589"/>
      <c r="D407" s="590"/>
      <c r="E407" s="589"/>
      <c r="F407" s="594"/>
      <c r="G407" s="594"/>
      <c r="H407" s="594"/>
      <c r="I407" s="535">
        <f t="shared" si="5"/>
        <v>0</v>
      </c>
    </row>
    <row r="408" spans="2:12" hidden="1">
      <c r="B408" s="588"/>
      <c r="C408" s="589"/>
      <c r="D408" s="590"/>
      <c r="E408" s="589"/>
      <c r="F408" s="594"/>
      <c r="G408" s="594"/>
      <c r="H408" s="594"/>
      <c r="I408" s="535">
        <f t="shared" si="5"/>
        <v>0</v>
      </c>
    </row>
    <row r="409" spans="2:12" hidden="1">
      <c r="B409" s="588"/>
      <c r="C409" s="589"/>
      <c r="D409" s="590"/>
      <c r="E409" s="589"/>
      <c r="F409" s="594"/>
      <c r="G409" s="594"/>
      <c r="H409" s="594"/>
      <c r="I409" s="535">
        <f t="shared" si="5"/>
        <v>0</v>
      </c>
    </row>
    <row r="410" spans="2:12" hidden="1">
      <c r="B410" s="588"/>
      <c r="C410" s="589"/>
      <c r="D410" s="590"/>
      <c r="E410" s="589"/>
      <c r="F410" s="594"/>
      <c r="G410" s="594"/>
      <c r="H410" s="594"/>
      <c r="I410" s="535">
        <f t="shared" si="5"/>
        <v>0</v>
      </c>
    </row>
    <row r="411" spans="2:12" hidden="1">
      <c r="B411" s="588"/>
      <c r="C411" s="589"/>
      <c r="D411" s="590"/>
      <c r="E411" s="589"/>
      <c r="F411" s="594"/>
      <c r="G411" s="594"/>
      <c r="H411" s="594"/>
      <c r="I411" s="535">
        <f t="shared" si="5"/>
        <v>0</v>
      </c>
    </row>
    <row r="412" spans="2:12" hidden="1">
      <c r="B412" s="588"/>
      <c r="C412" s="589"/>
      <c r="D412" s="590"/>
      <c r="E412" s="589"/>
      <c r="F412" s="594"/>
      <c r="G412" s="594"/>
      <c r="H412" s="594"/>
      <c r="I412" s="535">
        <f t="shared" si="5"/>
        <v>0</v>
      </c>
    </row>
    <row r="413" spans="2:12" hidden="1">
      <c r="B413" s="588"/>
      <c r="C413" s="589"/>
      <c r="D413" s="590"/>
      <c r="E413" s="589"/>
      <c r="F413" s="594"/>
      <c r="G413" s="594"/>
      <c r="H413" s="594"/>
      <c r="I413" s="535">
        <f t="shared" si="5"/>
        <v>0</v>
      </c>
    </row>
    <row r="414" spans="2:12" hidden="1">
      <c r="B414" s="588"/>
      <c r="C414" s="589"/>
      <c r="D414" s="590"/>
      <c r="E414" s="589"/>
      <c r="F414" s="594"/>
      <c r="G414" s="594"/>
      <c r="H414" s="594"/>
      <c r="I414" s="535">
        <f t="shared" si="5"/>
        <v>0</v>
      </c>
    </row>
    <row r="415" spans="2:12" ht="15.75" hidden="1" thickBot="1">
      <c r="B415" s="591"/>
      <c r="C415" s="592"/>
      <c r="D415" s="593"/>
      <c r="E415" s="592"/>
      <c r="F415" s="595"/>
      <c r="G415" s="595"/>
      <c r="H415" s="595"/>
      <c r="I415" s="535">
        <f t="shared" si="5"/>
        <v>0</v>
      </c>
    </row>
    <row r="416" spans="2:12" ht="15.75" thickBot="1">
      <c r="B416" s="524"/>
      <c r="C416" s="525"/>
      <c r="D416" s="526"/>
      <c r="E416" s="525"/>
      <c r="F416" s="527"/>
      <c r="G416" s="520"/>
      <c r="H416" s="520"/>
      <c r="I416" s="520"/>
      <c r="J416" s="520"/>
      <c r="K416" s="520"/>
      <c r="L416" s="520"/>
    </row>
    <row r="417" spans="2:13" ht="15.75" thickBot="1">
      <c r="B417" s="528"/>
      <c r="C417" s="1676" t="s">
        <v>833</v>
      </c>
      <c r="D417" s="1677"/>
      <c r="E417" s="1677"/>
      <c r="F417" s="1678"/>
      <c r="G417" s="1665" t="s">
        <v>862</v>
      </c>
      <c r="H417" s="1666"/>
      <c r="I417" s="520"/>
      <c r="J417" s="520"/>
      <c r="K417" s="520"/>
      <c r="L417" s="520"/>
    </row>
    <row r="418" spans="2:13">
      <c r="B418" s="582" t="s">
        <v>857</v>
      </c>
      <c r="C418" s="1698"/>
      <c r="D418" s="1698"/>
      <c r="E418" s="1698"/>
      <c r="F418" s="1698"/>
      <c r="G418" s="1667" t="s">
        <v>912</v>
      </c>
      <c r="H418" s="1668"/>
      <c r="I418" s="516"/>
      <c r="J418" s="516"/>
      <c r="K418" s="516"/>
      <c r="L418" s="516"/>
      <c r="M418" s="516"/>
    </row>
    <row r="419" spans="2:13">
      <c r="B419" s="583" t="s">
        <v>858</v>
      </c>
      <c r="C419" s="1662"/>
      <c r="D419" s="1662"/>
      <c r="E419" s="1662"/>
      <c r="F419" s="1662"/>
      <c r="G419" s="1663" t="s">
        <v>912</v>
      </c>
      <c r="H419" s="1664"/>
      <c r="I419" s="520"/>
      <c r="J419" s="520"/>
      <c r="K419" s="520"/>
      <c r="L419" s="520"/>
    </row>
    <row r="420" spans="2:13">
      <c r="B420" s="583" t="s">
        <v>859</v>
      </c>
      <c r="C420" s="1662"/>
      <c r="D420" s="1662"/>
      <c r="E420" s="1662"/>
      <c r="F420" s="1662"/>
      <c r="G420" s="1663" t="s">
        <v>912</v>
      </c>
      <c r="H420" s="1664"/>
      <c r="I420" s="520"/>
      <c r="J420" s="520"/>
      <c r="K420" s="520"/>
      <c r="L420" s="520"/>
    </row>
    <row r="421" spans="2:13">
      <c r="B421" s="583" t="s">
        <v>906</v>
      </c>
      <c r="C421" s="1662"/>
      <c r="D421" s="1662"/>
      <c r="E421" s="1662"/>
      <c r="F421" s="1662"/>
      <c r="G421" s="1663" t="s">
        <v>912</v>
      </c>
      <c r="H421" s="1664"/>
      <c r="I421" s="520"/>
      <c r="J421" s="520"/>
      <c r="K421" s="520"/>
      <c r="L421" s="520"/>
    </row>
    <row r="422" spans="2:13">
      <c r="B422" s="583" t="s">
        <v>907</v>
      </c>
      <c r="C422" s="1662"/>
      <c r="D422" s="1662"/>
      <c r="E422" s="1662"/>
      <c r="F422" s="1662"/>
      <c r="G422" s="1663" t="s">
        <v>912</v>
      </c>
      <c r="H422" s="1664"/>
      <c r="I422" s="520"/>
      <c r="J422" s="520"/>
      <c r="K422" s="520"/>
      <c r="L422" s="520"/>
    </row>
    <row r="423" spans="2:13" ht="15.75" thickBot="1">
      <c r="B423" s="584" t="s">
        <v>908</v>
      </c>
      <c r="C423" s="1680"/>
      <c r="D423" s="1680"/>
      <c r="E423" s="1680"/>
      <c r="F423" s="1680"/>
      <c r="G423" s="1669" t="s">
        <v>912</v>
      </c>
      <c r="H423" s="1670"/>
      <c r="I423" s="520"/>
      <c r="J423" s="520"/>
      <c r="K423" s="520"/>
      <c r="L423" s="520"/>
    </row>
    <row r="424" spans="2:13">
      <c r="B424" s="524"/>
      <c r="C424" s="529"/>
      <c r="D424" s="529"/>
      <c r="E424" s="529"/>
      <c r="F424" s="529"/>
      <c r="G424" s="520"/>
      <c r="H424" s="520"/>
      <c r="I424" s="520"/>
      <c r="J424" s="520"/>
      <c r="K424" s="520"/>
      <c r="L424" s="520"/>
    </row>
    <row r="425" spans="2:13">
      <c r="B425" s="509" t="s">
        <v>130</v>
      </c>
      <c r="C425" s="509"/>
      <c r="D425" s="509"/>
      <c r="E425" s="509"/>
      <c r="F425" s="509"/>
      <c r="G425" s="509"/>
      <c r="H425" s="509"/>
      <c r="I425" s="509"/>
      <c r="J425" s="509"/>
      <c r="K425" s="509"/>
      <c r="L425" s="509"/>
    </row>
    <row r="426" spans="2:13" ht="15.75" thickBot="1">
      <c r="B426" s="509"/>
      <c r="C426" s="509"/>
      <c r="D426" s="509"/>
      <c r="E426" s="509"/>
      <c r="F426" s="509"/>
      <c r="G426" s="509"/>
      <c r="H426" s="509"/>
      <c r="I426" s="509"/>
      <c r="J426" s="509"/>
      <c r="K426" s="509"/>
      <c r="L426" s="509"/>
    </row>
    <row r="427" spans="2:13">
      <c r="B427" s="1682"/>
      <c r="C427" s="1683"/>
      <c r="D427" s="1683"/>
      <c r="E427" s="1683"/>
      <c r="F427" s="1683"/>
      <c r="G427" s="1683"/>
      <c r="H427" s="1683"/>
      <c r="I427" s="1683"/>
      <c r="J427" s="1683"/>
      <c r="K427" s="1683"/>
      <c r="L427" s="1684"/>
    </row>
    <row r="428" spans="2:13">
      <c r="B428" s="1685"/>
      <c r="C428" s="1686"/>
      <c r="D428" s="1686"/>
      <c r="E428" s="1686"/>
      <c r="F428" s="1686"/>
      <c r="G428" s="1686"/>
      <c r="H428" s="1686"/>
      <c r="I428" s="1686"/>
      <c r="J428" s="1686"/>
      <c r="K428" s="1686"/>
      <c r="L428" s="1687"/>
    </row>
    <row r="429" spans="2:13">
      <c r="B429" s="1685"/>
      <c r="C429" s="1686"/>
      <c r="D429" s="1686"/>
      <c r="E429" s="1686"/>
      <c r="F429" s="1686"/>
      <c r="G429" s="1686"/>
      <c r="H429" s="1686"/>
      <c r="I429" s="1686"/>
      <c r="J429" s="1686"/>
      <c r="K429" s="1686"/>
      <c r="L429" s="1687"/>
    </row>
    <row r="430" spans="2:13">
      <c r="B430" s="1685"/>
      <c r="C430" s="1686"/>
      <c r="D430" s="1686"/>
      <c r="E430" s="1686"/>
      <c r="F430" s="1686"/>
      <c r="G430" s="1686"/>
      <c r="H430" s="1686"/>
      <c r="I430" s="1686"/>
      <c r="J430" s="1686"/>
      <c r="K430" s="1686"/>
      <c r="L430" s="1687"/>
    </row>
    <row r="431" spans="2:13">
      <c r="B431" s="1685"/>
      <c r="C431" s="1686"/>
      <c r="D431" s="1686"/>
      <c r="E431" s="1686"/>
      <c r="F431" s="1686"/>
      <c r="G431" s="1686"/>
      <c r="H431" s="1686"/>
      <c r="I431" s="1686"/>
      <c r="J431" s="1686"/>
      <c r="K431" s="1686"/>
      <c r="L431" s="1687"/>
    </row>
    <row r="432" spans="2:13">
      <c r="B432" s="1685"/>
      <c r="C432" s="1686"/>
      <c r="D432" s="1686"/>
      <c r="E432" s="1686"/>
      <c r="F432" s="1686"/>
      <c r="G432" s="1686"/>
      <c r="H432" s="1686"/>
      <c r="I432" s="1686"/>
      <c r="J432" s="1686"/>
      <c r="K432" s="1686"/>
      <c r="L432" s="1687"/>
    </row>
    <row r="433" spans="1:12">
      <c r="B433" s="1685"/>
      <c r="C433" s="1686"/>
      <c r="D433" s="1686"/>
      <c r="E433" s="1686"/>
      <c r="F433" s="1686"/>
      <c r="G433" s="1686"/>
      <c r="H433" s="1686"/>
      <c r="I433" s="1686"/>
      <c r="J433" s="1686"/>
      <c r="K433" s="1686"/>
      <c r="L433" s="1687"/>
    </row>
    <row r="434" spans="1:12" ht="15.75" thickBot="1">
      <c r="B434" s="1688"/>
      <c r="C434" s="1689"/>
      <c r="D434" s="1689"/>
      <c r="E434" s="1689"/>
      <c r="F434" s="1689"/>
      <c r="G434" s="1689"/>
      <c r="H434" s="1689"/>
      <c r="I434" s="1689"/>
      <c r="J434" s="1689"/>
      <c r="K434" s="1689"/>
      <c r="L434" s="1690"/>
    </row>
    <row r="436" spans="1:12">
      <c r="A436" s="510"/>
      <c r="B436" s="13" t="s">
        <v>863</v>
      </c>
    </row>
    <row r="437" spans="1:12" ht="15.75" thickBot="1"/>
    <row r="438" spans="1:12">
      <c r="B438" s="1682"/>
      <c r="C438" s="1683"/>
      <c r="D438" s="1683"/>
      <c r="E438" s="1683"/>
      <c r="F438" s="1683"/>
      <c r="G438" s="1683"/>
      <c r="H438" s="1683"/>
      <c r="I438" s="1683"/>
      <c r="J438" s="1683"/>
      <c r="K438" s="1683"/>
      <c r="L438" s="1684"/>
    </row>
    <row r="439" spans="1:12">
      <c r="B439" s="1685"/>
      <c r="C439" s="1686"/>
      <c r="D439" s="1686"/>
      <c r="E439" s="1686"/>
      <c r="F439" s="1686"/>
      <c r="G439" s="1686"/>
      <c r="H439" s="1686"/>
      <c r="I439" s="1686"/>
      <c r="J439" s="1686"/>
      <c r="K439" s="1686"/>
      <c r="L439" s="1687"/>
    </row>
    <row r="440" spans="1:12">
      <c r="B440" s="1685"/>
      <c r="C440" s="1686"/>
      <c r="D440" s="1686"/>
      <c r="E440" s="1686"/>
      <c r="F440" s="1686"/>
      <c r="G440" s="1686"/>
      <c r="H440" s="1686"/>
      <c r="I440" s="1686"/>
      <c r="J440" s="1686"/>
      <c r="K440" s="1686"/>
      <c r="L440" s="1687"/>
    </row>
    <row r="441" spans="1:12">
      <c r="B441" s="1685"/>
      <c r="C441" s="1686"/>
      <c r="D441" s="1686"/>
      <c r="E441" s="1686"/>
      <c r="F441" s="1686"/>
      <c r="G441" s="1686"/>
      <c r="H441" s="1686"/>
      <c r="I441" s="1686"/>
      <c r="J441" s="1686"/>
      <c r="K441" s="1686"/>
      <c r="L441" s="1687"/>
    </row>
    <row r="442" spans="1:12">
      <c r="B442" s="1685"/>
      <c r="C442" s="1686"/>
      <c r="D442" s="1686"/>
      <c r="E442" s="1686"/>
      <c r="F442" s="1686"/>
      <c r="G442" s="1686"/>
      <c r="H442" s="1686"/>
      <c r="I442" s="1686"/>
      <c r="J442" s="1686"/>
      <c r="K442" s="1686"/>
      <c r="L442" s="1687"/>
    </row>
    <row r="443" spans="1:12">
      <c r="B443" s="1685"/>
      <c r="C443" s="1686"/>
      <c r="D443" s="1686"/>
      <c r="E443" s="1686"/>
      <c r="F443" s="1686"/>
      <c r="G443" s="1686"/>
      <c r="H443" s="1686"/>
      <c r="I443" s="1686"/>
      <c r="J443" s="1686"/>
      <c r="K443" s="1686"/>
      <c r="L443" s="1687"/>
    </row>
    <row r="444" spans="1:12">
      <c r="B444" s="1685"/>
      <c r="C444" s="1686"/>
      <c r="D444" s="1686"/>
      <c r="E444" s="1686"/>
      <c r="F444" s="1686"/>
      <c r="G444" s="1686"/>
      <c r="H444" s="1686"/>
      <c r="I444" s="1686"/>
      <c r="J444" s="1686"/>
      <c r="K444" s="1686"/>
      <c r="L444" s="1687"/>
    </row>
    <row r="445" spans="1:12">
      <c r="B445" s="1685"/>
      <c r="C445" s="1686"/>
      <c r="D445" s="1686"/>
      <c r="E445" s="1686"/>
      <c r="F445" s="1686"/>
      <c r="G445" s="1686"/>
      <c r="H445" s="1686"/>
      <c r="I445" s="1686"/>
      <c r="J445" s="1686"/>
      <c r="K445" s="1686"/>
      <c r="L445" s="1687"/>
    </row>
    <row r="446" spans="1:12">
      <c r="B446" s="1685"/>
      <c r="C446" s="1686"/>
      <c r="D446" s="1686"/>
      <c r="E446" s="1686"/>
      <c r="F446" s="1686"/>
      <c r="G446" s="1686"/>
      <c r="H446" s="1686"/>
      <c r="I446" s="1686"/>
      <c r="J446" s="1686"/>
      <c r="K446" s="1686"/>
      <c r="L446" s="1687"/>
    </row>
    <row r="447" spans="1:12">
      <c r="B447" s="1685"/>
      <c r="C447" s="1686"/>
      <c r="D447" s="1686"/>
      <c r="E447" s="1686"/>
      <c r="F447" s="1686"/>
      <c r="G447" s="1686"/>
      <c r="H447" s="1686"/>
      <c r="I447" s="1686"/>
      <c r="J447" s="1686"/>
      <c r="K447" s="1686"/>
      <c r="L447" s="1687"/>
    </row>
    <row r="448" spans="1:12">
      <c r="B448" s="1685"/>
      <c r="C448" s="1686"/>
      <c r="D448" s="1686"/>
      <c r="E448" s="1686"/>
      <c r="F448" s="1686"/>
      <c r="G448" s="1686"/>
      <c r="H448" s="1686"/>
      <c r="I448" s="1686"/>
      <c r="J448" s="1686"/>
      <c r="K448" s="1686"/>
      <c r="L448" s="1687"/>
    </row>
    <row r="449" spans="2:12">
      <c r="B449" s="1685"/>
      <c r="C449" s="1686"/>
      <c r="D449" s="1686"/>
      <c r="E449" s="1686"/>
      <c r="F449" s="1686"/>
      <c r="G449" s="1686"/>
      <c r="H449" s="1686"/>
      <c r="I449" s="1686"/>
      <c r="J449" s="1686"/>
      <c r="K449" s="1686"/>
      <c r="L449" s="1687"/>
    </row>
    <row r="450" spans="2:12">
      <c r="B450" s="1685"/>
      <c r="C450" s="1686"/>
      <c r="D450" s="1686"/>
      <c r="E450" s="1686"/>
      <c r="F450" s="1686"/>
      <c r="G450" s="1686"/>
      <c r="H450" s="1686"/>
      <c r="I450" s="1686"/>
      <c r="J450" s="1686"/>
      <c r="K450" s="1686"/>
      <c r="L450" s="1687"/>
    </row>
    <row r="451" spans="2:12">
      <c r="B451" s="1685"/>
      <c r="C451" s="1686"/>
      <c r="D451" s="1686"/>
      <c r="E451" s="1686"/>
      <c r="F451" s="1686"/>
      <c r="G451" s="1686"/>
      <c r="H451" s="1686"/>
      <c r="I451" s="1686"/>
      <c r="J451" s="1686"/>
      <c r="K451" s="1686"/>
      <c r="L451" s="1687"/>
    </row>
    <row r="452" spans="2:12">
      <c r="B452" s="1685"/>
      <c r="C452" s="1686"/>
      <c r="D452" s="1686"/>
      <c r="E452" s="1686"/>
      <c r="F452" s="1686"/>
      <c r="G452" s="1686"/>
      <c r="H452" s="1686"/>
      <c r="I452" s="1686"/>
      <c r="J452" s="1686"/>
      <c r="K452" s="1686"/>
      <c r="L452" s="1687"/>
    </row>
    <row r="453" spans="2:12">
      <c r="B453" s="1685"/>
      <c r="C453" s="1686"/>
      <c r="D453" s="1686"/>
      <c r="E453" s="1686"/>
      <c r="F453" s="1686"/>
      <c r="G453" s="1686"/>
      <c r="H453" s="1686"/>
      <c r="I453" s="1686"/>
      <c r="J453" s="1686"/>
      <c r="K453" s="1686"/>
      <c r="L453" s="1687"/>
    </row>
    <row r="454" spans="2:12">
      <c r="B454" s="1685"/>
      <c r="C454" s="1686"/>
      <c r="D454" s="1686"/>
      <c r="E454" s="1686"/>
      <c r="F454" s="1686"/>
      <c r="G454" s="1686"/>
      <c r="H454" s="1686"/>
      <c r="I454" s="1686"/>
      <c r="J454" s="1686"/>
      <c r="K454" s="1686"/>
      <c r="L454" s="1687"/>
    </row>
    <row r="455" spans="2:12">
      <c r="B455" s="1685"/>
      <c r="C455" s="1686"/>
      <c r="D455" s="1686"/>
      <c r="E455" s="1686"/>
      <c r="F455" s="1686"/>
      <c r="G455" s="1686"/>
      <c r="H455" s="1686"/>
      <c r="I455" s="1686"/>
      <c r="J455" s="1686"/>
      <c r="K455" s="1686"/>
      <c r="L455" s="1687"/>
    </row>
    <row r="456" spans="2:12">
      <c r="B456" s="1685"/>
      <c r="C456" s="1686"/>
      <c r="D456" s="1686"/>
      <c r="E456" s="1686"/>
      <c r="F456" s="1686"/>
      <c r="G456" s="1686"/>
      <c r="H456" s="1686"/>
      <c r="I456" s="1686"/>
      <c r="J456" s="1686"/>
      <c r="K456" s="1686"/>
      <c r="L456" s="1687"/>
    </row>
    <row r="457" spans="2:12">
      <c r="B457" s="1685"/>
      <c r="C457" s="1686"/>
      <c r="D457" s="1686"/>
      <c r="E457" s="1686"/>
      <c r="F457" s="1686"/>
      <c r="G457" s="1686"/>
      <c r="H457" s="1686"/>
      <c r="I457" s="1686"/>
      <c r="J457" s="1686"/>
      <c r="K457" s="1686"/>
      <c r="L457" s="1687"/>
    </row>
    <row r="458" spans="2:12">
      <c r="B458" s="1685"/>
      <c r="C458" s="1686"/>
      <c r="D458" s="1686"/>
      <c r="E458" s="1686"/>
      <c r="F458" s="1686"/>
      <c r="G458" s="1686"/>
      <c r="H458" s="1686"/>
      <c r="I458" s="1686"/>
      <c r="J458" s="1686"/>
      <c r="K458" s="1686"/>
      <c r="L458" s="1687"/>
    </row>
    <row r="459" spans="2:12">
      <c r="B459" s="1685"/>
      <c r="C459" s="1686"/>
      <c r="D459" s="1686"/>
      <c r="E459" s="1686"/>
      <c r="F459" s="1686"/>
      <c r="G459" s="1686"/>
      <c r="H459" s="1686"/>
      <c r="I459" s="1686"/>
      <c r="J459" s="1686"/>
      <c r="K459" s="1686"/>
      <c r="L459" s="1687"/>
    </row>
    <row r="460" spans="2:12">
      <c r="B460" s="1685"/>
      <c r="C460" s="1686"/>
      <c r="D460" s="1686"/>
      <c r="E460" s="1686"/>
      <c r="F460" s="1686"/>
      <c r="G460" s="1686"/>
      <c r="H460" s="1686"/>
      <c r="I460" s="1686"/>
      <c r="J460" s="1686"/>
      <c r="K460" s="1686"/>
      <c r="L460" s="1687"/>
    </row>
    <row r="461" spans="2:12">
      <c r="B461" s="1685"/>
      <c r="C461" s="1686"/>
      <c r="D461" s="1686"/>
      <c r="E461" s="1686"/>
      <c r="F461" s="1686"/>
      <c r="G461" s="1686"/>
      <c r="H461" s="1686"/>
      <c r="I461" s="1686"/>
      <c r="J461" s="1686"/>
      <c r="K461" s="1686"/>
      <c r="L461" s="1687"/>
    </row>
    <row r="462" spans="2:12">
      <c r="B462" s="1685"/>
      <c r="C462" s="1686"/>
      <c r="D462" s="1686"/>
      <c r="E462" s="1686"/>
      <c r="F462" s="1686"/>
      <c r="G462" s="1686"/>
      <c r="H462" s="1686"/>
      <c r="I462" s="1686"/>
      <c r="J462" s="1686"/>
      <c r="K462" s="1686"/>
      <c r="L462" s="1687"/>
    </row>
    <row r="463" spans="2:12">
      <c r="B463" s="1685"/>
      <c r="C463" s="1686"/>
      <c r="D463" s="1686"/>
      <c r="E463" s="1686"/>
      <c r="F463" s="1686"/>
      <c r="G463" s="1686"/>
      <c r="H463" s="1686"/>
      <c r="I463" s="1686"/>
      <c r="J463" s="1686"/>
      <c r="K463" s="1686"/>
      <c r="L463" s="1687"/>
    </row>
    <row r="464" spans="2:12">
      <c r="B464" s="1685"/>
      <c r="C464" s="1686"/>
      <c r="D464" s="1686"/>
      <c r="E464" s="1686"/>
      <c r="F464" s="1686"/>
      <c r="G464" s="1686"/>
      <c r="H464" s="1686"/>
      <c r="I464" s="1686"/>
      <c r="J464" s="1686"/>
      <c r="K464" s="1686"/>
      <c r="L464" s="1687"/>
    </row>
    <row r="465" spans="2:12" ht="15.75" thickBot="1">
      <c r="B465" s="1688"/>
      <c r="C465" s="1689"/>
      <c r="D465" s="1689"/>
      <c r="E465" s="1689"/>
      <c r="F465" s="1689"/>
      <c r="G465" s="1689"/>
      <c r="H465" s="1689"/>
      <c r="I465" s="1689"/>
      <c r="J465" s="1689"/>
      <c r="K465" s="1689"/>
      <c r="L465" s="1690"/>
    </row>
  </sheetData>
  <sheetProtection password="83AF" sheet="1" objects="1" scenarios="1" formatCells="0" formatColumns="0" formatRows="0"/>
  <mergeCells count="125">
    <mergeCell ref="G51:L51"/>
    <mergeCell ref="I7:J7"/>
    <mergeCell ref="D8:E8"/>
    <mergeCell ref="F8:H8"/>
    <mergeCell ref="I8:J8"/>
    <mergeCell ref="B43:F47"/>
    <mergeCell ref="G43:L43"/>
    <mergeCell ref="G44:L44"/>
    <mergeCell ref="G45:L45"/>
    <mergeCell ref="G46:L46"/>
    <mergeCell ref="G47:L47"/>
    <mergeCell ref="B36:F36"/>
    <mergeCell ref="H36:H41"/>
    <mergeCell ref="I36:L36"/>
    <mergeCell ref="I37:L37"/>
    <mergeCell ref="I38:L38"/>
    <mergeCell ref="I39:L39"/>
    <mergeCell ref="I40:L40"/>
    <mergeCell ref="I41:L41"/>
    <mergeCell ref="D9:E9"/>
    <mergeCell ref="F9:H9"/>
    <mergeCell ref="D11:E11"/>
    <mergeCell ref="F11:H11"/>
    <mergeCell ref="I11:J11"/>
    <mergeCell ref="B427:L434"/>
    <mergeCell ref="B438:L465"/>
    <mergeCell ref="D5:E5"/>
    <mergeCell ref="F5:H5"/>
    <mergeCell ref="I5:J5"/>
    <mergeCell ref="D6:E6"/>
    <mergeCell ref="F6:H6"/>
    <mergeCell ref="I6:J6"/>
    <mergeCell ref="D7:E7"/>
    <mergeCell ref="F7:H7"/>
    <mergeCell ref="C418:F418"/>
    <mergeCell ref="G418:H418"/>
    <mergeCell ref="C419:F419"/>
    <mergeCell ref="G419:H419"/>
    <mergeCell ref="C423:F423"/>
    <mergeCell ref="G423:H423"/>
    <mergeCell ref="B256:F256"/>
    <mergeCell ref="G256:L256"/>
    <mergeCell ref="D13:E13"/>
    <mergeCell ref="F13:H13"/>
    <mergeCell ref="C236:F236"/>
    <mergeCell ref="C237:F237"/>
    <mergeCell ref="B71:F71"/>
    <mergeCell ref="G71:L71"/>
    <mergeCell ref="D12:E12"/>
    <mergeCell ref="F12:H12"/>
    <mergeCell ref="I12:J12"/>
    <mergeCell ref="I9:J9"/>
    <mergeCell ref="D10:E10"/>
    <mergeCell ref="F10:H10"/>
    <mergeCell ref="I10:J10"/>
    <mergeCell ref="D15:E15"/>
    <mergeCell ref="F15:H15"/>
    <mergeCell ref="I15:J15"/>
    <mergeCell ref="D16:E16"/>
    <mergeCell ref="F16:H16"/>
    <mergeCell ref="I16:J16"/>
    <mergeCell ref="I13:J13"/>
    <mergeCell ref="D14:E14"/>
    <mergeCell ref="F14:H14"/>
    <mergeCell ref="I14:J14"/>
    <mergeCell ref="D19:E19"/>
    <mergeCell ref="F19:H19"/>
    <mergeCell ref="I19:J19"/>
    <mergeCell ref="D20:E20"/>
    <mergeCell ref="F20:H20"/>
    <mergeCell ref="I20:J20"/>
    <mergeCell ref="D17:E17"/>
    <mergeCell ref="F17:H17"/>
    <mergeCell ref="I17:J17"/>
    <mergeCell ref="D18:E18"/>
    <mergeCell ref="F18:H18"/>
    <mergeCell ref="I18:J18"/>
    <mergeCell ref="G255:L255"/>
    <mergeCell ref="C235:F235"/>
    <mergeCell ref="B24:J24"/>
    <mergeCell ref="D21:E21"/>
    <mergeCell ref="F21:H21"/>
    <mergeCell ref="I21:J21"/>
    <mergeCell ref="D22:E22"/>
    <mergeCell ref="F22:H22"/>
    <mergeCell ref="I22:J22"/>
    <mergeCell ref="B72:F72"/>
    <mergeCell ref="G72:L72"/>
    <mergeCell ref="C232:F232"/>
    <mergeCell ref="C233:F233"/>
    <mergeCell ref="B56:L63"/>
    <mergeCell ref="B67:L67"/>
    <mergeCell ref="B69:F69"/>
    <mergeCell ref="G69:L69"/>
    <mergeCell ref="B70:F70"/>
    <mergeCell ref="G70:L70"/>
    <mergeCell ref="B32:F32"/>
    <mergeCell ref="G32:L32"/>
    <mergeCell ref="B34:F34"/>
    <mergeCell ref="G34:L34"/>
    <mergeCell ref="B51:F51"/>
    <mergeCell ref="B49:F49"/>
    <mergeCell ref="G49:L49"/>
    <mergeCell ref="C420:F420"/>
    <mergeCell ref="G420:H420"/>
    <mergeCell ref="C421:F421"/>
    <mergeCell ref="G421:H421"/>
    <mergeCell ref="C422:F422"/>
    <mergeCell ref="G422:H422"/>
    <mergeCell ref="G232:H232"/>
    <mergeCell ref="G233:H233"/>
    <mergeCell ref="G234:H234"/>
    <mergeCell ref="G235:H235"/>
    <mergeCell ref="G236:H236"/>
    <mergeCell ref="G237:H237"/>
    <mergeCell ref="G238:H238"/>
    <mergeCell ref="B257:F257"/>
    <mergeCell ref="G257:L257"/>
    <mergeCell ref="C417:F417"/>
    <mergeCell ref="G417:H417"/>
    <mergeCell ref="C234:F234"/>
    <mergeCell ref="C238:F238"/>
    <mergeCell ref="B242:L249"/>
    <mergeCell ref="B253:L253"/>
    <mergeCell ref="B255:F255"/>
  </mergeCells>
  <dataValidations count="3">
    <dataValidation type="list" allowBlank="1" showInputMessage="1" showErrorMessage="1" sqref="G257:L257 JC257:JH257 SY257:TD257 ACU257:ACZ257 AMQ257:AMV257 AWM257:AWR257 BGI257:BGN257 BQE257:BQJ257 CAA257:CAF257 CJW257:CKB257 CTS257:CTX257 DDO257:DDT257 DNK257:DNP257 DXG257:DXL257 EHC257:EHH257 EQY257:ERD257 FAU257:FAZ257 FKQ257:FKV257 FUM257:FUR257 GEI257:GEN257 GOE257:GOJ257 GYA257:GYF257 HHW257:HIB257 HRS257:HRX257 IBO257:IBT257 ILK257:ILP257 IVG257:IVL257 JFC257:JFH257 JOY257:JPD257 JYU257:JYZ257 KIQ257:KIV257 KSM257:KSR257 LCI257:LCN257 LME257:LMJ257 LWA257:LWF257 MFW257:MGB257 MPS257:MPX257 MZO257:MZT257 NJK257:NJP257 NTG257:NTL257 ODC257:ODH257 OMY257:OND257 OWU257:OWZ257 PGQ257:PGV257 PQM257:PQR257 QAI257:QAN257 QKE257:QKJ257 QUA257:QUF257 RDW257:REB257 RNS257:RNX257 RXO257:RXT257 SHK257:SHP257 SRG257:SRL257 TBC257:TBH257 TKY257:TLD257 TUU257:TUZ257 UEQ257:UEV257 UOM257:UOR257 UYI257:UYN257 VIE257:VIJ257 VSA257:VSF257 WBW257:WCB257 WLS257:WLX257 WVO257:WVT257 G65796:L65796 JC65796:JH65796 SY65796:TD65796 ACU65796:ACZ65796 AMQ65796:AMV65796 AWM65796:AWR65796 BGI65796:BGN65796 BQE65796:BQJ65796 CAA65796:CAF65796 CJW65796:CKB65796 CTS65796:CTX65796 DDO65796:DDT65796 DNK65796:DNP65796 DXG65796:DXL65796 EHC65796:EHH65796 EQY65796:ERD65796 FAU65796:FAZ65796 FKQ65796:FKV65796 FUM65796:FUR65796 GEI65796:GEN65796 GOE65796:GOJ65796 GYA65796:GYF65796 HHW65796:HIB65796 HRS65796:HRX65796 IBO65796:IBT65796 ILK65796:ILP65796 IVG65796:IVL65796 JFC65796:JFH65796 JOY65796:JPD65796 JYU65796:JYZ65796 KIQ65796:KIV65796 KSM65796:KSR65796 LCI65796:LCN65796 LME65796:LMJ65796 LWA65796:LWF65796 MFW65796:MGB65796 MPS65796:MPX65796 MZO65796:MZT65796 NJK65796:NJP65796 NTG65796:NTL65796 ODC65796:ODH65796 OMY65796:OND65796 OWU65796:OWZ65796 PGQ65796:PGV65796 PQM65796:PQR65796 QAI65796:QAN65796 QKE65796:QKJ65796 QUA65796:QUF65796 RDW65796:REB65796 RNS65796:RNX65796 RXO65796:RXT65796 SHK65796:SHP65796 SRG65796:SRL65796 TBC65796:TBH65796 TKY65796:TLD65796 TUU65796:TUZ65796 UEQ65796:UEV65796 UOM65796:UOR65796 UYI65796:UYN65796 VIE65796:VIJ65796 VSA65796:VSF65796 WBW65796:WCB65796 WLS65796:WLX65796 WVO65796:WVT65796 G131332:L131332 JC131332:JH131332 SY131332:TD131332 ACU131332:ACZ131332 AMQ131332:AMV131332 AWM131332:AWR131332 BGI131332:BGN131332 BQE131332:BQJ131332 CAA131332:CAF131332 CJW131332:CKB131332 CTS131332:CTX131332 DDO131332:DDT131332 DNK131332:DNP131332 DXG131332:DXL131332 EHC131332:EHH131332 EQY131332:ERD131332 FAU131332:FAZ131332 FKQ131332:FKV131332 FUM131332:FUR131332 GEI131332:GEN131332 GOE131332:GOJ131332 GYA131332:GYF131332 HHW131332:HIB131332 HRS131332:HRX131332 IBO131332:IBT131332 ILK131332:ILP131332 IVG131332:IVL131332 JFC131332:JFH131332 JOY131332:JPD131332 JYU131332:JYZ131332 KIQ131332:KIV131332 KSM131332:KSR131332 LCI131332:LCN131332 LME131332:LMJ131332 LWA131332:LWF131332 MFW131332:MGB131332 MPS131332:MPX131332 MZO131332:MZT131332 NJK131332:NJP131332 NTG131332:NTL131332 ODC131332:ODH131332 OMY131332:OND131332 OWU131332:OWZ131332 PGQ131332:PGV131332 PQM131332:PQR131332 QAI131332:QAN131332 QKE131332:QKJ131332 QUA131332:QUF131332 RDW131332:REB131332 RNS131332:RNX131332 RXO131332:RXT131332 SHK131332:SHP131332 SRG131332:SRL131332 TBC131332:TBH131332 TKY131332:TLD131332 TUU131332:TUZ131332 UEQ131332:UEV131332 UOM131332:UOR131332 UYI131332:UYN131332 VIE131332:VIJ131332 VSA131332:VSF131332 WBW131332:WCB131332 WLS131332:WLX131332 WVO131332:WVT131332 G196868:L196868 JC196868:JH196868 SY196868:TD196868 ACU196868:ACZ196868 AMQ196868:AMV196868 AWM196868:AWR196868 BGI196868:BGN196868 BQE196868:BQJ196868 CAA196868:CAF196868 CJW196868:CKB196868 CTS196868:CTX196868 DDO196868:DDT196868 DNK196868:DNP196868 DXG196868:DXL196868 EHC196868:EHH196868 EQY196868:ERD196868 FAU196868:FAZ196868 FKQ196868:FKV196868 FUM196868:FUR196868 GEI196868:GEN196868 GOE196868:GOJ196868 GYA196868:GYF196868 HHW196868:HIB196868 HRS196868:HRX196868 IBO196868:IBT196868 ILK196868:ILP196868 IVG196868:IVL196868 JFC196868:JFH196868 JOY196868:JPD196868 JYU196868:JYZ196868 KIQ196868:KIV196868 KSM196868:KSR196868 LCI196868:LCN196868 LME196868:LMJ196868 LWA196868:LWF196868 MFW196868:MGB196868 MPS196868:MPX196868 MZO196868:MZT196868 NJK196868:NJP196868 NTG196868:NTL196868 ODC196868:ODH196868 OMY196868:OND196868 OWU196868:OWZ196868 PGQ196868:PGV196868 PQM196868:PQR196868 QAI196868:QAN196868 QKE196868:QKJ196868 QUA196868:QUF196868 RDW196868:REB196868 RNS196868:RNX196868 RXO196868:RXT196868 SHK196868:SHP196868 SRG196868:SRL196868 TBC196868:TBH196868 TKY196868:TLD196868 TUU196868:TUZ196868 UEQ196868:UEV196868 UOM196868:UOR196868 UYI196868:UYN196868 VIE196868:VIJ196868 VSA196868:VSF196868 WBW196868:WCB196868 WLS196868:WLX196868 WVO196868:WVT196868 G262404:L262404 JC262404:JH262404 SY262404:TD262404 ACU262404:ACZ262404 AMQ262404:AMV262404 AWM262404:AWR262404 BGI262404:BGN262404 BQE262404:BQJ262404 CAA262404:CAF262404 CJW262404:CKB262404 CTS262404:CTX262404 DDO262404:DDT262404 DNK262404:DNP262404 DXG262404:DXL262404 EHC262404:EHH262404 EQY262404:ERD262404 FAU262404:FAZ262404 FKQ262404:FKV262404 FUM262404:FUR262404 GEI262404:GEN262404 GOE262404:GOJ262404 GYA262404:GYF262404 HHW262404:HIB262404 HRS262404:HRX262404 IBO262404:IBT262404 ILK262404:ILP262404 IVG262404:IVL262404 JFC262404:JFH262404 JOY262404:JPD262404 JYU262404:JYZ262404 KIQ262404:KIV262404 KSM262404:KSR262404 LCI262404:LCN262404 LME262404:LMJ262404 LWA262404:LWF262404 MFW262404:MGB262404 MPS262404:MPX262404 MZO262404:MZT262404 NJK262404:NJP262404 NTG262404:NTL262404 ODC262404:ODH262404 OMY262404:OND262404 OWU262404:OWZ262404 PGQ262404:PGV262404 PQM262404:PQR262404 QAI262404:QAN262404 QKE262404:QKJ262404 QUA262404:QUF262404 RDW262404:REB262404 RNS262404:RNX262404 RXO262404:RXT262404 SHK262404:SHP262404 SRG262404:SRL262404 TBC262404:TBH262404 TKY262404:TLD262404 TUU262404:TUZ262404 UEQ262404:UEV262404 UOM262404:UOR262404 UYI262404:UYN262404 VIE262404:VIJ262404 VSA262404:VSF262404 WBW262404:WCB262404 WLS262404:WLX262404 WVO262404:WVT262404 G327940:L327940 JC327940:JH327940 SY327940:TD327940 ACU327940:ACZ327940 AMQ327940:AMV327940 AWM327940:AWR327940 BGI327940:BGN327940 BQE327940:BQJ327940 CAA327940:CAF327940 CJW327940:CKB327940 CTS327940:CTX327940 DDO327940:DDT327940 DNK327940:DNP327940 DXG327940:DXL327940 EHC327940:EHH327940 EQY327940:ERD327940 FAU327940:FAZ327940 FKQ327940:FKV327940 FUM327940:FUR327940 GEI327940:GEN327940 GOE327940:GOJ327940 GYA327940:GYF327940 HHW327940:HIB327940 HRS327940:HRX327940 IBO327940:IBT327940 ILK327940:ILP327940 IVG327940:IVL327940 JFC327940:JFH327940 JOY327940:JPD327940 JYU327940:JYZ327940 KIQ327940:KIV327940 KSM327940:KSR327940 LCI327940:LCN327940 LME327940:LMJ327940 LWA327940:LWF327940 MFW327940:MGB327940 MPS327940:MPX327940 MZO327940:MZT327940 NJK327940:NJP327940 NTG327940:NTL327940 ODC327940:ODH327940 OMY327940:OND327940 OWU327940:OWZ327940 PGQ327940:PGV327940 PQM327940:PQR327940 QAI327940:QAN327940 QKE327940:QKJ327940 QUA327940:QUF327940 RDW327940:REB327940 RNS327940:RNX327940 RXO327940:RXT327940 SHK327940:SHP327940 SRG327940:SRL327940 TBC327940:TBH327940 TKY327940:TLD327940 TUU327940:TUZ327940 UEQ327940:UEV327940 UOM327940:UOR327940 UYI327940:UYN327940 VIE327940:VIJ327940 VSA327940:VSF327940 WBW327940:WCB327940 WLS327940:WLX327940 WVO327940:WVT327940 G393476:L393476 JC393476:JH393476 SY393476:TD393476 ACU393476:ACZ393476 AMQ393476:AMV393476 AWM393476:AWR393476 BGI393476:BGN393476 BQE393476:BQJ393476 CAA393476:CAF393476 CJW393476:CKB393476 CTS393476:CTX393476 DDO393476:DDT393476 DNK393476:DNP393476 DXG393476:DXL393476 EHC393476:EHH393476 EQY393476:ERD393476 FAU393476:FAZ393476 FKQ393476:FKV393476 FUM393476:FUR393476 GEI393476:GEN393476 GOE393476:GOJ393476 GYA393476:GYF393476 HHW393476:HIB393476 HRS393476:HRX393476 IBO393476:IBT393476 ILK393476:ILP393476 IVG393476:IVL393476 JFC393476:JFH393476 JOY393476:JPD393476 JYU393476:JYZ393476 KIQ393476:KIV393476 KSM393476:KSR393476 LCI393476:LCN393476 LME393476:LMJ393476 LWA393476:LWF393476 MFW393476:MGB393476 MPS393476:MPX393476 MZO393476:MZT393476 NJK393476:NJP393476 NTG393476:NTL393476 ODC393476:ODH393476 OMY393476:OND393476 OWU393476:OWZ393476 PGQ393476:PGV393476 PQM393476:PQR393476 QAI393476:QAN393476 QKE393476:QKJ393476 QUA393476:QUF393476 RDW393476:REB393476 RNS393476:RNX393476 RXO393476:RXT393476 SHK393476:SHP393476 SRG393476:SRL393476 TBC393476:TBH393476 TKY393476:TLD393476 TUU393476:TUZ393476 UEQ393476:UEV393476 UOM393476:UOR393476 UYI393476:UYN393476 VIE393476:VIJ393476 VSA393476:VSF393476 WBW393476:WCB393476 WLS393476:WLX393476 WVO393476:WVT393476 G459012:L459012 JC459012:JH459012 SY459012:TD459012 ACU459012:ACZ459012 AMQ459012:AMV459012 AWM459012:AWR459012 BGI459012:BGN459012 BQE459012:BQJ459012 CAA459012:CAF459012 CJW459012:CKB459012 CTS459012:CTX459012 DDO459012:DDT459012 DNK459012:DNP459012 DXG459012:DXL459012 EHC459012:EHH459012 EQY459012:ERD459012 FAU459012:FAZ459012 FKQ459012:FKV459012 FUM459012:FUR459012 GEI459012:GEN459012 GOE459012:GOJ459012 GYA459012:GYF459012 HHW459012:HIB459012 HRS459012:HRX459012 IBO459012:IBT459012 ILK459012:ILP459012 IVG459012:IVL459012 JFC459012:JFH459012 JOY459012:JPD459012 JYU459012:JYZ459012 KIQ459012:KIV459012 KSM459012:KSR459012 LCI459012:LCN459012 LME459012:LMJ459012 LWA459012:LWF459012 MFW459012:MGB459012 MPS459012:MPX459012 MZO459012:MZT459012 NJK459012:NJP459012 NTG459012:NTL459012 ODC459012:ODH459012 OMY459012:OND459012 OWU459012:OWZ459012 PGQ459012:PGV459012 PQM459012:PQR459012 QAI459012:QAN459012 QKE459012:QKJ459012 QUA459012:QUF459012 RDW459012:REB459012 RNS459012:RNX459012 RXO459012:RXT459012 SHK459012:SHP459012 SRG459012:SRL459012 TBC459012:TBH459012 TKY459012:TLD459012 TUU459012:TUZ459012 UEQ459012:UEV459012 UOM459012:UOR459012 UYI459012:UYN459012 VIE459012:VIJ459012 VSA459012:VSF459012 WBW459012:WCB459012 WLS459012:WLX459012 WVO459012:WVT459012 G524548:L524548 JC524548:JH524548 SY524548:TD524548 ACU524548:ACZ524548 AMQ524548:AMV524548 AWM524548:AWR524548 BGI524548:BGN524548 BQE524548:BQJ524548 CAA524548:CAF524548 CJW524548:CKB524548 CTS524548:CTX524548 DDO524548:DDT524548 DNK524548:DNP524548 DXG524548:DXL524548 EHC524548:EHH524548 EQY524548:ERD524548 FAU524548:FAZ524548 FKQ524548:FKV524548 FUM524548:FUR524548 GEI524548:GEN524548 GOE524548:GOJ524548 GYA524548:GYF524548 HHW524548:HIB524548 HRS524548:HRX524548 IBO524548:IBT524548 ILK524548:ILP524548 IVG524548:IVL524548 JFC524548:JFH524548 JOY524548:JPD524548 JYU524548:JYZ524548 KIQ524548:KIV524548 KSM524548:KSR524548 LCI524548:LCN524548 LME524548:LMJ524548 LWA524548:LWF524548 MFW524548:MGB524548 MPS524548:MPX524548 MZO524548:MZT524548 NJK524548:NJP524548 NTG524548:NTL524548 ODC524548:ODH524548 OMY524548:OND524548 OWU524548:OWZ524548 PGQ524548:PGV524548 PQM524548:PQR524548 QAI524548:QAN524548 QKE524548:QKJ524548 QUA524548:QUF524548 RDW524548:REB524548 RNS524548:RNX524548 RXO524548:RXT524548 SHK524548:SHP524548 SRG524548:SRL524548 TBC524548:TBH524548 TKY524548:TLD524548 TUU524548:TUZ524548 UEQ524548:UEV524548 UOM524548:UOR524548 UYI524548:UYN524548 VIE524548:VIJ524548 VSA524548:VSF524548 WBW524548:WCB524548 WLS524548:WLX524548 WVO524548:WVT524548 G590084:L590084 JC590084:JH590084 SY590084:TD590084 ACU590084:ACZ590084 AMQ590084:AMV590084 AWM590084:AWR590084 BGI590084:BGN590084 BQE590084:BQJ590084 CAA590084:CAF590084 CJW590084:CKB590084 CTS590084:CTX590084 DDO590084:DDT590084 DNK590084:DNP590084 DXG590084:DXL590084 EHC590084:EHH590084 EQY590084:ERD590084 FAU590084:FAZ590084 FKQ590084:FKV590084 FUM590084:FUR590084 GEI590084:GEN590084 GOE590084:GOJ590084 GYA590084:GYF590084 HHW590084:HIB590084 HRS590084:HRX590084 IBO590084:IBT590084 ILK590084:ILP590084 IVG590084:IVL590084 JFC590084:JFH590084 JOY590084:JPD590084 JYU590084:JYZ590084 KIQ590084:KIV590084 KSM590084:KSR590084 LCI590084:LCN590084 LME590084:LMJ590084 LWA590084:LWF590084 MFW590084:MGB590084 MPS590084:MPX590084 MZO590084:MZT590084 NJK590084:NJP590084 NTG590084:NTL590084 ODC590084:ODH590084 OMY590084:OND590084 OWU590084:OWZ590084 PGQ590084:PGV590084 PQM590084:PQR590084 QAI590084:QAN590084 QKE590084:QKJ590084 QUA590084:QUF590084 RDW590084:REB590084 RNS590084:RNX590084 RXO590084:RXT590084 SHK590084:SHP590084 SRG590084:SRL590084 TBC590084:TBH590084 TKY590084:TLD590084 TUU590084:TUZ590084 UEQ590084:UEV590084 UOM590084:UOR590084 UYI590084:UYN590084 VIE590084:VIJ590084 VSA590084:VSF590084 WBW590084:WCB590084 WLS590084:WLX590084 WVO590084:WVT590084 G655620:L655620 JC655620:JH655620 SY655620:TD655620 ACU655620:ACZ655620 AMQ655620:AMV655620 AWM655620:AWR655620 BGI655620:BGN655620 BQE655620:BQJ655620 CAA655620:CAF655620 CJW655620:CKB655620 CTS655620:CTX655620 DDO655620:DDT655620 DNK655620:DNP655620 DXG655620:DXL655620 EHC655620:EHH655620 EQY655620:ERD655620 FAU655620:FAZ655620 FKQ655620:FKV655620 FUM655620:FUR655620 GEI655620:GEN655620 GOE655620:GOJ655620 GYA655620:GYF655620 HHW655620:HIB655620 HRS655620:HRX655620 IBO655620:IBT655620 ILK655620:ILP655620 IVG655620:IVL655620 JFC655620:JFH655620 JOY655620:JPD655620 JYU655620:JYZ655620 KIQ655620:KIV655620 KSM655620:KSR655620 LCI655620:LCN655620 LME655620:LMJ655620 LWA655620:LWF655620 MFW655620:MGB655620 MPS655620:MPX655620 MZO655620:MZT655620 NJK655620:NJP655620 NTG655620:NTL655620 ODC655620:ODH655620 OMY655620:OND655620 OWU655620:OWZ655620 PGQ655620:PGV655620 PQM655620:PQR655620 QAI655620:QAN655620 QKE655620:QKJ655620 QUA655620:QUF655620 RDW655620:REB655620 RNS655620:RNX655620 RXO655620:RXT655620 SHK655620:SHP655620 SRG655620:SRL655620 TBC655620:TBH655620 TKY655620:TLD655620 TUU655620:TUZ655620 UEQ655620:UEV655620 UOM655620:UOR655620 UYI655620:UYN655620 VIE655620:VIJ655620 VSA655620:VSF655620 WBW655620:WCB655620 WLS655620:WLX655620 WVO655620:WVT655620 G721156:L721156 JC721156:JH721156 SY721156:TD721156 ACU721156:ACZ721156 AMQ721156:AMV721156 AWM721156:AWR721156 BGI721156:BGN721156 BQE721156:BQJ721156 CAA721156:CAF721156 CJW721156:CKB721156 CTS721156:CTX721156 DDO721156:DDT721156 DNK721156:DNP721156 DXG721156:DXL721156 EHC721156:EHH721156 EQY721156:ERD721156 FAU721156:FAZ721156 FKQ721156:FKV721156 FUM721156:FUR721156 GEI721156:GEN721156 GOE721156:GOJ721156 GYA721156:GYF721156 HHW721156:HIB721156 HRS721156:HRX721156 IBO721156:IBT721156 ILK721156:ILP721156 IVG721156:IVL721156 JFC721156:JFH721156 JOY721156:JPD721156 JYU721156:JYZ721156 KIQ721156:KIV721156 KSM721156:KSR721156 LCI721156:LCN721156 LME721156:LMJ721156 LWA721156:LWF721156 MFW721156:MGB721156 MPS721156:MPX721156 MZO721156:MZT721156 NJK721156:NJP721156 NTG721156:NTL721156 ODC721156:ODH721156 OMY721156:OND721156 OWU721156:OWZ721156 PGQ721156:PGV721156 PQM721156:PQR721156 QAI721156:QAN721156 QKE721156:QKJ721156 QUA721156:QUF721156 RDW721156:REB721156 RNS721156:RNX721156 RXO721156:RXT721156 SHK721156:SHP721156 SRG721156:SRL721156 TBC721156:TBH721156 TKY721156:TLD721156 TUU721156:TUZ721156 UEQ721156:UEV721156 UOM721156:UOR721156 UYI721156:UYN721156 VIE721156:VIJ721156 VSA721156:VSF721156 WBW721156:WCB721156 WLS721156:WLX721156 WVO721156:WVT721156 G786692:L786692 JC786692:JH786692 SY786692:TD786692 ACU786692:ACZ786692 AMQ786692:AMV786692 AWM786692:AWR786692 BGI786692:BGN786692 BQE786692:BQJ786692 CAA786692:CAF786692 CJW786692:CKB786692 CTS786692:CTX786692 DDO786692:DDT786692 DNK786692:DNP786692 DXG786692:DXL786692 EHC786692:EHH786692 EQY786692:ERD786692 FAU786692:FAZ786692 FKQ786692:FKV786692 FUM786692:FUR786692 GEI786692:GEN786692 GOE786692:GOJ786692 GYA786692:GYF786692 HHW786692:HIB786692 HRS786692:HRX786692 IBO786692:IBT786692 ILK786692:ILP786692 IVG786692:IVL786692 JFC786692:JFH786692 JOY786692:JPD786692 JYU786692:JYZ786692 KIQ786692:KIV786692 KSM786692:KSR786692 LCI786692:LCN786692 LME786692:LMJ786692 LWA786692:LWF786692 MFW786692:MGB786692 MPS786692:MPX786692 MZO786692:MZT786692 NJK786692:NJP786692 NTG786692:NTL786692 ODC786692:ODH786692 OMY786692:OND786692 OWU786692:OWZ786692 PGQ786692:PGV786692 PQM786692:PQR786692 QAI786692:QAN786692 QKE786692:QKJ786692 QUA786692:QUF786692 RDW786692:REB786692 RNS786692:RNX786692 RXO786692:RXT786692 SHK786692:SHP786692 SRG786692:SRL786692 TBC786692:TBH786692 TKY786692:TLD786692 TUU786692:TUZ786692 UEQ786692:UEV786692 UOM786692:UOR786692 UYI786692:UYN786692 VIE786692:VIJ786692 VSA786692:VSF786692 WBW786692:WCB786692 WLS786692:WLX786692 WVO786692:WVT786692 G852228:L852228 JC852228:JH852228 SY852228:TD852228 ACU852228:ACZ852228 AMQ852228:AMV852228 AWM852228:AWR852228 BGI852228:BGN852228 BQE852228:BQJ852228 CAA852228:CAF852228 CJW852228:CKB852228 CTS852228:CTX852228 DDO852228:DDT852228 DNK852228:DNP852228 DXG852228:DXL852228 EHC852228:EHH852228 EQY852228:ERD852228 FAU852228:FAZ852228 FKQ852228:FKV852228 FUM852228:FUR852228 GEI852228:GEN852228 GOE852228:GOJ852228 GYA852228:GYF852228 HHW852228:HIB852228 HRS852228:HRX852228 IBO852228:IBT852228 ILK852228:ILP852228 IVG852228:IVL852228 JFC852228:JFH852228 JOY852228:JPD852228 JYU852228:JYZ852228 KIQ852228:KIV852228 KSM852228:KSR852228 LCI852228:LCN852228 LME852228:LMJ852228 LWA852228:LWF852228 MFW852228:MGB852228 MPS852228:MPX852228 MZO852228:MZT852228 NJK852228:NJP852228 NTG852228:NTL852228 ODC852228:ODH852228 OMY852228:OND852228 OWU852228:OWZ852228 PGQ852228:PGV852228 PQM852228:PQR852228 QAI852228:QAN852228 QKE852228:QKJ852228 QUA852228:QUF852228 RDW852228:REB852228 RNS852228:RNX852228 RXO852228:RXT852228 SHK852228:SHP852228 SRG852228:SRL852228 TBC852228:TBH852228 TKY852228:TLD852228 TUU852228:TUZ852228 UEQ852228:UEV852228 UOM852228:UOR852228 UYI852228:UYN852228 VIE852228:VIJ852228 VSA852228:VSF852228 WBW852228:WCB852228 WLS852228:WLX852228 WVO852228:WVT852228 G917764:L917764 JC917764:JH917764 SY917764:TD917764 ACU917764:ACZ917764 AMQ917764:AMV917764 AWM917764:AWR917764 BGI917764:BGN917764 BQE917764:BQJ917764 CAA917764:CAF917764 CJW917764:CKB917764 CTS917764:CTX917764 DDO917764:DDT917764 DNK917764:DNP917764 DXG917764:DXL917764 EHC917764:EHH917764 EQY917764:ERD917764 FAU917764:FAZ917764 FKQ917764:FKV917764 FUM917764:FUR917764 GEI917764:GEN917764 GOE917764:GOJ917764 GYA917764:GYF917764 HHW917764:HIB917764 HRS917764:HRX917764 IBO917764:IBT917764 ILK917764:ILP917764 IVG917764:IVL917764 JFC917764:JFH917764 JOY917764:JPD917764 JYU917764:JYZ917764 KIQ917764:KIV917764 KSM917764:KSR917764 LCI917764:LCN917764 LME917764:LMJ917764 LWA917764:LWF917764 MFW917764:MGB917764 MPS917764:MPX917764 MZO917764:MZT917764 NJK917764:NJP917764 NTG917764:NTL917764 ODC917764:ODH917764 OMY917764:OND917764 OWU917764:OWZ917764 PGQ917764:PGV917764 PQM917764:PQR917764 QAI917764:QAN917764 QKE917764:QKJ917764 QUA917764:QUF917764 RDW917764:REB917764 RNS917764:RNX917764 RXO917764:RXT917764 SHK917764:SHP917764 SRG917764:SRL917764 TBC917764:TBH917764 TKY917764:TLD917764 TUU917764:TUZ917764 UEQ917764:UEV917764 UOM917764:UOR917764 UYI917764:UYN917764 VIE917764:VIJ917764 VSA917764:VSF917764 WBW917764:WCB917764 WLS917764:WLX917764 WVO917764:WVT917764 G983300:L983300 JC983300:JH983300 SY983300:TD983300 ACU983300:ACZ983300 AMQ983300:AMV983300 AWM983300:AWR983300 BGI983300:BGN983300 BQE983300:BQJ983300 CAA983300:CAF983300 CJW983300:CKB983300 CTS983300:CTX983300 DDO983300:DDT983300 DNK983300:DNP983300 DXG983300:DXL983300 EHC983300:EHH983300 EQY983300:ERD983300 FAU983300:FAZ983300 FKQ983300:FKV983300 FUM983300:FUR983300 GEI983300:GEN983300 GOE983300:GOJ983300 GYA983300:GYF983300 HHW983300:HIB983300 HRS983300:HRX983300 IBO983300:IBT983300 ILK983300:ILP983300 IVG983300:IVL983300 JFC983300:JFH983300 JOY983300:JPD983300 JYU983300:JYZ983300 KIQ983300:KIV983300 KSM983300:KSR983300 LCI983300:LCN983300 LME983300:LMJ983300 LWA983300:LWF983300 MFW983300:MGB983300 MPS983300:MPX983300 MZO983300:MZT983300 NJK983300:NJP983300 NTG983300:NTL983300 ODC983300:ODH983300 OMY983300:OND983300 OWU983300:OWZ983300 PGQ983300:PGV983300 PQM983300:PQR983300 QAI983300:QAN983300 QKE983300:QKJ983300 QUA983300:QUF983300 RDW983300:REB983300 RNS983300:RNX983300 RXO983300:RXT983300 SHK983300:SHP983300 SRG983300:SRL983300 TBC983300:TBH983300 TKY983300:TLD983300 TUU983300:TUZ983300 UEQ983300:UEV983300 UOM983300:UOR983300 UYI983300:UYN983300 VIE983300:VIJ983300 VSA983300:VSF983300 WBW983300:WCB983300 WLS983300:WLX983300 WVO983300:WVT983300 G34:G36 JC34:JC36 SY34:SY36 ACU34:ACU36 AMQ34:AMQ36 AWM34:AWM36 BGI34:BGI36 BQE34:BQE36 CAA34:CAA36 CJW34:CJW36 CTS34:CTS36 DDO34:DDO36 DNK34:DNK36 DXG34:DXG36 EHC34:EHC36 EQY34:EQY36 FAU34:FAU36 FKQ34:FKQ36 FUM34:FUM36 GEI34:GEI36 GOE34:GOE36 GYA34:GYA36 HHW34:HHW36 HRS34:HRS36 IBO34:IBO36 ILK34:ILK36 IVG34:IVG36 JFC34:JFC36 JOY34:JOY36 JYU34:JYU36 KIQ34:KIQ36 KSM34:KSM36 LCI34:LCI36 LME34:LME36 LWA34:LWA36 MFW34:MFW36 MPS34:MPS36 MZO34:MZO36 NJK34:NJK36 NTG34:NTG36 ODC34:ODC36 OMY34:OMY36 OWU34:OWU36 PGQ34:PGQ36 PQM34:PQM36 QAI34:QAI36 QKE34:QKE36 QUA34:QUA36 RDW34:RDW36 RNS34:RNS36 RXO34:RXO36 SHK34:SHK36 SRG34:SRG36 TBC34:TBC36 TKY34:TKY36 TUU34:TUU36 UEQ34:UEQ36 UOM34:UOM36 UYI34:UYI36 VIE34:VIE36 VSA34:VSA36 WBW34:WBW36 WLS34:WLS36 WVO34:WVO36 G65581:G65583 JC65581:JC65583 SY65581:SY65583 ACU65581:ACU65583 AMQ65581:AMQ65583 AWM65581:AWM65583 BGI65581:BGI65583 BQE65581:BQE65583 CAA65581:CAA65583 CJW65581:CJW65583 CTS65581:CTS65583 DDO65581:DDO65583 DNK65581:DNK65583 DXG65581:DXG65583 EHC65581:EHC65583 EQY65581:EQY65583 FAU65581:FAU65583 FKQ65581:FKQ65583 FUM65581:FUM65583 GEI65581:GEI65583 GOE65581:GOE65583 GYA65581:GYA65583 HHW65581:HHW65583 HRS65581:HRS65583 IBO65581:IBO65583 ILK65581:ILK65583 IVG65581:IVG65583 JFC65581:JFC65583 JOY65581:JOY65583 JYU65581:JYU65583 KIQ65581:KIQ65583 KSM65581:KSM65583 LCI65581:LCI65583 LME65581:LME65583 LWA65581:LWA65583 MFW65581:MFW65583 MPS65581:MPS65583 MZO65581:MZO65583 NJK65581:NJK65583 NTG65581:NTG65583 ODC65581:ODC65583 OMY65581:OMY65583 OWU65581:OWU65583 PGQ65581:PGQ65583 PQM65581:PQM65583 QAI65581:QAI65583 QKE65581:QKE65583 QUA65581:QUA65583 RDW65581:RDW65583 RNS65581:RNS65583 RXO65581:RXO65583 SHK65581:SHK65583 SRG65581:SRG65583 TBC65581:TBC65583 TKY65581:TKY65583 TUU65581:TUU65583 UEQ65581:UEQ65583 UOM65581:UOM65583 UYI65581:UYI65583 VIE65581:VIE65583 VSA65581:VSA65583 WBW65581:WBW65583 WLS65581:WLS65583 WVO65581:WVO65583 G131117:G131119 JC131117:JC131119 SY131117:SY131119 ACU131117:ACU131119 AMQ131117:AMQ131119 AWM131117:AWM131119 BGI131117:BGI131119 BQE131117:BQE131119 CAA131117:CAA131119 CJW131117:CJW131119 CTS131117:CTS131119 DDO131117:DDO131119 DNK131117:DNK131119 DXG131117:DXG131119 EHC131117:EHC131119 EQY131117:EQY131119 FAU131117:FAU131119 FKQ131117:FKQ131119 FUM131117:FUM131119 GEI131117:GEI131119 GOE131117:GOE131119 GYA131117:GYA131119 HHW131117:HHW131119 HRS131117:HRS131119 IBO131117:IBO131119 ILK131117:ILK131119 IVG131117:IVG131119 JFC131117:JFC131119 JOY131117:JOY131119 JYU131117:JYU131119 KIQ131117:KIQ131119 KSM131117:KSM131119 LCI131117:LCI131119 LME131117:LME131119 LWA131117:LWA131119 MFW131117:MFW131119 MPS131117:MPS131119 MZO131117:MZO131119 NJK131117:NJK131119 NTG131117:NTG131119 ODC131117:ODC131119 OMY131117:OMY131119 OWU131117:OWU131119 PGQ131117:PGQ131119 PQM131117:PQM131119 QAI131117:QAI131119 QKE131117:QKE131119 QUA131117:QUA131119 RDW131117:RDW131119 RNS131117:RNS131119 RXO131117:RXO131119 SHK131117:SHK131119 SRG131117:SRG131119 TBC131117:TBC131119 TKY131117:TKY131119 TUU131117:TUU131119 UEQ131117:UEQ131119 UOM131117:UOM131119 UYI131117:UYI131119 VIE131117:VIE131119 VSA131117:VSA131119 WBW131117:WBW131119 WLS131117:WLS131119 WVO131117:WVO131119 G196653:G196655 JC196653:JC196655 SY196653:SY196655 ACU196653:ACU196655 AMQ196653:AMQ196655 AWM196653:AWM196655 BGI196653:BGI196655 BQE196653:BQE196655 CAA196653:CAA196655 CJW196653:CJW196655 CTS196653:CTS196655 DDO196653:DDO196655 DNK196653:DNK196655 DXG196653:DXG196655 EHC196653:EHC196655 EQY196653:EQY196655 FAU196653:FAU196655 FKQ196653:FKQ196655 FUM196653:FUM196655 GEI196653:GEI196655 GOE196653:GOE196655 GYA196653:GYA196655 HHW196653:HHW196655 HRS196653:HRS196655 IBO196653:IBO196655 ILK196653:ILK196655 IVG196653:IVG196655 JFC196653:JFC196655 JOY196653:JOY196655 JYU196653:JYU196655 KIQ196653:KIQ196655 KSM196653:KSM196655 LCI196653:LCI196655 LME196653:LME196655 LWA196653:LWA196655 MFW196653:MFW196655 MPS196653:MPS196655 MZO196653:MZO196655 NJK196653:NJK196655 NTG196653:NTG196655 ODC196653:ODC196655 OMY196653:OMY196655 OWU196653:OWU196655 PGQ196653:PGQ196655 PQM196653:PQM196655 QAI196653:QAI196655 QKE196653:QKE196655 QUA196653:QUA196655 RDW196653:RDW196655 RNS196653:RNS196655 RXO196653:RXO196655 SHK196653:SHK196655 SRG196653:SRG196655 TBC196653:TBC196655 TKY196653:TKY196655 TUU196653:TUU196655 UEQ196653:UEQ196655 UOM196653:UOM196655 UYI196653:UYI196655 VIE196653:VIE196655 VSA196653:VSA196655 WBW196653:WBW196655 WLS196653:WLS196655 WVO196653:WVO196655 G262189:G262191 JC262189:JC262191 SY262189:SY262191 ACU262189:ACU262191 AMQ262189:AMQ262191 AWM262189:AWM262191 BGI262189:BGI262191 BQE262189:BQE262191 CAA262189:CAA262191 CJW262189:CJW262191 CTS262189:CTS262191 DDO262189:DDO262191 DNK262189:DNK262191 DXG262189:DXG262191 EHC262189:EHC262191 EQY262189:EQY262191 FAU262189:FAU262191 FKQ262189:FKQ262191 FUM262189:FUM262191 GEI262189:GEI262191 GOE262189:GOE262191 GYA262189:GYA262191 HHW262189:HHW262191 HRS262189:HRS262191 IBO262189:IBO262191 ILK262189:ILK262191 IVG262189:IVG262191 JFC262189:JFC262191 JOY262189:JOY262191 JYU262189:JYU262191 KIQ262189:KIQ262191 KSM262189:KSM262191 LCI262189:LCI262191 LME262189:LME262191 LWA262189:LWA262191 MFW262189:MFW262191 MPS262189:MPS262191 MZO262189:MZO262191 NJK262189:NJK262191 NTG262189:NTG262191 ODC262189:ODC262191 OMY262189:OMY262191 OWU262189:OWU262191 PGQ262189:PGQ262191 PQM262189:PQM262191 QAI262189:QAI262191 QKE262189:QKE262191 QUA262189:QUA262191 RDW262189:RDW262191 RNS262189:RNS262191 RXO262189:RXO262191 SHK262189:SHK262191 SRG262189:SRG262191 TBC262189:TBC262191 TKY262189:TKY262191 TUU262189:TUU262191 UEQ262189:UEQ262191 UOM262189:UOM262191 UYI262189:UYI262191 VIE262189:VIE262191 VSA262189:VSA262191 WBW262189:WBW262191 WLS262189:WLS262191 WVO262189:WVO262191 G327725:G327727 JC327725:JC327727 SY327725:SY327727 ACU327725:ACU327727 AMQ327725:AMQ327727 AWM327725:AWM327727 BGI327725:BGI327727 BQE327725:BQE327727 CAA327725:CAA327727 CJW327725:CJW327727 CTS327725:CTS327727 DDO327725:DDO327727 DNK327725:DNK327727 DXG327725:DXG327727 EHC327725:EHC327727 EQY327725:EQY327727 FAU327725:FAU327727 FKQ327725:FKQ327727 FUM327725:FUM327727 GEI327725:GEI327727 GOE327725:GOE327727 GYA327725:GYA327727 HHW327725:HHW327727 HRS327725:HRS327727 IBO327725:IBO327727 ILK327725:ILK327727 IVG327725:IVG327727 JFC327725:JFC327727 JOY327725:JOY327727 JYU327725:JYU327727 KIQ327725:KIQ327727 KSM327725:KSM327727 LCI327725:LCI327727 LME327725:LME327727 LWA327725:LWA327727 MFW327725:MFW327727 MPS327725:MPS327727 MZO327725:MZO327727 NJK327725:NJK327727 NTG327725:NTG327727 ODC327725:ODC327727 OMY327725:OMY327727 OWU327725:OWU327727 PGQ327725:PGQ327727 PQM327725:PQM327727 QAI327725:QAI327727 QKE327725:QKE327727 QUA327725:QUA327727 RDW327725:RDW327727 RNS327725:RNS327727 RXO327725:RXO327727 SHK327725:SHK327727 SRG327725:SRG327727 TBC327725:TBC327727 TKY327725:TKY327727 TUU327725:TUU327727 UEQ327725:UEQ327727 UOM327725:UOM327727 UYI327725:UYI327727 VIE327725:VIE327727 VSA327725:VSA327727 WBW327725:WBW327727 WLS327725:WLS327727 WVO327725:WVO327727 G393261:G393263 JC393261:JC393263 SY393261:SY393263 ACU393261:ACU393263 AMQ393261:AMQ393263 AWM393261:AWM393263 BGI393261:BGI393263 BQE393261:BQE393263 CAA393261:CAA393263 CJW393261:CJW393263 CTS393261:CTS393263 DDO393261:DDO393263 DNK393261:DNK393263 DXG393261:DXG393263 EHC393261:EHC393263 EQY393261:EQY393263 FAU393261:FAU393263 FKQ393261:FKQ393263 FUM393261:FUM393263 GEI393261:GEI393263 GOE393261:GOE393263 GYA393261:GYA393263 HHW393261:HHW393263 HRS393261:HRS393263 IBO393261:IBO393263 ILK393261:ILK393263 IVG393261:IVG393263 JFC393261:JFC393263 JOY393261:JOY393263 JYU393261:JYU393263 KIQ393261:KIQ393263 KSM393261:KSM393263 LCI393261:LCI393263 LME393261:LME393263 LWA393261:LWA393263 MFW393261:MFW393263 MPS393261:MPS393263 MZO393261:MZO393263 NJK393261:NJK393263 NTG393261:NTG393263 ODC393261:ODC393263 OMY393261:OMY393263 OWU393261:OWU393263 PGQ393261:PGQ393263 PQM393261:PQM393263 QAI393261:QAI393263 QKE393261:QKE393263 QUA393261:QUA393263 RDW393261:RDW393263 RNS393261:RNS393263 RXO393261:RXO393263 SHK393261:SHK393263 SRG393261:SRG393263 TBC393261:TBC393263 TKY393261:TKY393263 TUU393261:TUU393263 UEQ393261:UEQ393263 UOM393261:UOM393263 UYI393261:UYI393263 VIE393261:VIE393263 VSA393261:VSA393263 WBW393261:WBW393263 WLS393261:WLS393263 WVO393261:WVO393263 G458797:G458799 JC458797:JC458799 SY458797:SY458799 ACU458797:ACU458799 AMQ458797:AMQ458799 AWM458797:AWM458799 BGI458797:BGI458799 BQE458797:BQE458799 CAA458797:CAA458799 CJW458797:CJW458799 CTS458797:CTS458799 DDO458797:DDO458799 DNK458797:DNK458799 DXG458797:DXG458799 EHC458797:EHC458799 EQY458797:EQY458799 FAU458797:FAU458799 FKQ458797:FKQ458799 FUM458797:FUM458799 GEI458797:GEI458799 GOE458797:GOE458799 GYA458797:GYA458799 HHW458797:HHW458799 HRS458797:HRS458799 IBO458797:IBO458799 ILK458797:ILK458799 IVG458797:IVG458799 JFC458797:JFC458799 JOY458797:JOY458799 JYU458797:JYU458799 KIQ458797:KIQ458799 KSM458797:KSM458799 LCI458797:LCI458799 LME458797:LME458799 LWA458797:LWA458799 MFW458797:MFW458799 MPS458797:MPS458799 MZO458797:MZO458799 NJK458797:NJK458799 NTG458797:NTG458799 ODC458797:ODC458799 OMY458797:OMY458799 OWU458797:OWU458799 PGQ458797:PGQ458799 PQM458797:PQM458799 QAI458797:QAI458799 QKE458797:QKE458799 QUA458797:QUA458799 RDW458797:RDW458799 RNS458797:RNS458799 RXO458797:RXO458799 SHK458797:SHK458799 SRG458797:SRG458799 TBC458797:TBC458799 TKY458797:TKY458799 TUU458797:TUU458799 UEQ458797:UEQ458799 UOM458797:UOM458799 UYI458797:UYI458799 VIE458797:VIE458799 VSA458797:VSA458799 WBW458797:WBW458799 WLS458797:WLS458799 WVO458797:WVO458799 G524333:G524335 JC524333:JC524335 SY524333:SY524335 ACU524333:ACU524335 AMQ524333:AMQ524335 AWM524333:AWM524335 BGI524333:BGI524335 BQE524333:BQE524335 CAA524333:CAA524335 CJW524333:CJW524335 CTS524333:CTS524335 DDO524333:DDO524335 DNK524333:DNK524335 DXG524333:DXG524335 EHC524333:EHC524335 EQY524333:EQY524335 FAU524333:FAU524335 FKQ524333:FKQ524335 FUM524333:FUM524335 GEI524333:GEI524335 GOE524333:GOE524335 GYA524333:GYA524335 HHW524333:HHW524335 HRS524333:HRS524335 IBO524333:IBO524335 ILK524333:ILK524335 IVG524333:IVG524335 JFC524333:JFC524335 JOY524333:JOY524335 JYU524333:JYU524335 KIQ524333:KIQ524335 KSM524333:KSM524335 LCI524333:LCI524335 LME524333:LME524335 LWA524333:LWA524335 MFW524333:MFW524335 MPS524333:MPS524335 MZO524333:MZO524335 NJK524333:NJK524335 NTG524333:NTG524335 ODC524333:ODC524335 OMY524333:OMY524335 OWU524333:OWU524335 PGQ524333:PGQ524335 PQM524333:PQM524335 QAI524333:QAI524335 QKE524333:QKE524335 QUA524333:QUA524335 RDW524333:RDW524335 RNS524333:RNS524335 RXO524333:RXO524335 SHK524333:SHK524335 SRG524333:SRG524335 TBC524333:TBC524335 TKY524333:TKY524335 TUU524333:TUU524335 UEQ524333:UEQ524335 UOM524333:UOM524335 UYI524333:UYI524335 VIE524333:VIE524335 VSA524333:VSA524335 WBW524333:WBW524335 WLS524333:WLS524335 WVO524333:WVO524335 G589869:G589871 JC589869:JC589871 SY589869:SY589871 ACU589869:ACU589871 AMQ589869:AMQ589871 AWM589869:AWM589871 BGI589869:BGI589871 BQE589869:BQE589871 CAA589869:CAA589871 CJW589869:CJW589871 CTS589869:CTS589871 DDO589869:DDO589871 DNK589869:DNK589871 DXG589869:DXG589871 EHC589869:EHC589871 EQY589869:EQY589871 FAU589869:FAU589871 FKQ589869:FKQ589871 FUM589869:FUM589871 GEI589869:GEI589871 GOE589869:GOE589871 GYA589869:GYA589871 HHW589869:HHW589871 HRS589869:HRS589871 IBO589869:IBO589871 ILK589869:ILK589871 IVG589869:IVG589871 JFC589869:JFC589871 JOY589869:JOY589871 JYU589869:JYU589871 KIQ589869:KIQ589871 KSM589869:KSM589871 LCI589869:LCI589871 LME589869:LME589871 LWA589869:LWA589871 MFW589869:MFW589871 MPS589869:MPS589871 MZO589869:MZO589871 NJK589869:NJK589871 NTG589869:NTG589871 ODC589869:ODC589871 OMY589869:OMY589871 OWU589869:OWU589871 PGQ589869:PGQ589871 PQM589869:PQM589871 QAI589869:QAI589871 QKE589869:QKE589871 QUA589869:QUA589871 RDW589869:RDW589871 RNS589869:RNS589871 RXO589869:RXO589871 SHK589869:SHK589871 SRG589869:SRG589871 TBC589869:TBC589871 TKY589869:TKY589871 TUU589869:TUU589871 UEQ589869:UEQ589871 UOM589869:UOM589871 UYI589869:UYI589871 VIE589869:VIE589871 VSA589869:VSA589871 WBW589869:WBW589871 WLS589869:WLS589871 WVO589869:WVO589871 G655405:G655407 JC655405:JC655407 SY655405:SY655407 ACU655405:ACU655407 AMQ655405:AMQ655407 AWM655405:AWM655407 BGI655405:BGI655407 BQE655405:BQE655407 CAA655405:CAA655407 CJW655405:CJW655407 CTS655405:CTS655407 DDO655405:DDO655407 DNK655405:DNK655407 DXG655405:DXG655407 EHC655405:EHC655407 EQY655405:EQY655407 FAU655405:FAU655407 FKQ655405:FKQ655407 FUM655405:FUM655407 GEI655405:GEI655407 GOE655405:GOE655407 GYA655405:GYA655407 HHW655405:HHW655407 HRS655405:HRS655407 IBO655405:IBO655407 ILK655405:ILK655407 IVG655405:IVG655407 JFC655405:JFC655407 JOY655405:JOY655407 JYU655405:JYU655407 KIQ655405:KIQ655407 KSM655405:KSM655407 LCI655405:LCI655407 LME655405:LME655407 LWA655405:LWA655407 MFW655405:MFW655407 MPS655405:MPS655407 MZO655405:MZO655407 NJK655405:NJK655407 NTG655405:NTG655407 ODC655405:ODC655407 OMY655405:OMY655407 OWU655405:OWU655407 PGQ655405:PGQ655407 PQM655405:PQM655407 QAI655405:QAI655407 QKE655405:QKE655407 QUA655405:QUA655407 RDW655405:RDW655407 RNS655405:RNS655407 RXO655405:RXO655407 SHK655405:SHK655407 SRG655405:SRG655407 TBC655405:TBC655407 TKY655405:TKY655407 TUU655405:TUU655407 UEQ655405:UEQ655407 UOM655405:UOM655407 UYI655405:UYI655407 VIE655405:VIE655407 VSA655405:VSA655407 WBW655405:WBW655407 WLS655405:WLS655407 WVO655405:WVO655407 G720941:G720943 JC720941:JC720943 SY720941:SY720943 ACU720941:ACU720943 AMQ720941:AMQ720943 AWM720941:AWM720943 BGI720941:BGI720943 BQE720941:BQE720943 CAA720941:CAA720943 CJW720941:CJW720943 CTS720941:CTS720943 DDO720941:DDO720943 DNK720941:DNK720943 DXG720941:DXG720943 EHC720941:EHC720943 EQY720941:EQY720943 FAU720941:FAU720943 FKQ720941:FKQ720943 FUM720941:FUM720943 GEI720941:GEI720943 GOE720941:GOE720943 GYA720941:GYA720943 HHW720941:HHW720943 HRS720941:HRS720943 IBO720941:IBO720943 ILK720941:ILK720943 IVG720941:IVG720943 JFC720941:JFC720943 JOY720941:JOY720943 JYU720941:JYU720943 KIQ720941:KIQ720943 KSM720941:KSM720943 LCI720941:LCI720943 LME720941:LME720943 LWA720941:LWA720943 MFW720941:MFW720943 MPS720941:MPS720943 MZO720941:MZO720943 NJK720941:NJK720943 NTG720941:NTG720943 ODC720941:ODC720943 OMY720941:OMY720943 OWU720941:OWU720943 PGQ720941:PGQ720943 PQM720941:PQM720943 QAI720941:QAI720943 QKE720941:QKE720943 QUA720941:QUA720943 RDW720941:RDW720943 RNS720941:RNS720943 RXO720941:RXO720943 SHK720941:SHK720943 SRG720941:SRG720943 TBC720941:TBC720943 TKY720941:TKY720943 TUU720941:TUU720943 UEQ720941:UEQ720943 UOM720941:UOM720943 UYI720941:UYI720943 VIE720941:VIE720943 VSA720941:VSA720943 WBW720941:WBW720943 WLS720941:WLS720943 WVO720941:WVO720943 G786477:G786479 JC786477:JC786479 SY786477:SY786479 ACU786477:ACU786479 AMQ786477:AMQ786479 AWM786477:AWM786479 BGI786477:BGI786479 BQE786477:BQE786479 CAA786477:CAA786479 CJW786477:CJW786479 CTS786477:CTS786479 DDO786477:DDO786479 DNK786477:DNK786479 DXG786477:DXG786479 EHC786477:EHC786479 EQY786477:EQY786479 FAU786477:FAU786479 FKQ786477:FKQ786479 FUM786477:FUM786479 GEI786477:GEI786479 GOE786477:GOE786479 GYA786477:GYA786479 HHW786477:HHW786479 HRS786477:HRS786479 IBO786477:IBO786479 ILK786477:ILK786479 IVG786477:IVG786479 JFC786477:JFC786479 JOY786477:JOY786479 JYU786477:JYU786479 KIQ786477:KIQ786479 KSM786477:KSM786479 LCI786477:LCI786479 LME786477:LME786479 LWA786477:LWA786479 MFW786477:MFW786479 MPS786477:MPS786479 MZO786477:MZO786479 NJK786477:NJK786479 NTG786477:NTG786479 ODC786477:ODC786479 OMY786477:OMY786479 OWU786477:OWU786479 PGQ786477:PGQ786479 PQM786477:PQM786479 QAI786477:QAI786479 QKE786477:QKE786479 QUA786477:QUA786479 RDW786477:RDW786479 RNS786477:RNS786479 RXO786477:RXO786479 SHK786477:SHK786479 SRG786477:SRG786479 TBC786477:TBC786479 TKY786477:TKY786479 TUU786477:TUU786479 UEQ786477:UEQ786479 UOM786477:UOM786479 UYI786477:UYI786479 VIE786477:VIE786479 VSA786477:VSA786479 WBW786477:WBW786479 WLS786477:WLS786479 WVO786477:WVO786479 G852013:G852015 JC852013:JC852015 SY852013:SY852015 ACU852013:ACU852015 AMQ852013:AMQ852015 AWM852013:AWM852015 BGI852013:BGI852015 BQE852013:BQE852015 CAA852013:CAA852015 CJW852013:CJW852015 CTS852013:CTS852015 DDO852013:DDO852015 DNK852013:DNK852015 DXG852013:DXG852015 EHC852013:EHC852015 EQY852013:EQY852015 FAU852013:FAU852015 FKQ852013:FKQ852015 FUM852013:FUM852015 GEI852013:GEI852015 GOE852013:GOE852015 GYA852013:GYA852015 HHW852013:HHW852015 HRS852013:HRS852015 IBO852013:IBO852015 ILK852013:ILK852015 IVG852013:IVG852015 JFC852013:JFC852015 JOY852013:JOY852015 JYU852013:JYU852015 KIQ852013:KIQ852015 KSM852013:KSM852015 LCI852013:LCI852015 LME852013:LME852015 LWA852013:LWA852015 MFW852013:MFW852015 MPS852013:MPS852015 MZO852013:MZO852015 NJK852013:NJK852015 NTG852013:NTG852015 ODC852013:ODC852015 OMY852013:OMY852015 OWU852013:OWU852015 PGQ852013:PGQ852015 PQM852013:PQM852015 QAI852013:QAI852015 QKE852013:QKE852015 QUA852013:QUA852015 RDW852013:RDW852015 RNS852013:RNS852015 RXO852013:RXO852015 SHK852013:SHK852015 SRG852013:SRG852015 TBC852013:TBC852015 TKY852013:TKY852015 TUU852013:TUU852015 UEQ852013:UEQ852015 UOM852013:UOM852015 UYI852013:UYI852015 VIE852013:VIE852015 VSA852013:VSA852015 WBW852013:WBW852015 WLS852013:WLS852015 WVO852013:WVO852015 G917549:G917551 JC917549:JC917551 SY917549:SY917551 ACU917549:ACU917551 AMQ917549:AMQ917551 AWM917549:AWM917551 BGI917549:BGI917551 BQE917549:BQE917551 CAA917549:CAA917551 CJW917549:CJW917551 CTS917549:CTS917551 DDO917549:DDO917551 DNK917549:DNK917551 DXG917549:DXG917551 EHC917549:EHC917551 EQY917549:EQY917551 FAU917549:FAU917551 FKQ917549:FKQ917551 FUM917549:FUM917551 GEI917549:GEI917551 GOE917549:GOE917551 GYA917549:GYA917551 HHW917549:HHW917551 HRS917549:HRS917551 IBO917549:IBO917551 ILK917549:ILK917551 IVG917549:IVG917551 JFC917549:JFC917551 JOY917549:JOY917551 JYU917549:JYU917551 KIQ917549:KIQ917551 KSM917549:KSM917551 LCI917549:LCI917551 LME917549:LME917551 LWA917549:LWA917551 MFW917549:MFW917551 MPS917549:MPS917551 MZO917549:MZO917551 NJK917549:NJK917551 NTG917549:NTG917551 ODC917549:ODC917551 OMY917549:OMY917551 OWU917549:OWU917551 PGQ917549:PGQ917551 PQM917549:PQM917551 QAI917549:QAI917551 QKE917549:QKE917551 QUA917549:QUA917551 RDW917549:RDW917551 RNS917549:RNS917551 RXO917549:RXO917551 SHK917549:SHK917551 SRG917549:SRG917551 TBC917549:TBC917551 TKY917549:TKY917551 TUU917549:TUU917551 UEQ917549:UEQ917551 UOM917549:UOM917551 UYI917549:UYI917551 VIE917549:VIE917551 VSA917549:VSA917551 WBW917549:WBW917551 WLS917549:WLS917551 WVO917549:WVO917551 G983085:G983087 JC983085:JC983087 SY983085:SY983087 ACU983085:ACU983087 AMQ983085:AMQ983087 AWM983085:AWM983087 BGI983085:BGI983087 BQE983085:BQE983087 CAA983085:CAA983087 CJW983085:CJW983087 CTS983085:CTS983087 DDO983085:DDO983087 DNK983085:DNK983087 DXG983085:DXG983087 EHC983085:EHC983087 EQY983085:EQY983087 FAU983085:FAU983087 FKQ983085:FKQ983087 FUM983085:FUM983087 GEI983085:GEI983087 GOE983085:GOE983087 GYA983085:GYA983087 HHW983085:HHW983087 HRS983085:HRS983087 IBO983085:IBO983087 ILK983085:ILK983087 IVG983085:IVG983087 JFC983085:JFC983087 JOY983085:JOY983087 JYU983085:JYU983087 KIQ983085:KIQ983087 KSM983085:KSM983087 LCI983085:LCI983087 LME983085:LME983087 LWA983085:LWA983087 MFW983085:MFW983087 MPS983085:MPS983087 MZO983085:MZO983087 NJK983085:NJK983087 NTG983085:NTG983087 ODC983085:ODC983087 OMY983085:OMY983087 OWU983085:OWU983087 PGQ983085:PGQ983087 PQM983085:PQM983087 QAI983085:QAI983087 QKE983085:QKE983087 QUA983085:QUA983087 RDW983085:RDW983087 RNS983085:RNS983087 RXO983085:RXO983087 SHK983085:SHK983087 SRG983085:SRG983087 TBC983085:TBC983087 TKY983085:TKY983087 TUU983085:TUU983087 UEQ983085:UEQ983087 UOM983085:UOM983087 UYI983085:UYI983087 VIE983085:VIE983087 VSA983085:VSA983087 WBW983085:WBW983087 WLS983085:WLS983087 WVO983085:WVO983087 H34:L35 JD34:JH35 SZ34:TD35 ACV34:ACZ35 AMR34:AMV35 AWN34:AWR35 BGJ34:BGN35 BQF34:BQJ35 CAB34:CAF35 CJX34:CKB35 CTT34:CTX35 DDP34:DDT35 DNL34:DNP35 DXH34:DXL35 EHD34:EHH35 EQZ34:ERD35 FAV34:FAZ35 FKR34:FKV35 FUN34:FUR35 GEJ34:GEN35 GOF34:GOJ35 GYB34:GYF35 HHX34:HIB35 HRT34:HRX35 IBP34:IBT35 ILL34:ILP35 IVH34:IVL35 JFD34:JFH35 JOZ34:JPD35 JYV34:JYZ35 KIR34:KIV35 KSN34:KSR35 LCJ34:LCN35 LMF34:LMJ35 LWB34:LWF35 MFX34:MGB35 MPT34:MPX35 MZP34:MZT35 NJL34:NJP35 NTH34:NTL35 ODD34:ODH35 OMZ34:OND35 OWV34:OWZ35 PGR34:PGV35 PQN34:PQR35 QAJ34:QAN35 QKF34:QKJ35 QUB34:QUF35 RDX34:REB35 RNT34:RNX35 RXP34:RXT35 SHL34:SHP35 SRH34:SRL35 TBD34:TBH35 TKZ34:TLD35 TUV34:TUZ35 UER34:UEV35 UON34:UOR35 UYJ34:UYN35 VIF34:VIJ35 VSB34:VSF35 WBX34:WCB35 WLT34:WLX35 WVP34:WVT35 H65581:L65582 JD65581:JH65582 SZ65581:TD65582 ACV65581:ACZ65582 AMR65581:AMV65582 AWN65581:AWR65582 BGJ65581:BGN65582 BQF65581:BQJ65582 CAB65581:CAF65582 CJX65581:CKB65582 CTT65581:CTX65582 DDP65581:DDT65582 DNL65581:DNP65582 DXH65581:DXL65582 EHD65581:EHH65582 EQZ65581:ERD65582 FAV65581:FAZ65582 FKR65581:FKV65582 FUN65581:FUR65582 GEJ65581:GEN65582 GOF65581:GOJ65582 GYB65581:GYF65582 HHX65581:HIB65582 HRT65581:HRX65582 IBP65581:IBT65582 ILL65581:ILP65582 IVH65581:IVL65582 JFD65581:JFH65582 JOZ65581:JPD65582 JYV65581:JYZ65582 KIR65581:KIV65582 KSN65581:KSR65582 LCJ65581:LCN65582 LMF65581:LMJ65582 LWB65581:LWF65582 MFX65581:MGB65582 MPT65581:MPX65582 MZP65581:MZT65582 NJL65581:NJP65582 NTH65581:NTL65582 ODD65581:ODH65582 OMZ65581:OND65582 OWV65581:OWZ65582 PGR65581:PGV65582 PQN65581:PQR65582 QAJ65581:QAN65582 QKF65581:QKJ65582 QUB65581:QUF65582 RDX65581:REB65582 RNT65581:RNX65582 RXP65581:RXT65582 SHL65581:SHP65582 SRH65581:SRL65582 TBD65581:TBH65582 TKZ65581:TLD65582 TUV65581:TUZ65582 UER65581:UEV65582 UON65581:UOR65582 UYJ65581:UYN65582 VIF65581:VIJ65582 VSB65581:VSF65582 WBX65581:WCB65582 WLT65581:WLX65582 WVP65581:WVT65582 H131117:L131118 JD131117:JH131118 SZ131117:TD131118 ACV131117:ACZ131118 AMR131117:AMV131118 AWN131117:AWR131118 BGJ131117:BGN131118 BQF131117:BQJ131118 CAB131117:CAF131118 CJX131117:CKB131118 CTT131117:CTX131118 DDP131117:DDT131118 DNL131117:DNP131118 DXH131117:DXL131118 EHD131117:EHH131118 EQZ131117:ERD131118 FAV131117:FAZ131118 FKR131117:FKV131118 FUN131117:FUR131118 GEJ131117:GEN131118 GOF131117:GOJ131118 GYB131117:GYF131118 HHX131117:HIB131118 HRT131117:HRX131118 IBP131117:IBT131118 ILL131117:ILP131118 IVH131117:IVL131118 JFD131117:JFH131118 JOZ131117:JPD131118 JYV131117:JYZ131118 KIR131117:KIV131118 KSN131117:KSR131118 LCJ131117:LCN131118 LMF131117:LMJ131118 LWB131117:LWF131118 MFX131117:MGB131118 MPT131117:MPX131118 MZP131117:MZT131118 NJL131117:NJP131118 NTH131117:NTL131118 ODD131117:ODH131118 OMZ131117:OND131118 OWV131117:OWZ131118 PGR131117:PGV131118 PQN131117:PQR131118 QAJ131117:QAN131118 QKF131117:QKJ131118 QUB131117:QUF131118 RDX131117:REB131118 RNT131117:RNX131118 RXP131117:RXT131118 SHL131117:SHP131118 SRH131117:SRL131118 TBD131117:TBH131118 TKZ131117:TLD131118 TUV131117:TUZ131118 UER131117:UEV131118 UON131117:UOR131118 UYJ131117:UYN131118 VIF131117:VIJ131118 VSB131117:VSF131118 WBX131117:WCB131118 WLT131117:WLX131118 WVP131117:WVT131118 H196653:L196654 JD196653:JH196654 SZ196653:TD196654 ACV196653:ACZ196654 AMR196653:AMV196654 AWN196653:AWR196654 BGJ196653:BGN196654 BQF196653:BQJ196654 CAB196653:CAF196654 CJX196653:CKB196654 CTT196653:CTX196654 DDP196653:DDT196654 DNL196653:DNP196654 DXH196653:DXL196654 EHD196653:EHH196654 EQZ196653:ERD196654 FAV196653:FAZ196654 FKR196653:FKV196654 FUN196653:FUR196654 GEJ196653:GEN196654 GOF196653:GOJ196654 GYB196653:GYF196654 HHX196653:HIB196654 HRT196653:HRX196654 IBP196653:IBT196654 ILL196653:ILP196654 IVH196653:IVL196654 JFD196653:JFH196654 JOZ196653:JPD196654 JYV196653:JYZ196654 KIR196653:KIV196654 KSN196653:KSR196654 LCJ196653:LCN196654 LMF196653:LMJ196654 LWB196653:LWF196654 MFX196653:MGB196654 MPT196653:MPX196654 MZP196653:MZT196654 NJL196653:NJP196654 NTH196653:NTL196654 ODD196653:ODH196654 OMZ196653:OND196654 OWV196653:OWZ196654 PGR196653:PGV196654 PQN196653:PQR196654 QAJ196653:QAN196654 QKF196653:QKJ196654 QUB196653:QUF196654 RDX196653:REB196654 RNT196653:RNX196654 RXP196653:RXT196654 SHL196653:SHP196654 SRH196653:SRL196654 TBD196653:TBH196654 TKZ196653:TLD196654 TUV196653:TUZ196654 UER196653:UEV196654 UON196653:UOR196654 UYJ196653:UYN196654 VIF196653:VIJ196654 VSB196653:VSF196654 WBX196653:WCB196654 WLT196653:WLX196654 WVP196653:WVT196654 H262189:L262190 JD262189:JH262190 SZ262189:TD262190 ACV262189:ACZ262190 AMR262189:AMV262190 AWN262189:AWR262190 BGJ262189:BGN262190 BQF262189:BQJ262190 CAB262189:CAF262190 CJX262189:CKB262190 CTT262189:CTX262190 DDP262189:DDT262190 DNL262189:DNP262190 DXH262189:DXL262190 EHD262189:EHH262190 EQZ262189:ERD262190 FAV262189:FAZ262190 FKR262189:FKV262190 FUN262189:FUR262190 GEJ262189:GEN262190 GOF262189:GOJ262190 GYB262189:GYF262190 HHX262189:HIB262190 HRT262189:HRX262190 IBP262189:IBT262190 ILL262189:ILP262190 IVH262189:IVL262190 JFD262189:JFH262190 JOZ262189:JPD262190 JYV262189:JYZ262190 KIR262189:KIV262190 KSN262189:KSR262190 LCJ262189:LCN262190 LMF262189:LMJ262190 LWB262189:LWF262190 MFX262189:MGB262190 MPT262189:MPX262190 MZP262189:MZT262190 NJL262189:NJP262190 NTH262189:NTL262190 ODD262189:ODH262190 OMZ262189:OND262190 OWV262189:OWZ262190 PGR262189:PGV262190 PQN262189:PQR262190 QAJ262189:QAN262190 QKF262189:QKJ262190 QUB262189:QUF262190 RDX262189:REB262190 RNT262189:RNX262190 RXP262189:RXT262190 SHL262189:SHP262190 SRH262189:SRL262190 TBD262189:TBH262190 TKZ262189:TLD262190 TUV262189:TUZ262190 UER262189:UEV262190 UON262189:UOR262190 UYJ262189:UYN262190 VIF262189:VIJ262190 VSB262189:VSF262190 WBX262189:WCB262190 WLT262189:WLX262190 WVP262189:WVT262190 H327725:L327726 JD327725:JH327726 SZ327725:TD327726 ACV327725:ACZ327726 AMR327725:AMV327726 AWN327725:AWR327726 BGJ327725:BGN327726 BQF327725:BQJ327726 CAB327725:CAF327726 CJX327725:CKB327726 CTT327725:CTX327726 DDP327725:DDT327726 DNL327725:DNP327726 DXH327725:DXL327726 EHD327725:EHH327726 EQZ327725:ERD327726 FAV327725:FAZ327726 FKR327725:FKV327726 FUN327725:FUR327726 GEJ327725:GEN327726 GOF327725:GOJ327726 GYB327725:GYF327726 HHX327725:HIB327726 HRT327725:HRX327726 IBP327725:IBT327726 ILL327725:ILP327726 IVH327725:IVL327726 JFD327725:JFH327726 JOZ327725:JPD327726 JYV327725:JYZ327726 KIR327725:KIV327726 KSN327725:KSR327726 LCJ327725:LCN327726 LMF327725:LMJ327726 LWB327725:LWF327726 MFX327725:MGB327726 MPT327725:MPX327726 MZP327725:MZT327726 NJL327725:NJP327726 NTH327725:NTL327726 ODD327725:ODH327726 OMZ327725:OND327726 OWV327725:OWZ327726 PGR327725:PGV327726 PQN327725:PQR327726 QAJ327725:QAN327726 QKF327725:QKJ327726 QUB327725:QUF327726 RDX327725:REB327726 RNT327725:RNX327726 RXP327725:RXT327726 SHL327725:SHP327726 SRH327725:SRL327726 TBD327725:TBH327726 TKZ327725:TLD327726 TUV327725:TUZ327726 UER327725:UEV327726 UON327725:UOR327726 UYJ327725:UYN327726 VIF327725:VIJ327726 VSB327725:VSF327726 WBX327725:WCB327726 WLT327725:WLX327726 WVP327725:WVT327726 H393261:L393262 JD393261:JH393262 SZ393261:TD393262 ACV393261:ACZ393262 AMR393261:AMV393262 AWN393261:AWR393262 BGJ393261:BGN393262 BQF393261:BQJ393262 CAB393261:CAF393262 CJX393261:CKB393262 CTT393261:CTX393262 DDP393261:DDT393262 DNL393261:DNP393262 DXH393261:DXL393262 EHD393261:EHH393262 EQZ393261:ERD393262 FAV393261:FAZ393262 FKR393261:FKV393262 FUN393261:FUR393262 GEJ393261:GEN393262 GOF393261:GOJ393262 GYB393261:GYF393262 HHX393261:HIB393262 HRT393261:HRX393262 IBP393261:IBT393262 ILL393261:ILP393262 IVH393261:IVL393262 JFD393261:JFH393262 JOZ393261:JPD393262 JYV393261:JYZ393262 KIR393261:KIV393262 KSN393261:KSR393262 LCJ393261:LCN393262 LMF393261:LMJ393262 LWB393261:LWF393262 MFX393261:MGB393262 MPT393261:MPX393262 MZP393261:MZT393262 NJL393261:NJP393262 NTH393261:NTL393262 ODD393261:ODH393262 OMZ393261:OND393262 OWV393261:OWZ393262 PGR393261:PGV393262 PQN393261:PQR393262 QAJ393261:QAN393262 QKF393261:QKJ393262 QUB393261:QUF393262 RDX393261:REB393262 RNT393261:RNX393262 RXP393261:RXT393262 SHL393261:SHP393262 SRH393261:SRL393262 TBD393261:TBH393262 TKZ393261:TLD393262 TUV393261:TUZ393262 UER393261:UEV393262 UON393261:UOR393262 UYJ393261:UYN393262 VIF393261:VIJ393262 VSB393261:VSF393262 WBX393261:WCB393262 WLT393261:WLX393262 WVP393261:WVT393262 H458797:L458798 JD458797:JH458798 SZ458797:TD458798 ACV458797:ACZ458798 AMR458797:AMV458798 AWN458797:AWR458798 BGJ458797:BGN458798 BQF458797:BQJ458798 CAB458797:CAF458798 CJX458797:CKB458798 CTT458797:CTX458798 DDP458797:DDT458798 DNL458797:DNP458798 DXH458797:DXL458798 EHD458797:EHH458798 EQZ458797:ERD458798 FAV458797:FAZ458798 FKR458797:FKV458798 FUN458797:FUR458798 GEJ458797:GEN458798 GOF458797:GOJ458798 GYB458797:GYF458798 HHX458797:HIB458798 HRT458797:HRX458798 IBP458797:IBT458798 ILL458797:ILP458798 IVH458797:IVL458798 JFD458797:JFH458798 JOZ458797:JPD458798 JYV458797:JYZ458798 KIR458797:KIV458798 KSN458797:KSR458798 LCJ458797:LCN458798 LMF458797:LMJ458798 LWB458797:LWF458798 MFX458797:MGB458798 MPT458797:MPX458798 MZP458797:MZT458798 NJL458797:NJP458798 NTH458797:NTL458798 ODD458797:ODH458798 OMZ458797:OND458798 OWV458797:OWZ458798 PGR458797:PGV458798 PQN458797:PQR458798 QAJ458797:QAN458798 QKF458797:QKJ458798 QUB458797:QUF458798 RDX458797:REB458798 RNT458797:RNX458798 RXP458797:RXT458798 SHL458797:SHP458798 SRH458797:SRL458798 TBD458797:TBH458798 TKZ458797:TLD458798 TUV458797:TUZ458798 UER458797:UEV458798 UON458797:UOR458798 UYJ458797:UYN458798 VIF458797:VIJ458798 VSB458797:VSF458798 WBX458797:WCB458798 WLT458797:WLX458798 WVP458797:WVT458798 H524333:L524334 JD524333:JH524334 SZ524333:TD524334 ACV524333:ACZ524334 AMR524333:AMV524334 AWN524333:AWR524334 BGJ524333:BGN524334 BQF524333:BQJ524334 CAB524333:CAF524334 CJX524333:CKB524334 CTT524333:CTX524334 DDP524333:DDT524334 DNL524333:DNP524334 DXH524333:DXL524334 EHD524333:EHH524334 EQZ524333:ERD524334 FAV524333:FAZ524334 FKR524333:FKV524334 FUN524333:FUR524334 GEJ524333:GEN524334 GOF524333:GOJ524334 GYB524333:GYF524334 HHX524333:HIB524334 HRT524333:HRX524334 IBP524333:IBT524334 ILL524333:ILP524334 IVH524333:IVL524334 JFD524333:JFH524334 JOZ524333:JPD524334 JYV524333:JYZ524334 KIR524333:KIV524334 KSN524333:KSR524334 LCJ524333:LCN524334 LMF524333:LMJ524334 LWB524333:LWF524334 MFX524333:MGB524334 MPT524333:MPX524334 MZP524333:MZT524334 NJL524333:NJP524334 NTH524333:NTL524334 ODD524333:ODH524334 OMZ524333:OND524334 OWV524333:OWZ524334 PGR524333:PGV524334 PQN524333:PQR524334 QAJ524333:QAN524334 QKF524333:QKJ524334 QUB524333:QUF524334 RDX524333:REB524334 RNT524333:RNX524334 RXP524333:RXT524334 SHL524333:SHP524334 SRH524333:SRL524334 TBD524333:TBH524334 TKZ524333:TLD524334 TUV524333:TUZ524334 UER524333:UEV524334 UON524333:UOR524334 UYJ524333:UYN524334 VIF524333:VIJ524334 VSB524333:VSF524334 WBX524333:WCB524334 WLT524333:WLX524334 WVP524333:WVT524334 H589869:L589870 JD589869:JH589870 SZ589869:TD589870 ACV589869:ACZ589870 AMR589869:AMV589870 AWN589869:AWR589870 BGJ589869:BGN589870 BQF589869:BQJ589870 CAB589869:CAF589870 CJX589869:CKB589870 CTT589869:CTX589870 DDP589869:DDT589870 DNL589869:DNP589870 DXH589869:DXL589870 EHD589869:EHH589870 EQZ589869:ERD589870 FAV589869:FAZ589870 FKR589869:FKV589870 FUN589869:FUR589870 GEJ589869:GEN589870 GOF589869:GOJ589870 GYB589869:GYF589870 HHX589869:HIB589870 HRT589869:HRX589870 IBP589869:IBT589870 ILL589869:ILP589870 IVH589869:IVL589870 JFD589869:JFH589870 JOZ589869:JPD589870 JYV589869:JYZ589870 KIR589869:KIV589870 KSN589869:KSR589870 LCJ589869:LCN589870 LMF589869:LMJ589870 LWB589869:LWF589870 MFX589869:MGB589870 MPT589869:MPX589870 MZP589869:MZT589870 NJL589869:NJP589870 NTH589869:NTL589870 ODD589869:ODH589870 OMZ589869:OND589870 OWV589869:OWZ589870 PGR589869:PGV589870 PQN589869:PQR589870 QAJ589869:QAN589870 QKF589869:QKJ589870 QUB589869:QUF589870 RDX589869:REB589870 RNT589869:RNX589870 RXP589869:RXT589870 SHL589869:SHP589870 SRH589869:SRL589870 TBD589869:TBH589870 TKZ589869:TLD589870 TUV589869:TUZ589870 UER589869:UEV589870 UON589869:UOR589870 UYJ589869:UYN589870 VIF589869:VIJ589870 VSB589869:VSF589870 WBX589869:WCB589870 WLT589869:WLX589870 WVP589869:WVT589870 H655405:L655406 JD655405:JH655406 SZ655405:TD655406 ACV655405:ACZ655406 AMR655405:AMV655406 AWN655405:AWR655406 BGJ655405:BGN655406 BQF655405:BQJ655406 CAB655405:CAF655406 CJX655405:CKB655406 CTT655405:CTX655406 DDP655405:DDT655406 DNL655405:DNP655406 DXH655405:DXL655406 EHD655405:EHH655406 EQZ655405:ERD655406 FAV655405:FAZ655406 FKR655405:FKV655406 FUN655405:FUR655406 GEJ655405:GEN655406 GOF655405:GOJ655406 GYB655405:GYF655406 HHX655405:HIB655406 HRT655405:HRX655406 IBP655405:IBT655406 ILL655405:ILP655406 IVH655405:IVL655406 JFD655405:JFH655406 JOZ655405:JPD655406 JYV655405:JYZ655406 KIR655405:KIV655406 KSN655405:KSR655406 LCJ655405:LCN655406 LMF655405:LMJ655406 LWB655405:LWF655406 MFX655405:MGB655406 MPT655405:MPX655406 MZP655405:MZT655406 NJL655405:NJP655406 NTH655405:NTL655406 ODD655405:ODH655406 OMZ655405:OND655406 OWV655405:OWZ655406 PGR655405:PGV655406 PQN655405:PQR655406 QAJ655405:QAN655406 QKF655405:QKJ655406 QUB655405:QUF655406 RDX655405:REB655406 RNT655405:RNX655406 RXP655405:RXT655406 SHL655405:SHP655406 SRH655405:SRL655406 TBD655405:TBH655406 TKZ655405:TLD655406 TUV655405:TUZ655406 UER655405:UEV655406 UON655405:UOR655406 UYJ655405:UYN655406 VIF655405:VIJ655406 VSB655405:VSF655406 WBX655405:WCB655406 WLT655405:WLX655406 WVP655405:WVT655406 H720941:L720942 JD720941:JH720942 SZ720941:TD720942 ACV720941:ACZ720942 AMR720941:AMV720942 AWN720941:AWR720942 BGJ720941:BGN720942 BQF720941:BQJ720942 CAB720941:CAF720942 CJX720941:CKB720942 CTT720941:CTX720942 DDP720941:DDT720942 DNL720941:DNP720942 DXH720941:DXL720942 EHD720941:EHH720942 EQZ720941:ERD720942 FAV720941:FAZ720942 FKR720941:FKV720942 FUN720941:FUR720942 GEJ720941:GEN720942 GOF720941:GOJ720942 GYB720941:GYF720942 HHX720941:HIB720942 HRT720941:HRX720942 IBP720941:IBT720942 ILL720941:ILP720942 IVH720941:IVL720942 JFD720941:JFH720942 JOZ720941:JPD720942 JYV720941:JYZ720942 KIR720941:KIV720942 KSN720941:KSR720942 LCJ720941:LCN720942 LMF720941:LMJ720942 LWB720941:LWF720942 MFX720941:MGB720942 MPT720941:MPX720942 MZP720941:MZT720942 NJL720941:NJP720942 NTH720941:NTL720942 ODD720941:ODH720942 OMZ720941:OND720942 OWV720941:OWZ720942 PGR720941:PGV720942 PQN720941:PQR720942 QAJ720941:QAN720942 QKF720941:QKJ720942 QUB720941:QUF720942 RDX720941:REB720942 RNT720941:RNX720942 RXP720941:RXT720942 SHL720941:SHP720942 SRH720941:SRL720942 TBD720941:TBH720942 TKZ720941:TLD720942 TUV720941:TUZ720942 UER720941:UEV720942 UON720941:UOR720942 UYJ720941:UYN720942 VIF720941:VIJ720942 VSB720941:VSF720942 WBX720941:WCB720942 WLT720941:WLX720942 WVP720941:WVT720942 H786477:L786478 JD786477:JH786478 SZ786477:TD786478 ACV786477:ACZ786478 AMR786477:AMV786478 AWN786477:AWR786478 BGJ786477:BGN786478 BQF786477:BQJ786478 CAB786477:CAF786478 CJX786477:CKB786478 CTT786477:CTX786478 DDP786477:DDT786478 DNL786477:DNP786478 DXH786477:DXL786478 EHD786477:EHH786478 EQZ786477:ERD786478 FAV786477:FAZ786478 FKR786477:FKV786478 FUN786477:FUR786478 GEJ786477:GEN786478 GOF786477:GOJ786478 GYB786477:GYF786478 HHX786477:HIB786478 HRT786477:HRX786478 IBP786477:IBT786478 ILL786477:ILP786478 IVH786477:IVL786478 JFD786477:JFH786478 JOZ786477:JPD786478 JYV786477:JYZ786478 KIR786477:KIV786478 KSN786477:KSR786478 LCJ786477:LCN786478 LMF786477:LMJ786478 LWB786477:LWF786478 MFX786477:MGB786478 MPT786477:MPX786478 MZP786477:MZT786478 NJL786477:NJP786478 NTH786477:NTL786478 ODD786477:ODH786478 OMZ786477:OND786478 OWV786477:OWZ786478 PGR786477:PGV786478 PQN786477:PQR786478 QAJ786477:QAN786478 QKF786477:QKJ786478 QUB786477:QUF786478 RDX786477:REB786478 RNT786477:RNX786478 RXP786477:RXT786478 SHL786477:SHP786478 SRH786477:SRL786478 TBD786477:TBH786478 TKZ786477:TLD786478 TUV786477:TUZ786478 UER786477:UEV786478 UON786477:UOR786478 UYJ786477:UYN786478 VIF786477:VIJ786478 VSB786477:VSF786478 WBX786477:WCB786478 WLT786477:WLX786478 WVP786477:WVT786478 H852013:L852014 JD852013:JH852014 SZ852013:TD852014 ACV852013:ACZ852014 AMR852013:AMV852014 AWN852013:AWR852014 BGJ852013:BGN852014 BQF852013:BQJ852014 CAB852013:CAF852014 CJX852013:CKB852014 CTT852013:CTX852014 DDP852013:DDT852014 DNL852013:DNP852014 DXH852013:DXL852014 EHD852013:EHH852014 EQZ852013:ERD852014 FAV852013:FAZ852014 FKR852013:FKV852014 FUN852013:FUR852014 GEJ852013:GEN852014 GOF852013:GOJ852014 GYB852013:GYF852014 HHX852013:HIB852014 HRT852013:HRX852014 IBP852013:IBT852014 ILL852013:ILP852014 IVH852013:IVL852014 JFD852013:JFH852014 JOZ852013:JPD852014 JYV852013:JYZ852014 KIR852013:KIV852014 KSN852013:KSR852014 LCJ852013:LCN852014 LMF852013:LMJ852014 LWB852013:LWF852014 MFX852013:MGB852014 MPT852013:MPX852014 MZP852013:MZT852014 NJL852013:NJP852014 NTH852013:NTL852014 ODD852013:ODH852014 OMZ852013:OND852014 OWV852013:OWZ852014 PGR852013:PGV852014 PQN852013:PQR852014 QAJ852013:QAN852014 QKF852013:QKJ852014 QUB852013:QUF852014 RDX852013:REB852014 RNT852013:RNX852014 RXP852013:RXT852014 SHL852013:SHP852014 SRH852013:SRL852014 TBD852013:TBH852014 TKZ852013:TLD852014 TUV852013:TUZ852014 UER852013:UEV852014 UON852013:UOR852014 UYJ852013:UYN852014 VIF852013:VIJ852014 VSB852013:VSF852014 WBX852013:WCB852014 WLT852013:WLX852014 WVP852013:WVT852014 H917549:L917550 JD917549:JH917550 SZ917549:TD917550 ACV917549:ACZ917550 AMR917549:AMV917550 AWN917549:AWR917550 BGJ917549:BGN917550 BQF917549:BQJ917550 CAB917549:CAF917550 CJX917549:CKB917550 CTT917549:CTX917550 DDP917549:DDT917550 DNL917549:DNP917550 DXH917549:DXL917550 EHD917549:EHH917550 EQZ917549:ERD917550 FAV917549:FAZ917550 FKR917549:FKV917550 FUN917549:FUR917550 GEJ917549:GEN917550 GOF917549:GOJ917550 GYB917549:GYF917550 HHX917549:HIB917550 HRT917549:HRX917550 IBP917549:IBT917550 ILL917549:ILP917550 IVH917549:IVL917550 JFD917549:JFH917550 JOZ917549:JPD917550 JYV917549:JYZ917550 KIR917549:KIV917550 KSN917549:KSR917550 LCJ917549:LCN917550 LMF917549:LMJ917550 LWB917549:LWF917550 MFX917549:MGB917550 MPT917549:MPX917550 MZP917549:MZT917550 NJL917549:NJP917550 NTH917549:NTL917550 ODD917549:ODH917550 OMZ917549:OND917550 OWV917549:OWZ917550 PGR917549:PGV917550 PQN917549:PQR917550 QAJ917549:QAN917550 QKF917549:QKJ917550 QUB917549:QUF917550 RDX917549:REB917550 RNT917549:RNX917550 RXP917549:RXT917550 SHL917549:SHP917550 SRH917549:SRL917550 TBD917549:TBH917550 TKZ917549:TLD917550 TUV917549:TUZ917550 UER917549:UEV917550 UON917549:UOR917550 UYJ917549:UYN917550 VIF917549:VIJ917550 VSB917549:VSF917550 WBX917549:WCB917550 WLT917549:WLX917550 WVP917549:WVT917550 H983085:L983086 JD983085:JH983086 SZ983085:TD983086 ACV983085:ACZ983086 AMR983085:AMV983086 AWN983085:AWR983086 BGJ983085:BGN983086 BQF983085:BQJ983086 CAB983085:CAF983086 CJX983085:CKB983086 CTT983085:CTX983086 DDP983085:DDT983086 DNL983085:DNP983086 DXH983085:DXL983086 EHD983085:EHH983086 EQZ983085:ERD983086 FAV983085:FAZ983086 FKR983085:FKV983086 FUN983085:FUR983086 GEJ983085:GEN983086 GOF983085:GOJ983086 GYB983085:GYF983086 HHX983085:HIB983086 HRT983085:HRX983086 IBP983085:IBT983086 ILL983085:ILP983086 IVH983085:IVL983086 JFD983085:JFH983086 JOZ983085:JPD983086 JYV983085:JYZ983086 KIR983085:KIV983086 KSN983085:KSR983086 LCJ983085:LCN983086 LMF983085:LMJ983086 LWB983085:LWF983086 MFX983085:MGB983086 MPT983085:MPX983086 MZP983085:MZT983086 NJL983085:NJP983086 NTH983085:NTL983086 ODD983085:ODH983086 OMZ983085:OND983086 OWV983085:OWZ983086 PGR983085:PGV983086 PQN983085:PQR983086 QAJ983085:QAN983086 QKF983085:QKJ983086 QUB983085:QUF983086 RDX983085:REB983086 RNT983085:RNX983086 RXP983085:RXT983086 SHL983085:SHP983086 SRH983085:SRL983086 TBD983085:TBH983086 TKZ983085:TLD983086 TUV983085:TUZ983086 UER983085:UEV983086 UON983085:UOR983086 UYJ983085:UYN983086 VIF983085:VIJ983086 VSB983085:VSF983086 WBX983085:WCB983086 WLT983085:WLX983086 WVP983085:WVT983086 J65575 JF65575 TB65575 ACX65575 AMT65575 AWP65575 BGL65575 BQH65575 CAD65575 CJZ65575 CTV65575 DDR65575 DNN65575 DXJ65575 EHF65575 ERB65575 FAX65575 FKT65575 FUP65575 GEL65575 GOH65575 GYD65575 HHZ65575 HRV65575 IBR65575 ILN65575 IVJ65575 JFF65575 JPB65575 JYX65575 KIT65575 KSP65575 LCL65575 LMH65575 LWD65575 MFZ65575 MPV65575 MZR65575 NJN65575 NTJ65575 ODF65575 ONB65575 OWX65575 PGT65575 PQP65575 QAL65575 QKH65575 QUD65575 RDZ65575 RNV65575 RXR65575 SHN65575 SRJ65575 TBF65575 TLB65575 TUX65575 UET65575 UOP65575 UYL65575 VIH65575 VSD65575 WBZ65575 WLV65575 WVR65575 J131111 JF131111 TB131111 ACX131111 AMT131111 AWP131111 BGL131111 BQH131111 CAD131111 CJZ131111 CTV131111 DDR131111 DNN131111 DXJ131111 EHF131111 ERB131111 FAX131111 FKT131111 FUP131111 GEL131111 GOH131111 GYD131111 HHZ131111 HRV131111 IBR131111 ILN131111 IVJ131111 JFF131111 JPB131111 JYX131111 KIT131111 KSP131111 LCL131111 LMH131111 LWD131111 MFZ131111 MPV131111 MZR131111 NJN131111 NTJ131111 ODF131111 ONB131111 OWX131111 PGT131111 PQP131111 QAL131111 QKH131111 QUD131111 RDZ131111 RNV131111 RXR131111 SHN131111 SRJ131111 TBF131111 TLB131111 TUX131111 UET131111 UOP131111 UYL131111 VIH131111 VSD131111 WBZ131111 WLV131111 WVR131111 J196647 JF196647 TB196647 ACX196647 AMT196647 AWP196647 BGL196647 BQH196647 CAD196647 CJZ196647 CTV196647 DDR196647 DNN196647 DXJ196647 EHF196647 ERB196647 FAX196647 FKT196647 FUP196647 GEL196647 GOH196647 GYD196647 HHZ196647 HRV196647 IBR196647 ILN196647 IVJ196647 JFF196647 JPB196647 JYX196647 KIT196647 KSP196647 LCL196647 LMH196647 LWD196647 MFZ196647 MPV196647 MZR196647 NJN196647 NTJ196647 ODF196647 ONB196647 OWX196647 PGT196647 PQP196647 QAL196647 QKH196647 QUD196647 RDZ196647 RNV196647 RXR196647 SHN196647 SRJ196647 TBF196647 TLB196647 TUX196647 UET196647 UOP196647 UYL196647 VIH196647 VSD196647 WBZ196647 WLV196647 WVR196647 J262183 JF262183 TB262183 ACX262183 AMT262183 AWP262183 BGL262183 BQH262183 CAD262183 CJZ262183 CTV262183 DDR262183 DNN262183 DXJ262183 EHF262183 ERB262183 FAX262183 FKT262183 FUP262183 GEL262183 GOH262183 GYD262183 HHZ262183 HRV262183 IBR262183 ILN262183 IVJ262183 JFF262183 JPB262183 JYX262183 KIT262183 KSP262183 LCL262183 LMH262183 LWD262183 MFZ262183 MPV262183 MZR262183 NJN262183 NTJ262183 ODF262183 ONB262183 OWX262183 PGT262183 PQP262183 QAL262183 QKH262183 QUD262183 RDZ262183 RNV262183 RXR262183 SHN262183 SRJ262183 TBF262183 TLB262183 TUX262183 UET262183 UOP262183 UYL262183 VIH262183 VSD262183 WBZ262183 WLV262183 WVR262183 J327719 JF327719 TB327719 ACX327719 AMT327719 AWP327719 BGL327719 BQH327719 CAD327719 CJZ327719 CTV327719 DDR327719 DNN327719 DXJ327719 EHF327719 ERB327719 FAX327719 FKT327719 FUP327719 GEL327719 GOH327719 GYD327719 HHZ327719 HRV327719 IBR327719 ILN327719 IVJ327719 JFF327719 JPB327719 JYX327719 KIT327719 KSP327719 LCL327719 LMH327719 LWD327719 MFZ327719 MPV327719 MZR327719 NJN327719 NTJ327719 ODF327719 ONB327719 OWX327719 PGT327719 PQP327719 QAL327719 QKH327719 QUD327719 RDZ327719 RNV327719 RXR327719 SHN327719 SRJ327719 TBF327719 TLB327719 TUX327719 UET327719 UOP327719 UYL327719 VIH327719 VSD327719 WBZ327719 WLV327719 WVR327719 J393255 JF393255 TB393255 ACX393255 AMT393255 AWP393255 BGL393255 BQH393255 CAD393255 CJZ393255 CTV393255 DDR393255 DNN393255 DXJ393255 EHF393255 ERB393255 FAX393255 FKT393255 FUP393255 GEL393255 GOH393255 GYD393255 HHZ393255 HRV393255 IBR393255 ILN393255 IVJ393255 JFF393255 JPB393255 JYX393255 KIT393255 KSP393255 LCL393255 LMH393255 LWD393255 MFZ393255 MPV393255 MZR393255 NJN393255 NTJ393255 ODF393255 ONB393255 OWX393255 PGT393255 PQP393255 QAL393255 QKH393255 QUD393255 RDZ393255 RNV393255 RXR393255 SHN393255 SRJ393255 TBF393255 TLB393255 TUX393255 UET393255 UOP393255 UYL393255 VIH393255 VSD393255 WBZ393255 WLV393255 WVR393255 J458791 JF458791 TB458791 ACX458791 AMT458791 AWP458791 BGL458791 BQH458791 CAD458791 CJZ458791 CTV458791 DDR458791 DNN458791 DXJ458791 EHF458791 ERB458791 FAX458791 FKT458791 FUP458791 GEL458791 GOH458791 GYD458791 HHZ458791 HRV458791 IBR458791 ILN458791 IVJ458791 JFF458791 JPB458791 JYX458791 KIT458791 KSP458791 LCL458791 LMH458791 LWD458791 MFZ458791 MPV458791 MZR458791 NJN458791 NTJ458791 ODF458791 ONB458791 OWX458791 PGT458791 PQP458791 QAL458791 QKH458791 QUD458791 RDZ458791 RNV458791 RXR458791 SHN458791 SRJ458791 TBF458791 TLB458791 TUX458791 UET458791 UOP458791 UYL458791 VIH458791 VSD458791 WBZ458791 WLV458791 WVR458791 J524327 JF524327 TB524327 ACX524327 AMT524327 AWP524327 BGL524327 BQH524327 CAD524327 CJZ524327 CTV524327 DDR524327 DNN524327 DXJ524327 EHF524327 ERB524327 FAX524327 FKT524327 FUP524327 GEL524327 GOH524327 GYD524327 HHZ524327 HRV524327 IBR524327 ILN524327 IVJ524327 JFF524327 JPB524327 JYX524327 KIT524327 KSP524327 LCL524327 LMH524327 LWD524327 MFZ524327 MPV524327 MZR524327 NJN524327 NTJ524327 ODF524327 ONB524327 OWX524327 PGT524327 PQP524327 QAL524327 QKH524327 QUD524327 RDZ524327 RNV524327 RXR524327 SHN524327 SRJ524327 TBF524327 TLB524327 TUX524327 UET524327 UOP524327 UYL524327 VIH524327 VSD524327 WBZ524327 WLV524327 WVR524327 J589863 JF589863 TB589863 ACX589863 AMT589863 AWP589863 BGL589863 BQH589863 CAD589863 CJZ589863 CTV589863 DDR589863 DNN589863 DXJ589863 EHF589863 ERB589863 FAX589863 FKT589863 FUP589863 GEL589863 GOH589863 GYD589863 HHZ589863 HRV589863 IBR589863 ILN589863 IVJ589863 JFF589863 JPB589863 JYX589863 KIT589863 KSP589863 LCL589863 LMH589863 LWD589863 MFZ589863 MPV589863 MZR589863 NJN589863 NTJ589863 ODF589863 ONB589863 OWX589863 PGT589863 PQP589863 QAL589863 QKH589863 QUD589863 RDZ589863 RNV589863 RXR589863 SHN589863 SRJ589863 TBF589863 TLB589863 TUX589863 UET589863 UOP589863 UYL589863 VIH589863 VSD589863 WBZ589863 WLV589863 WVR589863 J655399 JF655399 TB655399 ACX655399 AMT655399 AWP655399 BGL655399 BQH655399 CAD655399 CJZ655399 CTV655399 DDR655399 DNN655399 DXJ655399 EHF655399 ERB655399 FAX655399 FKT655399 FUP655399 GEL655399 GOH655399 GYD655399 HHZ655399 HRV655399 IBR655399 ILN655399 IVJ655399 JFF655399 JPB655399 JYX655399 KIT655399 KSP655399 LCL655399 LMH655399 LWD655399 MFZ655399 MPV655399 MZR655399 NJN655399 NTJ655399 ODF655399 ONB655399 OWX655399 PGT655399 PQP655399 QAL655399 QKH655399 QUD655399 RDZ655399 RNV655399 RXR655399 SHN655399 SRJ655399 TBF655399 TLB655399 TUX655399 UET655399 UOP655399 UYL655399 VIH655399 VSD655399 WBZ655399 WLV655399 WVR655399 J720935 JF720935 TB720935 ACX720935 AMT720935 AWP720935 BGL720935 BQH720935 CAD720935 CJZ720935 CTV720935 DDR720935 DNN720935 DXJ720935 EHF720935 ERB720935 FAX720935 FKT720935 FUP720935 GEL720935 GOH720935 GYD720935 HHZ720935 HRV720935 IBR720935 ILN720935 IVJ720935 JFF720935 JPB720935 JYX720935 KIT720935 KSP720935 LCL720935 LMH720935 LWD720935 MFZ720935 MPV720935 MZR720935 NJN720935 NTJ720935 ODF720935 ONB720935 OWX720935 PGT720935 PQP720935 QAL720935 QKH720935 QUD720935 RDZ720935 RNV720935 RXR720935 SHN720935 SRJ720935 TBF720935 TLB720935 TUX720935 UET720935 UOP720935 UYL720935 VIH720935 VSD720935 WBZ720935 WLV720935 WVR720935 J786471 JF786471 TB786471 ACX786471 AMT786471 AWP786471 BGL786471 BQH786471 CAD786471 CJZ786471 CTV786471 DDR786471 DNN786471 DXJ786471 EHF786471 ERB786471 FAX786471 FKT786471 FUP786471 GEL786471 GOH786471 GYD786471 HHZ786471 HRV786471 IBR786471 ILN786471 IVJ786471 JFF786471 JPB786471 JYX786471 KIT786471 KSP786471 LCL786471 LMH786471 LWD786471 MFZ786471 MPV786471 MZR786471 NJN786471 NTJ786471 ODF786471 ONB786471 OWX786471 PGT786471 PQP786471 QAL786471 QKH786471 QUD786471 RDZ786471 RNV786471 RXR786471 SHN786471 SRJ786471 TBF786471 TLB786471 TUX786471 UET786471 UOP786471 UYL786471 VIH786471 VSD786471 WBZ786471 WLV786471 WVR786471 J852007 JF852007 TB852007 ACX852007 AMT852007 AWP852007 BGL852007 BQH852007 CAD852007 CJZ852007 CTV852007 DDR852007 DNN852007 DXJ852007 EHF852007 ERB852007 FAX852007 FKT852007 FUP852007 GEL852007 GOH852007 GYD852007 HHZ852007 HRV852007 IBR852007 ILN852007 IVJ852007 JFF852007 JPB852007 JYX852007 KIT852007 KSP852007 LCL852007 LMH852007 LWD852007 MFZ852007 MPV852007 MZR852007 NJN852007 NTJ852007 ODF852007 ONB852007 OWX852007 PGT852007 PQP852007 QAL852007 QKH852007 QUD852007 RDZ852007 RNV852007 RXR852007 SHN852007 SRJ852007 TBF852007 TLB852007 TUX852007 UET852007 UOP852007 UYL852007 VIH852007 VSD852007 WBZ852007 WLV852007 WVR852007 J917543 JF917543 TB917543 ACX917543 AMT917543 AWP917543 BGL917543 BQH917543 CAD917543 CJZ917543 CTV917543 DDR917543 DNN917543 DXJ917543 EHF917543 ERB917543 FAX917543 FKT917543 FUP917543 GEL917543 GOH917543 GYD917543 HHZ917543 HRV917543 IBR917543 ILN917543 IVJ917543 JFF917543 JPB917543 JYX917543 KIT917543 KSP917543 LCL917543 LMH917543 LWD917543 MFZ917543 MPV917543 MZR917543 NJN917543 NTJ917543 ODF917543 ONB917543 OWX917543 PGT917543 PQP917543 QAL917543 QKH917543 QUD917543 RDZ917543 RNV917543 RXR917543 SHN917543 SRJ917543 TBF917543 TLB917543 TUX917543 UET917543 UOP917543 UYL917543 VIH917543 VSD917543 WBZ917543 WLV917543 WVR917543 J983079 JF983079 TB983079 ACX983079 AMT983079 AWP983079 BGL983079 BQH983079 CAD983079 CJZ983079 CTV983079 DDR983079 DNN983079 DXJ983079 EHF983079 ERB983079 FAX983079 FKT983079 FUP983079 GEL983079 GOH983079 GYD983079 HHZ983079 HRV983079 IBR983079 ILN983079 IVJ983079 JFF983079 JPB983079 JYX983079 KIT983079 KSP983079 LCL983079 LMH983079 LWD983079 MFZ983079 MPV983079 MZR983079 NJN983079 NTJ983079 ODF983079 ONB983079 OWX983079 PGT983079 PQP983079 QAL983079 QKH983079 QUD983079 RDZ983079 RNV983079 RXR983079 SHN983079 SRJ983079 TBF983079 TLB983079 TUX983079 UET983079 UOP983079 UYL983079 VIH983079 VSD983079 WBZ983079 WLV983079 WVR983079 G49:L49 G51:L51">
      <formula1>"Yes, No"</formula1>
    </dataValidation>
    <dataValidation type="list" allowBlank="1" showInputMessage="1" showErrorMessage="1" sqref="G69 M69:O69 G255">
      <formula1>"Annually, Quarterly, Monthly, Lunar Monthly"</formula1>
    </dataValidation>
    <dataValidation type="list" allowBlank="1" showInputMessage="1" showErrorMessage="1" sqref="G418:G423 G233:G238">
      <formula1>"Decreasing, Increasing, Neutral"</formula1>
    </dataValidation>
  </dataValidations>
  <hyperlinks>
    <hyperlink ref="B25" location="Lifestyle!A1" display="General Scheme Lifestyle Information"/>
    <hyperlink ref="B26" location="LS_Fund_Choices" display="Fund Choices"/>
    <hyperlink ref="B27" location="LS_Accrued_Funds" display="Accrued Funds"/>
    <hyperlink ref="B28" location="Additional_Information" display="Additional Information"/>
  </hyperlinks>
  <pageMargins left="0.7" right="0.7" top="0.75" bottom="0.75" header="0.3" footer="0.3"/>
  <pageSetup paperSize="9" orientation="portrait" r:id="rId1"/>
  <legacyDrawing r:id="rId2"/>
</worksheet>
</file>

<file path=xl/worksheets/sheet12.xml><?xml version="1.0" encoding="utf-8"?>
<worksheet xmlns="http://schemas.openxmlformats.org/spreadsheetml/2006/main" xmlns:r="http://schemas.openxmlformats.org/officeDocument/2006/relationships">
  <sheetPr codeName="Sheet11"/>
  <dimension ref="A1:D240"/>
  <sheetViews>
    <sheetView showGridLines="0" zoomScaleNormal="100" workbookViewId="0">
      <selection activeCell="C36" sqref="C36"/>
    </sheetView>
  </sheetViews>
  <sheetFormatPr defaultRowHeight="12.75"/>
  <cols>
    <col min="1" max="1" width="3.85546875" style="23" bestFit="1" customWidth="1"/>
    <col min="2" max="2" width="58.85546875" style="23" customWidth="1"/>
    <col min="3" max="3" width="97.7109375" style="23" customWidth="1"/>
    <col min="4" max="4" width="10.140625" style="23" customWidth="1"/>
    <col min="5" max="16384" width="9.140625" style="23"/>
  </cols>
  <sheetData>
    <row r="1" spans="1:4" ht="18.75">
      <c r="A1" s="167"/>
      <c r="B1" s="167" t="s">
        <v>892</v>
      </c>
      <c r="C1" s="15"/>
    </row>
    <row r="2" spans="1:4">
      <c r="C2" s="15"/>
    </row>
    <row r="3" spans="1:4" ht="15">
      <c r="A3" s="168"/>
      <c r="B3" s="168" t="s">
        <v>152</v>
      </c>
      <c r="C3" s="15"/>
    </row>
    <row r="4" spans="1:4">
      <c r="A4" s="15"/>
      <c r="B4" s="15"/>
      <c r="C4" s="15"/>
    </row>
    <row r="5" spans="1:4">
      <c r="A5" s="15"/>
      <c r="B5" s="23" t="s">
        <v>165</v>
      </c>
      <c r="C5" s="15"/>
    </row>
    <row r="6" spans="1:4" ht="13.5" thickBot="1">
      <c r="C6" s="15"/>
    </row>
    <row r="7" spans="1:4" s="26" customFormat="1" ht="26.25" thickBot="1">
      <c r="B7" s="152" t="s">
        <v>633</v>
      </c>
      <c r="C7" s="569" t="s">
        <v>634</v>
      </c>
      <c r="D7" s="570" t="s">
        <v>891</v>
      </c>
    </row>
    <row r="8" spans="1:4" s="26" customFormat="1">
      <c r="B8" s="571" t="s">
        <v>47</v>
      </c>
      <c r="C8" s="572" t="s">
        <v>42</v>
      </c>
      <c r="D8" s="157"/>
    </row>
    <row r="9" spans="1:4" s="26" customFormat="1">
      <c r="B9" s="100" t="s">
        <v>48</v>
      </c>
      <c r="C9" s="564" t="s">
        <v>166</v>
      </c>
      <c r="D9" s="164"/>
    </row>
    <row r="10" spans="1:4" s="26" customFormat="1">
      <c r="B10" s="100" t="s">
        <v>49</v>
      </c>
      <c r="C10" s="563" t="s">
        <v>43</v>
      </c>
      <c r="D10" s="164"/>
    </row>
    <row r="11" spans="1:4" s="26" customFormat="1">
      <c r="B11" s="100" t="s">
        <v>46</v>
      </c>
      <c r="C11" s="563" t="s">
        <v>44</v>
      </c>
      <c r="D11" s="164"/>
    </row>
    <row r="12" spans="1:4" s="26" customFormat="1">
      <c r="B12" s="100" t="s">
        <v>50</v>
      </c>
      <c r="C12" s="564" t="s">
        <v>65</v>
      </c>
      <c r="D12" s="164"/>
    </row>
    <row r="13" spans="1:4" s="26" customFormat="1">
      <c r="B13" s="100" t="s">
        <v>47</v>
      </c>
      <c r="C13" s="564" t="s">
        <v>66</v>
      </c>
      <c r="D13" s="164"/>
    </row>
    <row r="14" spans="1:4" s="26" customFormat="1">
      <c r="B14" s="100" t="s">
        <v>51</v>
      </c>
      <c r="C14" s="564" t="s">
        <v>67</v>
      </c>
      <c r="D14" s="164"/>
    </row>
    <row r="15" spans="1:4" s="26" customFormat="1">
      <c r="B15" s="100" t="s">
        <v>52</v>
      </c>
      <c r="C15" s="564" t="s">
        <v>68</v>
      </c>
      <c r="D15" s="164"/>
    </row>
    <row r="16" spans="1:4" s="26" customFormat="1">
      <c r="B16" s="100" t="s">
        <v>52</v>
      </c>
      <c r="C16" s="564" t="s">
        <v>69</v>
      </c>
      <c r="D16" s="164"/>
    </row>
    <row r="17" spans="2:4" s="26" customFormat="1">
      <c r="B17" s="100" t="s">
        <v>52</v>
      </c>
      <c r="C17" s="564" t="s">
        <v>70</v>
      </c>
      <c r="D17" s="164"/>
    </row>
    <row r="18" spans="2:4" s="26" customFormat="1">
      <c r="B18" s="100" t="s">
        <v>53</v>
      </c>
      <c r="C18" s="564" t="s">
        <v>71</v>
      </c>
      <c r="D18" s="164"/>
    </row>
    <row r="19" spans="2:4" s="26" customFormat="1">
      <c r="B19" s="100" t="s">
        <v>54</v>
      </c>
      <c r="C19" s="564" t="s">
        <v>72</v>
      </c>
      <c r="D19" s="164"/>
    </row>
    <row r="20" spans="2:4" s="26" customFormat="1">
      <c r="B20" s="100" t="s">
        <v>55</v>
      </c>
      <c r="C20" s="564" t="s">
        <v>73</v>
      </c>
      <c r="D20" s="164"/>
    </row>
    <row r="21" spans="2:4" s="26" customFormat="1">
      <c r="B21" s="100" t="s">
        <v>55</v>
      </c>
      <c r="C21" s="564" t="s">
        <v>74</v>
      </c>
      <c r="D21" s="164"/>
    </row>
    <row r="22" spans="2:4" s="26" customFormat="1">
      <c r="B22" s="100" t="s">
        <v>56</v>
      </c>
      <c r="C22" s="564" t="s">
        <v>75</v>
      </c>
      <c r="D22" s="164"/>
    </row>
    <row r="23" spans="2:4" s="26" customFormat="1">
      <c r="B23" s="100" t="s">
        <v>56</v>
      </c>
      <c r="C23" s="564" t="s">
        <v>76</v>
      </c>
      <c r="D23" s="164"/>
    </row>
    <row r="24" spans="2:4" s="26" customFormat="1">
      <c r="B24" s="100" t="s">
        <v>56</v>
      </c>
      <c r="C24" s="564" t="s">
        <v>77</v>
      </c>
      <c r="D24" s="164"/>
    </row>
    <row r="25" spans="2:4" s="26" customFormat="1">
      <c r="B25" s="100" t="s">
        <v>56</v>
      </c>
      <c r="C25" s="564" t="s">
        <v>77</v>
      </c>
      <c r="D25" s="164"/>
    </row>
    <row r="26" spans="2:4" s="26" customFormat="1">
      <c r="B26" s="100" t="s">
        <v>56</v>
      </c>
      <c r="C26" s="564" t="s">
        <v>78</v>
      </c>
      <c r="D26" s="164"/>
    </row>
    <row r="27" spans="2:4" s="26" customFormat="1">
      <c r="B27" s="100" t="s">
        <v>57</v>
      </c>
      <c r="C27" s="564" t="s">
        <v>79</v>
      </c>
      <c r="D27" s="164"/>
    </row>
    <row r="28" spans="2:4" s="26" customFormat="1">
      <c r="B28" s="100" t="s">
        <v>57</v>
      </c>
      <c r="C28" s="564" t="s">
        <v>80</v>
      </c>
      <c r="D28" s="164"/>
    </row>
    <row r="29" spans="2:4" s="26" customFormat="1">
      <c r="B29" s="100" t="s">
        <v>57</v>
      </c>
      <c r="C29" s="564" t="s">
        <v>81</v>
      </c>
      <c r="D29" s="164"/>
    </row>
    <row r="30" spans="2:4" s="26" customFormat="1">
      <c r="B30" s="100" t="s">
        <v>58</v>
      </c>
      <c r="C30" s="564" t="s">
        <v>82</v>
      </c>
      <c r="D30" s="164"/>
    </row>
    <row r="31" spans="2:4" s="26" customFormat="1">
      <c r="B31" s="100" t="s">
        <v>58</v>
      </c>
      <c r="C31" s="564" t="s">
        <v>83</v>
      </c>
      <c r="D31" s="164"/>
    </row>
    <row r="32" spans="2:4" s="26" customFormat="1">
      <c r="B32" s="100" t="s">
        <v>59</v>
      </c>
      <c r="C32" s="564" t="s">
        <v>84</v>
      </c>
      <c r="D32" s="164"/>
    </row>
    <row r="33" spans="1:4" s="26" customFormat="1">
      <c r="B33" s="100" t="s">
        <v>60</v>
      </c>
      <c r="C33" s="564" t="s">
        <v>85</v>
      </c>
      <c r="D33" s="164"/>
    </row>
    <row r="34" spans="1:4" s="26" customFormat="1">
      <c r="B34" s="100" t="s">
        <v>61</v>
      </c>
      <c r="C34" s="564" t="s">
        <v>86</v>
      </c>
      <c r="D34" s="164"/>
    </row>
    <row r="35" spans="1:4" s="26" customFormat="1">
      <c r="B35" s="100" t="s">
        <v>62</v>
      </c>
      <c r="C35" s="564" t="s">
        <v>87</v>
      </c>
      <c r="D35" s="164"/>
    </row>
    <row r="36" spans="1:4" s="26" customFormat="1">
      <c r="B36" s="100" t="s">
        <v>63</v>
      </c>
      <c r="C36" s="564" t="s">
        <v>88</v>
      </c>
      <c r="D36" s="164"/>
    </row>
    <row r="37" spans="1:4" s="26" customFormat="1">
      <c r="B37" s="100" t="s">
        <v>64</v>
      </c>
      <c r="C37" s="564" t="s">
        <v>89</v>
      </c>
      <c r="D37" s="164"/>
    </row>
    <row r="38" spans="1:4" s="143" customFormat="1">
      <c r="B38" s="169" t="s">
        <v>444</v>
      </c>
      <c r="C38" s="565" t="s">
        <v>293</v>
      </c>
      <c r="D38" s="164"/>
    </row>
    <row r="39" spans="1:4" s="143" customFormat="1">
      <c r="B39" s="170" t="s">
        <v>298</v>
      </c>
      <c r="C39" s="566" t="s">
        <v>294</v>
      </c>
      <c r="D39" s="164"/>
    </row>
    <row r="40" spans="1:4" s="143" customFormat="1">
      <c r="B40" s="169" t="s">
        <v>299</v>
      </c>
      <c r="C40" s="565" t="s">
        <v>290</v>
      </c>
      <c r="D40" s="164"/>
    </row>
    <row r="41" spans="1:4" s="143" customFormat="1">
      <c r="B41" s="169" t="s">
        <v>299</v>
      </c>
      <c r="C41" s="565" t="s">
        <v>291</v>
      </c>
      <c r="D41" s="164"/>
    </row>
    <row r="42" spans="1:4" s="143" customFormat="1">
      <c r="B42" s="169" t="s">
        <v>445</v>
      </c>
      <c r="C42" s="567" t="s">
        <v>295</v>
      </c>
      <c r="D42" s="164"/>
    </row>
    <row r="43" spans="1:4" s="143" customFormat="1">
      <c r="B43" s="169" t="s">
        <v>446</v>
      </c>
      <c r="C43" s="566" t="s">
        <v>296</v>
      </c>
      <c r="D43" s="164"/>
    </row>
    <row r="44" spans="1:4" s="143" customFormat="1">
      <c r="B44" s="169" t="s">
        <v>447</v>
      </c>
      <c r="C44" s="565" t="s">
        <v>297</v>
      </c>
      <c r="D44" s="164"/>
    </row>
    <row r="45" spans="1:4" s="143" customFormat="1" ht="13.5" thickBot="1">
      <c r="B45" s="171" t="s">
        <v>448</v>
      </c>
      <c r="C45" s="568" t="s">
        <v>292</v>
      </c>
      <c r="D45" s="573"/>
    </row>
    <row r="47" spans="1:4" ht="15">
      <c r="A47" s="168"/>
      <c r="B47" s="168" t="s">
        <v>153</v>
      </c>
    </row>
    <row r="48" spans="1:4" ht="15">
      <c r="A48" s="168"/>
      <c r="B48" s="168"/>
    </row>
    <row r="49" spans="1:3">
      <c r="A49" s="15"/>
      <c r="B49" s="23" t="s">
        <v>167</v>
      </c>
    </row>
    <row r="50" spans="1:3">
      <c r="A50" s="15"/>
      <c r="B50" s="15"/>
    </row>
    <row r="51" spans="1:3" s="158" customFormat="1" ht="13.5" thickBot="1">
      <c r="B51" s="172" t="s">
        <v>458</v>
      </c>
    </row>
    <row r="52" spans="1:3" s="158" customFormat="1" ht="13.5" thickBot="1">
      <c r="B52" s="154" t="s">
        <v>633</v>
      </c>
      <c r="C52" s="155" t="s">
        <v>634</v>
      </c>
    </row>
    <row r="53" spans="1:3" s="158" customFormat="1">
      <c r="B53" s="156" t="s">
        <v>635</v>
      </c>
      <c r="C53" s="157" t="s">
        <v>459</v>
      </c>
    </row>
    <row r="54" spans="1:3" s="158" customFormat="1">
      <c r="B54" s="159" t="s">
        <v>636</v>
      </c>
      <c r="C54" s="160" t="s">
        <v>460</v>
      </c>
    </row>
    <row r="55" spans="1:3" s="158" customFormat="1" ht="25.5">
      <c r="B55" s="159" t="s">
        <v>654</v>
      </c>
      <c r="C55" s="160" t="s">
        <v>655</v>
      </c>
    </row>
    <row r="56" spans="1:3" s="158" customFormat="1">
      <c r="B56" s="159" t="s">
        <v>637</v>
      </c>
      <c r="C56" s="160" t="s">
        <v>461</v>
      </c>
    </row>
    <row r="57" spans="1:3" s="158" customFormat="1">
      <c r="B57" s="159" t="s">
        <v>638</v>
      </c>
      <c r="C57" s="160" t="s">
        <v>462</v>
      </c>
    </row>
    <row r="58" spans="1:3" s="158" customFormat="1">
      <c r="B58" s="159" t="s">
        <v>639</v>
      </c>
      <c r="C58" s="160" t="s">
        <v>463</v>
      </c>
    </row>
    <row r="59" spans="1:3" s="158" customFormat="1">
      <c r="B59" s="159" t="s">
        <v>640</v>
      </c>
      <c r="C59" s="160" t="s">
        <v>464</v>
      </c>
    </row>
    <row r="60" spans="1:3" s="158" customFormat="1">
      <c r="B60" s="159" t="s">
        <v>641</v>
      </c>
      <c r="C60" s="160" t="s">
        <v>465</v>
      </c>
    </row>
    <row r="61" spans="1:3" s="158" customFormat="1">
      <c r="B61" s="159" t="s">
        <v>642</v>
      </c>
      <c r="C61" s="160" t="s">
        <v>466</v>
      </c>
    </row>
    <row r="62" spans="1:3" s="158" customFormat="1">
      <c r="B62" s="159" t="s">
        <v>643</v>
      </c>
      <c r="C62" s="160" t="s">
        <v>467</v>
      </c>
    </row>
    <row r="63" spans="1:3" s="158" customFormat="1">
      <c r="B63" s="159" t="s">
        <v>644</v>
      </c>
      <c r="C63" s="160" t="s">
        <v>468</v>
      </c>
    </row>
    <row r="64" spans="1:3" s="158" customFormat="1" ht="25.5">
      <c r="B64" s="159" t="s">
        <v>645</v>
      </c>
      <c r="C64" s="160" t="s">
        <v>469</v>
      </c>
    </row>
    <row r="65" spans="2:3" s="158" customFormat="1">
      <c r="B65" s="159" t="s">
        <v>646</v>
      </c>
      <c r="C65" s="160" t="s">
        <v>470</v>
      </c>
    </row>
    <row r="66" spans="2:3" s="158" customFormat="1">
      <c r="B66" s="159" t="s">
        <v>647</v>
      </c>
      <c r="C66" s="160" t="s">
        <v>471</v>
      </c>
    </row>
    <row r="67" spans="2:3" s="158" customFormat="1" ht="25.5">
      <c r="B67" s="159" t="s">
        <v>472</v>
      </c>
      <c r="C67" s="160" t="s">
        <v>473</v>
      </c>
    </row>
    <row r="68" spans="2:3" s="158" customFormat="1">
      <c r="B68" s="159" t="s">
        <v>474</v>
      </c>
      <c r="C68" s="160" t="s">
        <v>475</v>
      </c>
    </row>
    <row r="69" spans="2:3" s="158" customFormat="1">
      <c r="B69" s="159" t="s">
        <v>476</v>
      </c>
      <c r="C69" s="160" t="s">
        <v>477</v>
      </c>
    </row>
    <row r="70" spans="2:3" s="158" customFormat="1">
      <c r="B70" s="159" t="s">
        <v>478</v>
      </c>
      <c r="C70" s="160" t="s">
        <v>479</v>
      </c>
    </row>
    <row r="71" spans="2:3" s="158" customFormat="1" ht="25.5">
      <c r="B71" s="159" t="s">
        <v>480</v>
      </c>
      <c r="C71" s="160" t="s">
        <v>481</v>
      </c>
    </row>
    <row r="72" spans="2:3" s="158" customFormat="1">
      <c r="B72" s="159" t="s">
        <v>482</v>
      </c>
      <c r="C72" s="160" t="s">
        <v>483</v>
      </c>
    </row>
    <row r="73" spans="2:3" s="158" customFormat="1">
      <c r="B73" s="159" t="s">
        <v>484</v>
      </c>
      <c r="C73" s="160" t="s">
        <v>485</v>
      </c>
    </row>
    <row r="74" spans="2:3" s="158" customFormat="1" ht="25.5">
      <c r="B74" s="159" t="s">
        <v>486</v>
      </c>
      <c r="C74" s="160" t="s">
        <v>487</v>
      </c>
    </row>
    <row r="75" spans="2:3" s="158" customFormat="1" ht="25.5">
      <c r="B75" s="159" t="s">
        <v>488</v>
      </c>
      <c r="C75" s="160" t="s">
        <v>489</v>
      </c>
    </row>
    <row r="76" spans="2:3" s="158" customFormat="1" ht="25.5">
      <c r="B76" s="159" t="s">
        <v>656</v>
      </c>
      <c r="C76" s="160" t="s">
        <v>490</v>
      </c>
    </row>
    <row r="77" spans="2:3" s="158" customFormat="1" ht="25.5">
      <c r="B77" s="159" t="s">
        <v>491</v>
      </c>
      <c r="C77" s="160" t="s">
        <v>492</v>
      </c>
    </row>
    <row r="78" spans="2:3" s="158" customFormat="1">
      <c r="B78" s="159" t="s">
        <v>493</v>
      </c>
      <c r="C78" s="160" t="s">
        <v>494</v>
      </c>
    </row>
    <row r="79" spans="2:3" s="158" customFormat="1">
      <c r="B79" s="159" t="s">
        <v>495</v>
      </c>
      <c r="C79" s="160" t="s">
        <v>496</v>
      </c>
    </row>
    <row r="80" spans="2:3" s="158" customFormat="1">
      <c r="B80" s="159" t="s">
        <v>497</v>
      </c>
      <c r="C80" s="160" t="s">
        <v>498</v>
      </c>
    </row>
    <row r="81" spans="2:3" s="158" customFormat="1">
      <c r="B81" s="159" t="s">
        <v>499</v>
      </c>
      <c r="C81" s="160" t="s">
        <v>500</v>
      </c>
    </row>
    <row r="82" spans="2:3" s="158" customFormat="1" ht="25.5">
      <c r="B82" s="159" t="s">
        <v>501</v>
      </c>
      <c r="C82" s="160" t="s">
        <v>502</v>
      </c>
    </row>
    <row r="83" spans="2:3" s="158" customFormat="1">
      <c r="B83" s="159" t="s">
        <v>503</v>
      </c>
      <c r="C83" s="160" t="s">
        <v>504</v>
      </c>
    </row>
    <row r="84" spans="2:3" s="158" customFormat="1" ht="25.5">
      <c r="B84" s="159" t="s">
        <v>505</v>
      </c>
      <c r="C84" s="160" t="s">
        <v>506</v>
      </c>
    </row>
    <row r="85" spans="2:3" s="158" customFormat="1">
      <c r="B85" s="159" t="s">
        <v>507</v>
      </c>
      <c r="C85" s="160" t="s">
        <v>508</v>
      </c>
    </row>
    <row r="86" spans="2:3" s="158" customFormat="1">
      <c r="B86" s="159" t="s">
        <v>509</v>
      </c>
      <c r="C86" s="160" t="s">
        <v>510</v>
      </c>
    </row>
    <row r="87" spans="2:3" s="158" customFormat="1">
      <c r="B87" s="159" t="s">
        <v>511</v>
      </c>
      <c r="C87" s="160" t="s">
        <v>512</v>
      </c>
    </row>
    <row r="88" spans="2:3" s="158" customFormat="1" ht="25.5">
      <c r="B88" s="159" t="s">
        <v>513</v>
      </c>
      <c r="C88" s="160" t="s">
        <v>514</v>
      </c>
    </row>
    <row r="89" spans="2:3" s="158" customFormat="1" ht="25.5">
      <c r="B89" s="159" t="s">
        <v>515</v>
      </c>
      <c r="C89" s="160" t="s">
        <v>516</v>
      </c>
    </row>
    <row r="90" spans="2:3" s="158" customFormat="1" ht="25.5">
      <c r="B90" s="159" t="s">
        <v>517</v>
      </c>
      <c r="C90" s="160" t="s">
        <v>518</v>
      </c>
    </row>
    <row r="91" spans="2:3" s="158" customFormat="1" ht="25.5">
      <c r="B91" s="159" t="s">
        <v>519</v>
      </c>
      <c r="C91" s="160" t="s">
        <v>518</v>
      </c>
    </row>
    <row r="92" spans="2:3" s="158" customFormat="1">
      <c r="B92" s="159" t="s">
        <v>520</v>
      </c>
      <c r="C92" s="160" t="s">
        <v>521</v>
      </c>
    </row>
    <row r="93" spans="2:3" s="158" customFormat="1" ht="25.5">
      <c r="B93" s="159" t="s">
        <v>522</v>
      </c>
      <c r="C93" s="160" t="s">
        <v>523</v>
      </c>
    </row>
    <row r="94" spans="2:3" s="158" customFormat="1" ht="25.5">
      <c r="B94" s="159" t="s">
        <v>524</v>
      </c>
      <c r="C94" s="160" t="s">
        <v>525</v>
      </c>
    </row>
    <row r="95" spans="2:3" s="158" customFormat="1">
      <c r="B95" s="159" t="s">
        <v>526</v>
      </c>
      <c r="C95" s="160" t="s">
        <v>527</v>
      </c>
    </row>
    <row r="96" spans="2:3" s="158" customFormat="1">
      <c r="B96" s="159" t="s">
        <v>528</v>
      </c>
      <c r="C96" s="160" t="s">
        <v>529</v>
      </c>
    </row>
    <row r="97" spans="2:3" s="158" customFormat="1">
      <c r="B97" s="159" t="s">
        <v>530</v>
      </c>
      <c r="C97" s="160" t="s">
        <v>531</v>
      </c>
    </row>
    <row r="98" spans="2:3" s="158" customFormat="1" ht="25.5">
      <c r="B98" s="159" t="s">
        <v>532</v>
      </c>
      <c r="C98" s="160" t="s">
        <v>533</v>
      </c>
    </row>
    <row r="99" spans="2:3" s="158" customFormat="1" ht="25.5">
      <c r="B99" s="159" t="s">
        <v>534</v>
      </c>
      <c r="C99" s="160" t="s">
        <v>535</v>
      </c>
    </row>
    <row r="100" spans="2:3" s="158" customFormat="1" ht="25.5">
      <c r="B100" s="159" t="s">
        <v>536</v>
      </c>
      <c r="C100" s="160" t="s">
        <v>537</v>
      </c>
    </row>
    <row r="101" spans="2:3" s="158" customFormat="1" ht="25.5">
      <c r="B101" s="159" t="s">
        <v>538</v>
      </c>
      <c r="C101" s="160" t="s">
        <v>539</v>
      </c>
    </row>
    <row r="102" spans="2:3" s="158" customFormat="1" ht="13.5" thickBot="1">
      <c r="B102" s="161" t="s">
        <v>540</v>
      </c>
      <c r="C102" s="162" t="s">
        <v>541</v>
      </c>
    </row>
    <row r="103" spans="2:3" s="158" customFormat="1">
      <c r="B103" s="26"/>
      <c r="C103" s="26"/>
    </row>
    <row r="104" spans="2:3" s="173" customFormat="1" ht="13.5" thickBot="1">
      <c r="B104" s="174" t="s">
        <v>21</v>
      </c>
      <c r="C104" s="174"/>
    </row>
    <row r="105" spans="2:3" s="173" customFormat="1" ht="13.5" thickBot="1">
      <c r="B105" s="152" t="s">
        <v>633</v>
      </c>
      <c r="C105" s="153" t="s">
        <v>634</v>
      </c>
    </row>
    <row r="106" spans="2:3" s="158" customFormat="1">
      <c r="B106" s="163" t="s">
        <v>648</v>
      </c>
      <c r="C106" s="164" t="s">
        <v>542</v>
      </c>
    </row>
    <row r="107" spans="2:3" s="158" customFormat="1" ht="25.5">
      <c r="B107" s="159" t="s">
        <v>657</v>
      </c>
      <c r="C107" s="160" t="s">
        <v>649</v>
      </c>
    </row>
    <row r="108" spans="2:3" s="158" customFormat="1">
      <c r="B108" s="159" t="s">
        <v>87</v>
      </c>
      <c r="C108" s="160" t="s">
        <v>543</v>
      </c>
    </row>
    <row r="109" spans="2:3" s="158" customFormat="1">
      <c r="B109" s="159" t="s">
        <v>650</v>
      </c>
      <c r="C109" s="160" t="s">
        <v>544</v>
      </c>
    </row>
    <row r="110" spans="2:3" s="158" customFormat="1">
      <c r="B110" s="159" t="s">
        <v>639</v>
      </c>
      <c r="C110" s="160" t="s">
        <v>463</v>
      </c>
    </row>
    <row r="111" spans="2:3" s="158" customFormat="1">
      <c r="B111" s="165" t="s">
        <v>651</v>
      </c>
      <c r="C111" s="166" t="s">
        <v>466</v>
      </c>
    </row>
    <row r="112" spans="2:3" s="158" customFormat="1">
      <c r="B112" s="159" t="s">
        <v>640</v>
      </c>
      <c r="C112" s="160" t="s">
        <v>464</v>
      </c>
    </row>
    <row r="113" spans="2:3" s="158" customFormat="1">
      <c r="B113" s="159" t="s">
        <v>643</v>
      </c>
      <c r="C113" s="160" t="s">
        <v>467</v>
      </c>
    </row>
    <row r="114" spans="2:3" s="158" customFormat="1">
      <c r="B114" s="159" t="s">
        <v>652</v>
      </c>
      <c r="C114" s="160" t="s">
        <v>545</v>
      </c>
    </row>
    <row r="115" spans="2:3" s="158" customFormat="1">
      <c r="B115" s="159" t="s">
        <v>476</v>
      </c>
      <c r="C115" s="160" t="s">
        <v>546</v>
      </c>
    </row>
    <row r="116" spans="2:3" s="158" customFormat="1" ht="25.5">
      <c r="B116" s="159" t="s">
        <v>486</v>
      </c>
      <c r="C116" s="160" t="s">
        <v>487</v>
      </c>
    </row>
    <row r="117" spans="2:3" s="158" customFormat="1" ht="25.5">
      <c r="B117" s="159" t="s">
        <v>547</v>
      </c>
      <c r="C117" s="160" t="s">
        <v>548</v>
      </c>
    </row>
    <row r="118" spans="2:3" s="158" customFormat="1">
      <c r="B118" s="159" t="s">
        <v>549</v>
      </c>
      <c r="C118" s="160" t="s">
        <v>550</v>
      </c>
    </row>
    <row r="119" spans="2:3" s="158" customFormat="1">
      <c r="B119" s="159" t="s">
        <v>551</v>
      </c>
      <c r="C119" s="160" t="s">
        <v>658</v>
      </c>
    </row>
    <row r="120" spans="2:3" s="158" customFormat="1" ht="25.5">
      <c r="B120" s="159" t="s">
        <v>491</v>
      </c>
      <c r="C120" s="160" t="s">
        <v>492</v>
      </c>
    </row>
    <row r="121" spans="2:3" s="158" customFormat="1">
      <c r="B121" s="159" t="s">
        <v>493</v>
      </c>
      <c r="C121" s="160" t="s">
        <v>494</v>
      </c>
    </row>
    <row r="122" spans="2:3" s="158" customFormat="1">
      <c r="B122" s="159" t="s">
        <v>495</v>
      </c>
      <c r="C122" s="160" t="s">
        <v>496</v>
      </c>
    </row>
    <row r="123" spans="2:3" s="158" customFormat="1">
      <c r="B123" s="159" t="s">
        <v>526</v>
      </c>
      <c r="C123" s="160" t="s">
        <v>552</v>
      </c>
    </row>
    <row r="124" spans="2:3" s="158" customFormat="1">
      <c r="B124" s="159" t="s">
        <v>528</v>
      </c>
      <c r="C124" s="160" t="s">
        <v>529</v>
      </c>
    </row>
    <row r="125" spans="2:3" s="158" customFormat="1">
      <c r="B125" s="159" t="s">
        <v>553</v>
      </c>
      <c r="C125" s="160" t="s">
        <v>554</v>
      </c>
    </row>
    <row r="126" spans="2:3" s="158" customFormat="1" ht="13.5" thickBot="1">
      <c r="B126" s="161" t="s">
        <v>540</v>
      </c>
      <c r="C126" s="162" t="s">
        <v>555</v>
      </c>
    </row>
    <row r="127" spans="2:3" s="158" customFormat="1">
      <c r="B127" s="26"/>
      <c r="C127" s="26"/>
    </row>
    <row r="128" spans="2:3" s="158" customFormat="1" ht="13.5" thickBot="1">
      <c r="B128" s="174" t="s">
        <v>556</v>
      </c>
      <c r="C128" s="26"/>
    </row>
    <row r="129" spans="2:4" s="158" customFormat="1" ht="13.5" thickBot="1">
      <c r="B129" s="152" t="s">
        <v>633</v>
      </c>
      <c r="C129" s="153" t="s">
        <v>634</v>
      </c>
    </row>
    <row r="130" spans="2:4" s="158" customFormat="1">
      <c r="B130" s="163" t="s">
        <v>640</v>
      </c>
      <c r="C130" s="164" t="s">
        <v>464</v>
      </c>
    </row>
    <row r="131" spans="2:4" s="158" customFormat="1" ht="25.5">
      <c r="B131" s="100" t="s">
        <v>557</v>
      </c>
      <c r="C131" s="160" t="s">
        <v>558</v>
      </c>
    </row>
    <row r="132" spans="2:4" s="158" customFormat="1" ht="25.5">
      <c r="B132" s="159" t="s">
        <v>559</v>
      </c>
      <c r="C132" s="160" t="s">
        <v>560</v>
      </c>
    </row>
    <row r="133" spans="2:4" s="158" customFormat="1">
      <c r="B133" s="159" t="s">
        <v>653</v>
      </c>
      <c r="C133" s="160" t="s">
        <v>561</v>
      </c>
    </row>
    <row r="134" spans="2:4" s="12" customFormat="1">
      <c r="B134" s="159" t="s">
        <v>503</v>
      </c>
      <c r="C134" s="160" t="s">
        <v>504</v>
      </c>
      <c r="D134" s="158"/>
    </row>
    <row r="135" spans="2:4" s="12" customFormat="1">
      <c r="B135" s="159" t="s">
        <v>504</v>
      </c>
      <c r="C135" s="160"/>
      <c r="D135" s="158"/>
    </row>
    <row r="136" spans="2:4" s="12" customFormat="1" ht="13.5" thickBot="1">
      <c r="B136" s="161" t="s">
        <v>540</v>
      </c>
      <c r="C136" s="162" t="s">
        <v>541</v>
      </c>
      <c r="D136" s="158"/>
    </row>
    <row r="137" spans="2:4" s="12" customFormat="1">
      <c r="B137" s="26"/>
      <c r="C137" s="26"/>
      <c r="D137" s="158"/>
    </row>
    <row r="138" spans="2:4" s="12" customFormat="1">
      <c r="B138" s="26"/>
      <c r="C138" s="26"/>
      <c r="D138" s="158"/>
    </row>
    <row r="139" spans="2:4" s="12" customFormat="1">
      <c r="B139" s="26"/>
      <c r="C139" s="26"/>
      <c r="D139" s="158"/>
    </row>
    <row r="140" spans="2:4" s="12" customFormat="1">
      <c r="B140" s="26"/>
      <c r="C140" s="26"/>
      <c r="D140" s="158"/>
    </row>
    <row r="141" spans="2:4" s="12" customFormat="1">
      <c r="B141" s="26"/>
      <c r="C141" s="26"/>
      <c r="D141" s="158"/>
    </row>
    <row r="142" spans="2:4" s="12" customFormat="1">
      <c r="B142" s="26"/>
      <c r="C142" s="26"/>
      <c r="D142" s="158"/>
    </row>
    <row r="143" spans="2:4" s="12" customFormat="1">
      <c r="B143" s="26"/>
      <c r="C143" s="140"/>
    </row>
    <row r="144" spans="2:4" s="12" customFormat="1">
      <c r="B144" s="26"/>
      <c r="C144" s="175"/>
    </row>
    <row r="145" spans="2:4" s="12" customFormat="1">
      <c r="B145" s="26"/>
      <c r="C145" s="175"/>
    </row>
    <row r="146" spans="2:4" s="12" customFormat="1">
      <c r="B146" s="26"/>
      <c r="C146" s="175"/>
    </row>
    <row r="147" spans="2:4" s="12" customFormat="1">
      <c r="B147" s="26"/>
      <c r="C147" s="175"/>
    </row>
    <row r="148" spans="2:4" s="12" customFormat="1">
      <c r="B148" s="26"/>
      <c r="C148" s="175"/>
    </row>
    <row r="149" spans="2:4" s="12" customFormat="1">
      <c r="B149" s="144"/>
      <c r="C149" s="175"/>
    </row>
    <row r="150" spans="2:4" s="158" customFormat="1">
      <c r="B150" s="140"/>
      <c r="C150" s="175"/>
      <c r="D150" s="12"/>
    </row>
    <row r="151" spans="2:4" s="158" customFormat="1">
      <c r="B151" s="140"/>
      <c r="C151" s="175"/>
    </row>
    <row r="152" spans="2:4" s="158" customFormat="1">
      <c r="B152" s="140"/>
      <c r="C152" s="175"/>
    </row>
    <row r="153" spans="2:4" s="158" customFormat="1">
      <c r="B153" s="175"/>
      <c r="C153" s="175"/>
    </row>
    <row r="154" spans="2:4" s="158" customFormat="1">
      <c r="B154" s="175"/>
      <c r="C154" s="175"/>
    </row>
    <row r="155" spans="2:4" s="158" customFormat="1">
      <c r="B155" s="175"/>
      <c r="C155" s="175"/>
    </row>
    <row r="156" spans="2:4" s="158" customFormat="1">
      <c r="B156" s="175"/>
      <c r="C156" s="175"/>
    </row>
    <row r="157" spans="2:4" s="158" customFormat="1">
      <c r="B157" s="175"/>
      <c r="C157" s="175"/>
    </row>
    <row r="158" spans="2:4" s="158" customFormat="1">
      <c r="B158" s="175"/>
      <c r="C158" s="175"/>
    </row>
    <row r="159" spans="2:4" s="158" customFormat="1">
      <c r="B159" s="175"/>
      <c r="C159" s="175"/>
    </row>
    <row r="160" spans="2:4" s="158" customFormat="1">
      <c r="B160" s="175"/>
      <c r="C160" s="175"/>
    </row>
    <row r="161" spans="2:3" s="158" customFormat="1">
      <c r="B161" s="176"/>
      <c r="C161" s="175"/>
    </row>
    <row r="162" spans="2:3" s="158" customFormat="1">
      <c r="B162" s="175"/>
      <c r="C162" s="175"/>
    </row>
    <row r="163" spans="2:3" s="158" customFormat="1">
      <c r="B163" s="175"/>
      <c r="C163" s="175"/>
    </row>
    <row r="164" spans="2:3" s="158" customFormat="1">
      <c r="B164" s="175"/>
      <c r="C164" s="175"/>
    </row>
    <row r="165" spans="2:3" s="158" customFormat="1">
      <c r="B165" s="175"/>
      <c r="C165" s="175"/>
    </row>
    <row r="166" spans="2:3" s="158" customFormat="1">
      <c r="B166" s="175"/>
      <c r="C166" s="175"/>
    </row>
    <row r="167" spans="2:3" s="158" customFormat="1">
      <c r="B167" s="175"/>
      <c r="C167" s="177"/>
    </row>
    <row r="168" spans="2:3" s="158" customFormat="1">
      <c r="B168" s="175"/>
      <c r="C168" s="175"/>
    </row>
    <row r="169" spans="2:3" s="158" customFormat="1">
      <c r="B169" s="177"/>
      <c r="C169" s="175"/>
    </row>
    <row r="170" spans="2:3" s="158" customFormat="1">
      <c r="B170" s="175"/>
      <c r="C170" s="26"/>
    </row>
    <row r="171" spans="2:3" s="158" customFormat="1">
      <c r="B171" s="175"/>
      <c r="C171" s="175"/>
    </row>
    <row r="172" spans="2:3" s="158" customFormat="1">
      <c r="B172" s="175"/>
      <c r="C172" s="26"/>
    </row>
    <row r="173" spans="2:3" s="158" customFormat="1">
      <c r="B173" s="175"/>
      <c r="C173" s="175"/>
    </row>
    <row r="174" spans="2:3" s="158" customFormat="1">
      <c r="B174" s="175"/>
      <c r="C174" s="175"/>
    </row>
    <row r="175" spans="2:3" s="158" customFormat="1">
      <c r="B175" s="26"/>
      <c r="C175" s="177"/>
    </row>
    <row r="176" spans="2:3" s="158" customFormat="1">
      <c r="B176" s="175"/>
      <c r="C176" s="175"/>
    </row>
    <row r="177" spans="2:3" s="158" customFormat="1">
      <c r="B177" s="26"/>
      <c r="C177" s="175"/>
    </row>
    <row r="178" spans="2:3" s="158" customFormat="1">
      <c r="B178" s="175"/>
      <c r="C178" s="175"/>
    </row>
    <row r="179" spans="2:3" s="158" customFormat="1">
      <c r="B179" s="175"/>
      <c r="C179" s="175"/>
    </row>
    <row r="180" spans="2:3" s="158" customFormat="1">
      <c r="B180" s="175"/>
      <c r="C180" s="177"/>
    </row>
    <row r="181" spans="2:3" s="158" customFormat="1">
      <c r="B181" s="26"/>
      <c r="C181" s="175"/>
    </row>
    <row r="182" spans="2:3" s="158" customFormat="1">
      <c r="B182" s="177"/>
      <c r="C182" s="177"/>
    </row>
    <row r="183" spans="2:3" s="158" customFormat="1">
      <c r="B183" s="175"/>
      <c r="C183" s="175"/>
    </row>
    <row r="184" spans="2:3" s="158" customFormat="1">
      <c r="B184" s="177"/>
      <c r="C184" s="177"/>
    </row>
    <row r="185" spans="2:3" s="158" customFormat="1">
      <c r="B185" s="175"/>
      <c r="C185" s="175"/>
    </row>
    <row r="186" spans="2:3" s="158" customFormat="1">
      <c r="B186" s="177"/>
      <c r="C186" s="175"/>
    </row>
    <row r="187" spans="2:3" s="158" customFormat="1">
      <c r="B187" s="175"/>
      <c r="C187" s="26"/>
    </row>
    <row r="188" spans="2:3" s="158" customFormat="1">
      <c r="B188" s="175"/>
      <c r="C188" s="175"/>
    </row>
    <row r="189" spans="2:3" s="158" customFormat="1">
      <c r="B189" s="175"/>
      <c r="C189" s="175"/>
    </row>
    <row r="190" spans="2:3" s="158" customFormat="1">
      <c r="B190" s="176"/>
      <c r="C190" s="26"/>
    </row>
    <row r="191" spans="2:3" s="158" customFormat="1">
      <c r="B191" s="175"/>
      <c r="C191" s="177"/>
    </row>
    <row r="192" spans="2:3" s="158" customFormat="1">
      <c r="B192" s="175"/>
      <c r="C192" s="26"/>
    </row>
    <row r="193" spans="2:3" s="158" customFormat="1">
      <c r="B193" s="177"/>
      <c r="C193" s="175"/>
    </row>
    <row r="194" spans="2:3" s="158" customFormat="1">
      <c r="B194" s="175"/>
      <c r="C194" s="175"/>
    </row>
    <row r="195" spans="2:3" s="158" customFormat="1">
      <c r="B195" s="176"/>
      <c r="C195" s="177"/>
    </row>
    <row r="196" spans="2:3" s="158" customFormat="1">
      <c r="B196" s="178"/>
      <c r="C196" s="177"/>
    </row>
    <row r="197" spans="2:3" s="158" customFormat="1">
      <c r="B197" s="177"/>
      <c r="C197" s="26"/>
    </row>
    <row r="198" spans="2:3" s="158" customFormat="1">
      <c r="B198" s="177"/>
      <c r="C198" s="175"/>
    </row>
    <row r="199" spans="2:3" s="158" customFormat="1">
      <c r="B199" s="26"/>
      <c r="C199" s="26"/>
    </row>
    <row r="200" spans="2:3" s="158" customFormat="1">
      <c r="B200" s="179"/>
      <c r="C200" s="179"/>
    </row>
    <row r="201" spans="2:3" s="158" customFormat="1">
      <c r="C201" s="179"/>
    </row>
    <row r="202" spans="2:3" s="158" customFormat="1">
      <c r="B202" s="179"/>
      <c r="C202" s="179"/>
    </row>
    <row r="203" spans="2:3" s="158" customFormat="1">
      <c r="B203" s="179"/>
    </row>
    <row r="204" spans="2:3" s="158" customFormat="1">
      <c r="B204" s="179"/>
      <c r="C204" s="179"/>
    </row>
    <row r="205" spans="2:3" s="158" customFormat="1">
      <c r="B205" s="179"/>
      <c r="C205" s="179"/>
    </row>
    <row r="206" spans="2:3" s="158" customFormat="1">
      <c r="B206" s="179"/>
      <c r="C206" s="179"/>
    </row>
    <row r="207" spans="2:3" s="158" customFormat="1">
      <c r="B207" s="179"/>
    </row>
    <row r="208" spans="2:3" s="158" customFormat="1">
      <c r="B208" s="179"/>
      <c r="C208" s="179"/>
    </row>
    <row r="209" spans="2:3" s="158" customFormat="1">
      <c r="B209" s="179"/>
      <c r="C209" s="179"/>
    </row>
    <row r="210" spans="2:3" s="158" customFormat="1">
      <c r="B210" s="179"/>
    </row>
    <row r="211" spans="2:3" s="158" customFormat="1">
      <c r="B211" s="180"/>
      <c r="C211" s="180"/>
    </row>
    <row r="212" spans="2:3" s="158" customFormat="1"/>
    <row r="213" spans="2:3" s="158" customFormat="1">
      <c r="B213" s="179"/>
      <c r="C213" s="179"/>
    </row>
    <row r="214" spans="2:3" s="158" customFormat="1">
      <c r="B214" s="179"/>
      <c r="C214" s="179"/>
    </row>
    <row r="215" spans="2:3" s="158" customFormat="1">
      <c r="B215" s="181"/>
      <c r="C215" s="181"/>
    </row>
    <row r="216" spans="2:3" s="158" customFormat="1">
      <c r="C216" s="179"/>
    </row>
    <row r="217" spans="2:3" s="158" customFormat="1">
      <c r="B217" s="179"/>
      <c r="C217" s="179"/>
    </row>
    <row r="218" spans="2:3" s="158" customFormat="1">
      <c r="B218" s="179"/>
      <c r="C218" s="179"/>
    </row>
    <row r="219" spans="2:3" s="158" customFormat="1"/>
    <row r="220" spans="2:3" s="158" customFormat="1">
      <c r="C220" s="179"/>
    </row>
    <row r="221" spans="2:3" s="158" customFormat="1">
      <c r="C221" s="179"/>
    </row>
    <row r="222" spans="2:3" s="158" customFormat="1">
      <c r="B222" s="180"/>
      <c r="C222" s="180"/>
    </row>
    <row r="223" spans="2:3" s="158" customFormat="1">
      <c r="B223" s="179"/>
    </row>
    <row r="224" spans="2:3" s="158" customFormat="1">
      <c r="B224" s="179"/>
      <c r="C224" s="179"/>
    </row>
    <row r="225" spans="2:3" s="158" customFormat="1">
      <c r="B225" s="179"/>
      <c r="C225" s="179"/>
    </row>
    <row r="226" spans="2:3" s="158" customFormat="1">
      <c r="B226" s="179"/>
      <c r="C226" s="179"/>
    </row>
    <row r="227" spans="2:3" s="158" customFormat="1">
      <c r="B227" s="180"/>
      <c r="C227" s="180"/>
    </row>
    <row r="228" spans="2:3" s="158" customFormat="1"/>
    <row r="229" spans="2:3" s="158" customFormat="1">
      <c r="B229" s="179"/>
      <c r="C229" s="179"/>
    </row>
    <row r="230" spans="2:3" s="158" customFormat="1">
      <c r="B230" s="179"/>
      <c r="C230" s="179"/>
    </row>
    <row r="231" spans="2:3" s="158" customFormat="1">
      <c r="B231" s="179"/>
      <c r="C231" s="179"/>
    </row>
    <row r="232" spans="2:3" s="158" customFormat="1"/>
    <row r="233" spans="2:3" s="158" customFormat="1"/>
    <row r="234" spans="2:3" s="158" customFormat="1"/>
    <row r="235" spans="2:3" s="158" customFormat="1"/>
    <row r="236" spans="2:3" s="158" customFormat="1"/>
    <row r="237" spans="2:3" s="158" customFormat="1"/>
    <row r="238" spans="2:3" s="158" customFormat="1"/>
    <row r="239" spans="2:3" s="158" customFormat="1"/>
    <row r="240" spans="2:3" s="158" customFormat="1"/>
  </sheetData>
  <sheetProtection password="83AF" sheet="1" objects="1" scenarios="1" formatCells="0" formatColumns="0" formatRows="0"/>
  <customSheetViews>
    <customSheetView guid="{B6007CFB-3D06-43CC-8EB0-042D40129E35}" showGridLines="0">
      <selection activeCell="O203" sqref="O203"/>
      <rowBreaks count="2" manualBreakCount="2">
        <brk id="46" max="16383" man="1"/>
        <brk id="102" max="16383" man="1"/>
      </rowBreaks>
      <pageMargins left="0.70866141732283472" right="0.70866141732283472" top="0.74803149606299213" bottom="0.74803149606299213" header="0.31496062992125984" footer="0.31496062992125984"/>
      <pageSetup paperSize="9" scale="58" fitToHeight="2" orientation="landscape" r:id="rId1"/>
    </customSheetView>
  </customSheetViews>
  <dataValidations count="1">
    <dataValidation type="list" allowBlank="1" showInputMessage="1" showErrorMessage="1" sqref="D8:D45">
      <formula1>"Y,N"</formula1>
    </dataValidation>
  </dataValidations>
  <pageMargins left="0.70866141732283472" right="0.70866141732283472" top="0.74803149606299213" bottom="0.74803149606299213" header="0.31496062992125984" footer="0.31496062992125984"/>
  <pageSetup paperSize="9" scale="58" fitToHeight="2" orientation="landscape" r:id="rId2"/>
  <rowBreaks count="2" manualBreakCount="2">
    <brk id="46" max="16383" man="1"/>
    <brk id="102" max="16383" man="1"/>
  </rowBreaks>
</worksheet>
</file>

<file path=xl/worksheets/sheet13.xml><?xml version="1.0" encoding="utf-8"?>
<worksheet xmlns="http://schemas.openxmlformats.org/spreadsheetml/2006/main" xmlns:r="http://schemas.openxmlformats.org/officeDocument/2006/relationships">
  <sheetPr codeName="Sheet12"/>
  <dimension ref="A1:V513"/>
  <sheetViews>
    <sheetView topLeftCell="A169" workbookViewId="0">
      <selection activeCell="O203" sqref="O203"/>
    </sheetView>
  </sheetViews>
  <sheetFormatPr defaultRowHeight="15"/>
  <cols>
    <col min="1" max="1" width="7" style="6" bestFit="1" customWidth="1"/>
    <col min="2" max="3" width="9.140625" style="6"/>
    <col min="4" max="4" width="10.140625" style="6" customWidth="1"/>
    <col min="5" max="8" width="9.140625" style="6"/>
    <col min="9" max="9" width="11.28515625" style="6" customWidth="1"/>
    <col min="10" max="11" width="9.140625" style="6"/>
    <col min="12" max="12" width="11" style="6" customWidth="1"/>
    <col min="13" max="16384" width="9.140625" style="6"/>
  </cols>
  <sheetData>
    <row r="1" spans="1:22" ht="18.75">
      <c r="A1" s="137" t="s">
        <v>443</v>
      </c>
      <c r="B1" s="30" t="s">
        <v>573</v>
      </c>
      <c r="C1" s="30"/>
    </row>
    <row r="2" spans="1:22">
      <c r="A2" s="31"/>
    </row>
    <row r="3" spans="1:22">
      <c r="A3" s="32" t="s">
        <v>0</v>
      </c>
      <c r="B3" s="13" t="s">
        <v>21</v>
      </c>
      <c r="C3" s="13"/>
    </row>
    <row r="5" spans="1:22">
      <c r="A5" s="8" t="s">
        <v>384</v>
      </c>
      <c r="B5" s="8" t="s">
        <v>440</v>
      </c>
      <c r="C5" s="8"/>
      <c r="D5" s="1"/>
      <c r="E5" s="1"/>
      <c r="F5" s="1"/>
      <c r="G5" s="1"/>
      <c r="H5" s="1"/>
      <c r="I5" s="24"/>
      <c r="J5" s="24"/>
      <c r="K5" s="1"/>
      <c r="L5" s="1"/>
      <c r="M5" s="1"/>
      <c r="N5" s="1"/>
      <c r="O5" s="1"/>
      <c r="P5" s="1"/>
      <c r="Q5" s="1"/>
      <c r="R5" s="1"/>
      <c r="S5" s="1"/>
      <c r="T5" s="1"/>
      <c r="U5" s="1"/>
      <c r="V5" s="1"/>
    </row>
    <row r="6" spans="1:22">
      <c r="A6" s="8"/>
      <c r="B6" s="1"/>
      <c r="C6" s="1"/>
      <c r="D6" s="1"/>
      <c r="E6" s="1"/>
      <c r="F6" s="1"/>
      <c r="G6" s="1"/>
      <c r="H6" s="1"/>
      <c r="I6" s="24"/>
      <c r="J6" s="24"/>
      <c r="K6" s="1"/>
      <c r="L6" s="1"/>
      <c r="M6" s="1"/>
      <c r="N6" s="1"/>
      <c r="O6" s="1"/>
      <c r="P6" s="1"/>
      <c r="Q6" s="1"/>
      <c r="R6" s="1"/>
      <c r="S6" s="1"/>
      <c r="T6" s="1"/>
      <c r="U6" s="1"/>
      <c r="V6" s="1"/>
    </row>
    <row r="7" spans="1:22">
      <c r="A7" s="8" t="s">
        <v>385</v>
      </c>
      <c r="B7" s="8" t="s">
        <v>386</v>
      </c>
      <c r="C7" s="8"/>
      <c r="D7" s="1"/>
      <c r="E7" s="1"/>
      <c r="F7" s="1"/>
      <c r="G7" s="1"/>
      <c r="H7" s="1"/>
      <c r="I7" s="24"/>
      <c r="J7" s="24"/>
      <c r="K7" s="1"/>
      <c r="L7" s="1"/>
      <c r="M7" s="1"/>
      <c r="N7" s="1"/>
      <c r="O7" s="1"/>
      <c r="P7" s="1"/>
      <c r="Q7" s="1"/>
      <c r="R7" s="1"/>
      <c r="S7" s="1"/>
      <c r="T7" s="1"/>
      <c r="U7" s="1"/>
      <c r="V7" s="1"/>
    </row>
    <row r="8" spans="1:22" ht="15.75" thickBot="1">
      <c r="A8" s="1"/>
      <c r="B8" s="1"/>
      <c r="C8" s="1"/>
      <c r="D8" s="1"/>
      <c r="E8" s="1"/>
      <c r="F8" s="1"/>
      <c r="G8" s="1"/>
      <c r="H8" s="1"/>
      <c r="I8" s="24"/>
      <c r="J8" s="24"/>
      <c r="K8" s="1"/>
      <c r="L8" s="1"/>
      <c r="M8" s="1"/>
      <c r="N8" s="1"/>
      <c r="O8" s="1"/>
      <c r="P8" s="1"/>
      <c r="Q8" s="1"/>
      <c r="R8" s="1"/>
      <c r="S8" s="1"/>
      <c r="T8" s="1"/>
      <c r="U8" s="1"/>
      <c r="V8" s="1"/>
    </row>
    <row r="9" spans="1:22">
      <c r="A9" s="14"/>
      <c r="B9" s="1" t="s">
        <v>306</v>
      </c>
      <c r="C9" s="1"/>
      <c r="D9" s="1"/>
      <c r="E9" s="1789"/>
      <c r="F9" s="1790"/>
      <c r="G9" s="1791"/>
      <c r="H9" s="60"/>
      <c r="I9" s="24" t="s">
        <v>279</v>
      </c>
      <c r="J9" s="24"/>
      <c r="K9" s="1"/>
      <c r="L9" s="1781"/>
      <c r="M9" s="1783"/>
      <c r="N9" s="1"/>
      <c r="O9" s="1"/>
      <c r="P9" s="1"/>
      <c r="Q9" s="1"/>
      <c r="R9" s="1"/>
      <c r="S9" s="1"/>
      <c r="T9" s="1"/>
      <c r="U9" s="1"/>
      <c r="V9" s="1"/>
    </row>
    <row r="10" spans="1:22">
      <c r="A10" s="1"/>
      <c r="B10" s="1"/>
      <c r="C10" s="1"/>
      <c r="D10" s="1"/>
      <c r="E10" s="1792"/>
      <c r="F10" s="1793"/>
      <c r="G10" s="1794"/>
      <c r="H10" s="60"/>
      <c r="I10" s="24" t="s">
        <v>327</v>
      </c>
      <c r="J10" s="24"/>
      <c r="K10" s="1"/>
      <c r="L10" s="1763"/>
      <c r="M10" s="1779"/>
      <c r="N10" s="1"/>
      <c r="O10" s="1"/>
      <c r="P10" s="1"/>
      <c r="Q10" s="1"/>
      <c r="R10" s="1"/>
      <c r="S10" s="1"/>
      <c r="T10" s="1"/>
      <c r="U10" s="1"/>
      <c r="V10" s="1"/>
    </row>
    <row r="11" spans="1:22">
      <c r="A11" s="1"/>
      <c r="B11" s="1" t="s">
        <v>307</v>
      </c>
      <c r="C11" s="1"/>
      <c r="D11" s="1"/>
      <c r="E11" s="1763"/>
      <c r="F11" s="1795"/>
      <c r="G11" s="1779"/>
      <c r="H11" s="60"/>
      <c r="I11" s="24" t="s">
        <v>308</v>
      </c>
      <c r="J11" s="24"/>
      <c r="K11" s="1"/>
      <c r="L11" s="1763"/>
      <c r="M11" s="1779"/>
      <c r="N11" s="1"/>
      <c r="O11" s="1"/>
      <c r="P11" s="1"/>
      <c r="Q11" s="1"/>
      <c r="R11" s="1"/>
      <c r="S11" s="1"/>
      <c r="T11" s="1"/>
      <c r="U11" s="1"/>
      <c r="V11" s="1"/>
    </row>
    <row r="12" spans="1:22">
      <c r="A12" s="1"/>
      <c r="B12" s="1" t="s">
        <v>313</v>
      </c>
      <c r="C12" s="1"/>
      <c r="D12" s="1"/>
      <c r="E12" s="1763"/>
      <c r="F12" s="1795"/>
      <c r="G12" s="1779"/>
      <c r="H12" s="60"/>
      <c r="I12" s="24" t="s">
        <v>309</v>
      </c>
      <c r="J12" s="24"/>
      <c r="K12" s="1"/>
      <c r="L12" s="1763"/>
      <c r="M12" s="1779"/>
      <c r="N12" s="1"/>
      <c r="O12" s="1"/>
      <c r="P12" s="1"/>
      <c r="Q12" s="1"/>
      <c r="R12" s="1"/>
      <c r="S12" s="1"/>
      <c r="T12" s="1"/>
      <c r="U12" s="1"/>
      <c r="V12" s="1"/>
    </row>
    <row r="13" spans="1:22">
      <c r="A13" s="1"/>
      <c r="B13" s="1" t="s">
        <v>250</v>
      </c>
      <c r="C13" s="1"/>
      <c r="D13" s="1"/>
      <c r="E13" s="1763"/>
      <c r="F13" s="1795"/>
      <c r="G13" s="1779"/>
      <c r="H13" s="60"/>
      <c r="I13" s="24" t="s">
        <v>90</v>
      </c>
      <c r="J13" s="24"/>
      <c r="K13" s="1"/>
      <c r="L13" s="1763"/>
      <c r="M13" s="1779"/>
      <c r="N13" s="1"/>
      <c r="O13" s="1"/>
      <c r="P13" s="1"/>
      <c r="Q13" s="1"/>
      <c r="R13" s="1"/>
      <c r="S13" s="1"/>
      <c r="T13" s="1"/>
      <c r="U13" s="1"/>
      <c r="V13" s="1"/>
    </row>
    <row r="14" spans="1:22">
      <c r="A14" s="1"/>
      <c r="B14" s="1" t="s">
        <v>16</v>
      </c>
      <c r="C14" s="1"/>
      <c r="D14" s="1"/>
      <c r="E14" s="1763"/>
      <c r="F14" s="1795"/>
      <c r="G14" s="1779"/>
      <c r="H14" s="60"/>
      <c r="I14" s="24" t="s">
        <v>326</v>
      </c>
      <c r="J14" s="24"/>
      <c r="K14" s="1"/>
      <c r="L14" s="1763"/>
      <c r="M14" s="1779"/>
      <c r="N14" s="1"/>
      <c r="O14" s="1"/>
      <c r="P14" s="1"/>
      <c r="Q14" s="1"/>
      <c r="R14" s="1"/>
      <c r="S14" s="1"/>
      <c r="T14" s="1"/>
      <c r="U14" s="1"/>
      <c r="V14" s="1"/>
    </row>
    <row r="15" spans="1:22">
      <c r="A15" s="1"/>
      <c r="B15" s="1" t="s">
        <v>310</v>
      </c>
      <c r="C15" s="1"/>
      <c r="D15" s="1"/>
      <c r="E15" s="1763"/>
      <c r="F15" s="1795"/>
      <c r="G15" s="1779"/>
      <c r="H15" s="60"/>
      <c r="I15" s="24" t="s">
        <v>449</v>
      </c>
      <c r="L15" s="1763"/>
      <c r="M15" s="1779"/>
      <c r="N15" s="1"/>
      <c r="O15" s="1"/>
      <c r="P15" s="1"/>
      <c r="Q15" s="1"/>
      <c r="R15" s="1"/>
      <c r="S15" s="1"/>
      <c r="T15" s="1"/>
      <c r="U15" s="1"/>
      <c r="V15" s="1"/>
    </row>
    <row r="16" spans="1:22">
      <c r="A16" s="1"/>
      <c r="B16" s="1" t="s">
        <v>311</v>
      </c>
      <c r="C16" s="1"/>
      <c r="D16" s="1"/>
      <c r="E16" s="1859"/>
      <c r="F16" s="1795"/>
      <c r="G16" s="1834"/>
      <c r="H16" s="60"/>
      <c r="I16" s="24" t="s">
        <v>324</v>
      </c>
      <c r="J16" s="24"/>
      <c r="K16" s="1"/>
      <c r="L16" s="1763"/>
      <c r="M16" s="1779"/>
      <c r="N16" s="1"/>
      <c r="O16" s="1"/>
      <c r="P16" s="1"/>
      <c r="Q16" s="1"/>
      <c r="R16" s="1"/>
      <c r="S16" s="1"/>
      <c r="T16" s="1"/>
      <c r="U16" s="1"/>
      <c r="V16" s="1"/>
    </row>
    <row r="17" spans="1:22" ht="15.75" thickBot="1">
      <c r="A17" s="1"/>
      <c r="B17" s="1" t="s">
        <v>312</v>
      </c>
      <c r="C17" s="1"/>
      <c r="D17" s="1"/>
      <c r="E17" s="1759"/>
      <c r="F17" s="1836"/>
      <c r="G17" s="1780"/>
      <c r="H17" s="60"/>
      <c r="I17" s="24" t="s">
        <v>325</v>
      </c>
      <c r="J17" s="24"/>
      <c r="K17" s="1"/>
      <c r="L17" s="1763"/>
      <c r="M17" s="1779"/>
      <c r="N17" s="1"/>
      <c r="O17" s="1"/>
      <c r="P17" s="1"/>
      <c r="Q17" s="1"/>
      <c r="R17" s="1"/>
      <c r="S17" s="1"/>
      <c r="T17" s="1"/>
      <c r="U17" s="1"/>
      <c r="V17" s="1"/>
    </row>
    <row r="18" spans="1:22" ht="15.75" thickBot="1">
      <c r="A18" s="1"/>
      <c r="H18" s="60"/>
      <c r="I18" s="24"/>
      <c r="J18" s="24"/>
      <c r="K18" s="1"/>
      <c r="L18" s="1759"/>
      <c r="M18" s="1780"/>
      <c r="N18" s="1"/>
      <c r="O18" s="1"/>
      <c r="P18" s="1"/>
      <c r="Q18" s="1"/>
      <c r="R18" s="1"/>
      <c r="S18" s="1"/>
      <c r="T18" s="1"/>
      <c r="U18" s="1"/>
      <c r="V18" s="1"/>
    </row>
    <row r="19" spans="1:22">
      <c r="A19" s="1"/>
      <c r="B19" s="1"/>
      <c r="C19" s="1"/>
      <c r="D19" s="1"/>
      <c r="E19" s="1"/>
      <c r="F19" s="1"/>
      <c r="G19" s="1"/>
      <c r="H19" s="1"/>
      <c r="I19" s="24"/>
      <c r="J19" s="24"/>
      <c r="K19" s="1"/>
      <c r="L19" s="1"/>
      <c r="M19" s="1"/>
      <c r="N19" s="1"/>
      <c r="O19" s="1"/>
      <c r="P19" s="1"/>
      <c r="Q19" s="1"/>
      <c r="R19" s="1"/>
      <c r="S19" s="1"/>
      <c r="T19" s="1"/>
      <c r="U19" s="1"/>
      <c r="V19" s="1"/>
    </row>
    <row r="20" spans="1:22">
      <c r="A20" s="1"/>
      <c r="B20" s="8" t="s">
        <v>318</v>
      </c>
      <c r="C20" s="8"/>
      <c r="D20" s="1"/>
      <c r="E20" s="1"/>
      <c r="F20" s="1"/>
      <c r="G20" s="1"/>
      <c r="H20" s="1"/>
      <c r="I20" s="33" t="s">
        <v>320</v>
      </c>
      <c r="J20" s="33"/>
      <c r="K20" s="1"/>
      <c r="L20" s="1"/>
      <c r="M20" s="1"/>
      <c r="N20" s="1"/>
      <c r="O20" s="1"/>
      <c r="P20" s="1"/>
      <c r="Q20" s="1"/>
      <c r="R20" s="1"/>
      <c r="S20" s="1"/>
      <c r="T20" s="1"/>
      <c r="U20" s="1"/>
      <c r="V20" s="1"/>
    </row>
    <row r="21" spans="1:22" ht="15.75" thickBot="1">
      <c r="A21" s="1"/>
      <c r="B21" s="1"/>
      <c r="C21" s="1"/>
      <c r="D21" s="1"/>
      <c r="E21" s="1"/>
      <c r="F21" s="1"/>
      <c r="G21" s="1"/>
      <c r="H21" s="1"/>
      <c r="I21" s="24"/>
      <c r="J21" s="24"/>
      <c r="K21" s="1"/>
      <c r="L21" s="1"/>
      <c r="M21" s="1"/>
      <c r="N21" s="1"/>
      <c r="O21" s="1"/>
      <c r="P21" s="1"/>
      <c r="Q21" s="1"/>
      <c r="R21" s="1"/>
      <c r="S21" s="1"/>
      <c r="T21" s="1"/>
      <c r="U21" s="1"/>
      <c r="V21" s="1"/>
    </row>
    <row r="22" spans="1:22" ht="15.75" thickBot="1">
      <c r="A22" s="1"/>
      <c r="B22" s="1" t="s">
        <v>319</v>
      </c>
      <c r="C22" s="1"/>
      <c r="D22" s="1"/>
      <c r="E22" s="1823"/>
      <c r="F22" s="1827"/>
      <c r="G22" s="1824"/>
      <c r="H22" s="60"/>
      <c r="I22" s="24" t="s">
        <v>321</v>
      </c>
      <c r="J22" s="24"/>
      <c r="K22" s="1"/>
      <c r="L22" s="1828"/>
      <c r="M22" s="1829"/>
      <c r="N22" s="1"/>
      <c r="O22" s="1"/>
      <c r="P22" s="1"/>
      <c r="Q22" s="1"/>
      <c r="R22" s="1"/>
      <c r="S22" s="1"/>
      <c r="T22" s="1"/>
      <c r="U22" s="1"/>
      <c r="V22" s="1"/>
    </row>
    <row r="23" spans="1:22">
      <c r="A23" s="1"/>
      <c r="B23" s="1"/>
      <c r="C23" s="1"/>
      <c r="D23" s="1"/>
      <c r="E23" s="1"/>
      <c r="F23" s="1"/>
      <c r="G23" s="1"/>
      <c r="H23" s="1"/>
      <c r="I23" s="24"/>
      <c r="J23" s="24"/>
      <c r="K23" s="1"/>
      <c r="L23" s="1"/>
      <c r="M23" s="1"/>
      <c r="N23" s="1"/>
      <c r="O23" s="1"/>
      <c r="P23" s="1"/>
      <c r="Q23" s="1"/>
      <c r="R23" s="1"/>
      <c r="S23" s="1"/>
      <c r="T23" s="1"/>
      <c r="U23" s="1"/>
      <c r="V23" s="1"/>
    </row>
    <row r="24" spans="1:22">
      <c r="A24" s="1"/>
      <c r="B24" s="8" t="s">
        <v>314</v>
      </c>
      <c r="C24" s="8"/>
      <c r="D24" s="1"/>
      <c r="E24" s="1"/>
      <c r="F24" s="1"/>
      <c r="G24" s="1"/>
      <c r="H24" s="1"/>
      <c r="I24" s="24"/>
      <c r="J24" s="24"/>
      <c r="K24" s="1"/>
      <c r="L24" s="1"/>
      <c r="M24" s="1"/>
      <c r="N24" s="1"/>
      <c r="O24" s="1"/>
      <c r="P24" s="1"/>
      <c r="Q24" s="1"/>
      <c r="R24" s="1"/>
      <c r="S24" s="1"/>
      <c r="T24" s="1"/>
      <c r="U24" s="1"/>
      <c r="V24" s="1"/>
    </row>
    <row r="25" spans="1:22" ht="15.75" thickBot="1">
      <c r="A25" s="1"/>
      <c r="B25" s="1"/>
      <c r="C25" s="1"/>
      <c r="D25" s="1"/>
      <c r="E25" s="1"/>
      <c r="F25" s="1"/>
      <c r="G25" s="1"/>
      <c r="H25" s="1"/>
      <c r="I25" s="24"/>
      <c r="J25" s="24"/>
      <c r="K25" s="1"/>
      <c r="L25" s="1"/>
      <c r="M25" s="1"/>
      <c r="N25" s="1"/>
      <c r="O25" s="1"/>
      <c r="P25" s="1"/>
      <c r="Q25" s="1"/>
      <c r="R25" s="1"/>
      <c r="S25" s="1"/>
      <c r="T25" s="1"/>
      <c r="U25" s="1"/>
      <c r="V25" s="1"/>
    </row>
    <row r="26" spans="1:22" ht="15.75" thickBot="1">
      <c r="A26" s="1"/>
      <c r="B26" s="1819" t="s">
        <v>45</v>
      </c>
      <c r="C26" s="1805"/>
      <c r="D26" s="1820"/>
      <c r="E26" s="1821" t="s">
        <v>329</v>
      </c>
      <c r="F26" s="1805"/>
      <c r="G26" s="1820"/>
      <c r="H26" s="1821" t="s">
        <v>29</v>
      </c>
      <c r="I26" s="1805"/>
      <c r="J26" s="1820"/>
      <c r="K26" s="1821" t="s">
        <v>30</v>
      </c>
      <c r="L26" s="1820"/>
      <c r="M26" s="1821" t="s">
        <v>330</v>
      </c>
      <c r="N26" s="1820"/>
      <c r="O26" s="1821" t="s">
        <v>331</v>
      </c>
      <c r="P26" s="1822"/>
      <c r="Q26" s="1"/>
      <c r="R26" s="1"/>
      <c r="S26" s="1"/>
      <c r="T26" s="1"/>
      <c r="U26" s="1"/>
    </row>
    <row r="27" spans="1:22">
      <c r="A27" s="1"/>
      <c r="B27" s="1796"/>
      <c r="C27" s="1797"/>
      <c r="D27" s="1798"/>
      <c r="E27" s="1830"/>
      <c r="F27" s="1797"/>
      <c r="G27" s="1798"/>
      <c r="H27" s="1830"/>
      <c r="I27" s="1797"/>
      <c r="J27" s="1798"/>
      <c r="K27" s="1830"/>
      <c r="L27" s="1798"/>
      <c r="M27" s="1830"/>
      <c r="N27" s="1798"/>
      <c r="O27" s="1830"/>
      <c r="P27" s="1831"/>
      <c r="Q27" s="1"/>
      <c r="R27" s="1"/>
      <c r="S27" s="1"/>
      <c r="T27" s="1"/>
      <c r="U27" s="1"/>
    </row>
    <row r="28" spans="1:22">
      <c r="A28" s="1"/>
      <c r="B28" s="1704"/>
      <c r="C28" s="1705"/>
      <c r="D28" s="1706"/>
      <c r="E28" s="1815"/>
      <c r="F28" s="1705"/>
      <c r="G28" s="1706"/>
      <c r="H28" s="1815"/>
      <c r="I28" s="1705"/>
      <c r="J28" s="1706"/>
      <c r="K28" s="1815"/>
      <c r="L28" s="1706"/>
      <c r="M28" s="1815"/>
      <c r="N28" s="1706"/>
      <c r="O28" s="1815"/>
      <c r="P28" s="1807"/>
      <c r="Q28" s="1"/>
      <c r="R28" s="1"/>
      <c r="S28" s="1"/>
      <c r="T28" s="1"/>
      <c r="U28" s="1"/>
    </row>
    <row r="29" spans="1:22" ht="15.75" thickBot="1">
      <c r="A29" s="1"/>
      <c r="B29" s="1671"/>
      <c r="C29" s="1672"/>
      <c r="D29" s="1673"/>
      <c r="E29" s="1818"/>
      <c r="F29" s="1672"/>
      <c r="G29" s="1673"/>
      <c r="H29" s="1818"/>
      <c r="I29" s="1672"/>
      <c r="J29" s="1673"/>
      <c r="K29" s="1818"/>
      <c r="L29" s="1673"/>
      <c r="M29" s="1818"/>
      <c r="N29" s="1673"/>
      <c r="O29" s="1818"/>
      <c r="P29" s="1808"/>
      <c r="Q29" s="1"/>
      <c r="R29" s="1"/>
      <c r="S29" s="1"/>
      <c r="T29" s="1"/>
      <c r="U29" s="1"/>
    </row>
    <row r="30" spans="1:22">
      <c r="A30" s="1"/>
      <c r="B30" s="1"/>
      <c r="C30" s="1"/>
      <c r="D30" s="1"/>
      <c r="E30" s="1"/>
      <c r="F30" s="1"/>
      <c r="G30" s="1"/>
      <c r="H30" s="1"/>
      <c r="I30" s="24"/>
      <c r="J30" s="24"/>
      <c r="K30" s="1"/>
      <c r="L30" s="1"/>
      <c r="M30" s="1"/>
      <c r="N30" s="1"/>
      <c r="O30" s="1"/>
      <c r="P30" s="1"/>
      <c r="Q30" s="1"/>
      <c r="R30" s="1"/>
      <c r="S30" s="1"/>
      <c r="T30" s="1"/>
      <c r="U30" s="1"/>
      <c r="V30" s="1"/>
    </row>
    <row r="31" spans="1:22">
      <c r="A31" s="1"/>
      <c r="B31" s="8" t="s">
        <v>332</v>
      </c>
      <c r="C31" s="8"/>
      <c r="D31" s="1"/>
      <c r="E31" s="1"/>
      <c r="F31" s="1"/>
      <c r="G31" s="1"/>
      <c r="H31" s="1"/>
      <c r="I31" s="24"/>
      <c r="J31" s="24"/>
      <c r="K31" s="1"/>
      <c r="L31" s="1"/>
      <c r="M31" s="1"/>
      <c r="N31" s="1"/>
      <c r="O31" s="1"/>
      <c r="P31" s="1"/>
      <c r="Q31" s="1"/>
      <c r="R31" s="1"/>
      <c r="S31" s="1"/>
      <c r="T31" s="1"/>
      <c r="U31" s="1"/>
      <c r="V31" s="1"/>
    </row>
    <row r="32" spans="1:22" ht="15.75" thickBot="1">
      <c r="A32" s="1"/>
      <c r="B32" s="1"/>
      <c r="C32" s="1"/>
      <c r="D32" s="1"/>
      <c r="E32" s="1"/>
      <c r="F32" s="1"/>
      <c r="G32" s="1"/>
      <c r="H32" s="1"/>
      <c r="I32" s="24"/>
      <c r="J32" s="24"/>
      <c r="K32" s="1"/>
      <c r="L32" s="1"/>
      <c r="M32" s="1"/>
      <c r="N32" s="1"/>
      <c r="O32" s="1"/>
      <c r="P32" s="1"/>
      <c r="Q32" s="1"/>
      <c r="R32" s="1"/>
      <c r="S32" s="1"/>
      <c r="T32" s="1"/>
      <c r="U32" s="1"/>
      <c r="V32" s="1"/>
    </row>
    <row r="33" spans="1:22" ht="15.75" thickBot="1">
      <c r="A33" s="1"/>
      <c r="B33" s="1819" t="s">
        <v>333</v>
      </c>
      <c r="C33" s="1805"/>
      <c r="D33" s="1820"/>
      <c r="E33" s="1816" t="s">
        <v>115</v>
      </c>
      <c r="F33" s="1821"/>
      <c r="G33" s="1806"/>
      <c r="H33" s="123"/>
      <c r="I33" s="24"/>
      <c r="J33" s="24"/>
      <c r="K33" s="1"/>
      <c r="L33" s="1"/>
      <c r="M33" s="1"/>
      <c r="N33" s="1"/>
      <c r="O33" s="1"/>
      <c r="P33" s="1"/>
      <c r="Q33" s="1"/>
      <c r="R33" s="1"/>
      <c r="S33" s="1"/>
      <c r="T33" s="1"/>
      <c r="U33" s="1"/>
      <c r="V33" s="1"/>
    </row>
    <row r="34" spans="1:22">
      <c r="A34" s="1"/>
      <c r="B34" s="1796"/>
      <c r="C34" s="1797"/>
      <c r="D34" s="1798"/>
      <c r="E34" s="1769"/>
      <c r="F34" s="1830"/>
      <c r="G34" s="1770"/>
      <c r="H34" s="123"/>
      <c r="I34" s="24"/>
      <c r="J34" s="24"/>
      <c r="K34" s="1"/>
      <c r="L34" s="1"/>
      <c r="M34" s="1"/>
      <c r="N34" s="1"/>
      <c r="O34" s="1"/>
      <c r="P34" s="1"/>
      <c r="Q34" s="1"/>
      <c r="R34" s="1"/>
      <c r="S34" s="1"/>
      <c r="T34" s="1"/>
      <c r="U34" s="1"/>
      <c r="V34" s="1"/>
    </row>
    <row r="35" spans="1:22">
      <c r="A35" s="1"/>
      <c r="B35" s="1704"/>
      <c r="C35" s="1705"/>
      <c r="D35" s="1706"/>
      <c r="E35" s="1701"/>
      <c r="F35" s="1815"/>
      <c r="G35" s="1757"/>
      <c r="H35" s="123"/>
      <c r="I35" s="24"/>
      <c r="J35" s="24"/>
      <c r="K35" s="1"/>
      <c r="L35" s="1"/>
      <c r="M35" s="1"/>
      <c r="N35" s="1"/>
      <c r="O35" s="1"/>
      <c r="P35" s="1"/>
      <c r="Q35" s="1"/>
      <c r="R35" s="1"/>
      <c r="S35" s="1"/>
      <c r="T35" s="1"/>
      <c r="U35" s="1"/>
      <c r="V35" s="1"/>
    </row>
    <row r="36" spans="1:22" ht="15.75" thickBot="1">
      <c r="A36" s="1"/>
      <c r="B36" s="1671"/>
      <c r="C36" s="1672"/>
      <c r="D36" s="1673"/>
      <c r="E36" s="1749"/>
      <c r="F36" s="1818"/>
      <c r="G36" s="1750"/>
      <c r="H36" s="123"/>
      <c r="I36" s="24"/>
      <c r="J36" s="24"/>
      <c r="K36" s="1"/>
      <c r="L36" s="1"/>
      <c r="M36" s="1"/>
      <c r="N36" s="1"/>
      <c r="O36" s="1"/>
      <c r="P36" s="1"/>
      <c r="Q36" s="1"/>
      <c r="R36" s="1"/>
      <c r="S36" s="1"/>
      <c r="T36" s="1"/>
      <c r="U36" s="1"/>
      <c r="V36" s="1"/>
    </row>
    <row r="37" spans="1:22">
      <c r="A37" s="1"/>
      <c r="B37" s="1"/>
      <c r="C37" s="1"/>
      <c r="D37" s="1"/>
      <c r="E37" s="1"/>
      <c r="F37" s="1"/>
      <c r="G37" s="1"/>
      <c r="H37" s="1"/>
      <c r="I37" s="24"/>
      <c r="J37" s="24"/>
      <c r="K37" s="1"/>
      <c r="L37" s="1"/>
      <c r="M37" s="1"/>
      <c r="N37" s="1"/>
      <c r="O37" s="1"/>
      <c r="P37" s="1"/>
      <c r="Q37" s="1"/>
      <c r="R37" s="1"/>
      <c r="S37" s="1"/>
      <c r="T37" s="1"/>
      <c r="U37" s="1"/>
      <c r="V37" s="1"/>
    </row>
    <row r="38" spans="1:22">
      <c r="A38" s="1"/>
      <c r="B38" s="8" t="s">
        <v>322</v>
      </c>
      <c r="C38" s="8"/>
      <c r="D38" s="1"/>
      <c r="E38" s="1"/>
      <c r="F38" s="1"/>
      <c r="G38" s="1"/>
      <c r="H38" s="1"/>
      <c r="I38" s="24"/>
      <c r="J38" s="24"/>
      <c r="K38" s="1"/>
      <c r="L38" s="1"/>
      <c r="M38" s="1"/>
      <c r="N38" s="1"/>
      <c r="O38" s="1"/>
      <c r="P38" s="1"/>
      <c r="Q38" s="1"/>
      <c r="R38" s="1"/>
      <c r="S38" s="1"/>
      <c r="T38" s="1"/>
      <c r="U38" s="1"/>
      <c r="V38" s="1"/>
    </row>
    <row r="39" spans="1:22" ht="15.75" thickBot="1">
      <c r="A39" s="1"/>
      <c r="B39" s="1"/>
      <c r="C39" s="1"/>
      <c r="D39" s="1"/>
      <c r="E39" s="1"/>
      <c r="F39" s="1"/>
      <c r="G39" s="1"/>
      <c r="H39" s="1"/>
      <c r="I39" s="24"/>
      <c r="J39" s="24"/>
      <c r="K39" s="1"/>
      <c r="L39" s="1"/>
      <c r="M39" s="1"/>
      <c r="N39" s="1"/>
      <c r="O39" s="1"/>
      <c r="P39" s="1"/>
      <c r="Q39" s="1"/>
      <c r="R39" s="1"/>
      <c r="S39" s="1"/>
      <c r="T39" s="1"/>
      <c r="U39" s="1"/>
      <c r="V39" s="1"/>
    </row>
    <row r="40" spans="1:22">
      <c r="A40" s="1"/>
      <c r="B40" s="1" t="s">
        <v>323</v>
      </c>
      <c r="C40" s="1"/>
      <c r="D40" s="1"/>
      <c r="E40" s="1781"/>
      <c r="F40" s="1858"/>
      <c r="G40" s="1783"/>
      <c r="H40" s="60"/>
      <c r="I40" s="24"/>
      <c r="J40" s="24"/>
      <c r="K40" s="1"/>
      <c r="L40" s="1"/>
      <c r="M40" s="1"/>
      <c r="N40" s="1"/>
      <c r="O40" s="1"/>
      <c r="P40" s="1"/>
      <c r="Q40" s="1"/>
      <c r="R40" s="1"/>
      <c r="S40" s="1"/>
      <c r="T40" s="1"/>
      <c r="U40" s="1"/>
      <c r="V40" s="1"/>
    </row>
    <row r="41" spans="1:22" ht="15.75" thickBot="1">
      <c r="A41" s="1"/>
      <c r="B41" s="1" t="s">
        <v>262</v>
      </c>
      <c r="C41" s="1"/>
      <c r="D41" s="1"/>
      <c r="E41" s="1759"/>
      <c r="F41" s="1836"/>
      <c r="G41" s="1780"/>
      <c r="H41" s="60"/>
      <c r="I41" s="24"/>
      <c r="J41" s="24"/>
      <c r="K41" s="1"/>
      <c r="L41" s="1"/>
      <c r="M41" s="1"/>
      <c r="N41" s="1"/>
      <c r="O41" s="1"/>
      <c r="P41" s="1"/>
      <c r="Q41" s="1"/>
      <c r="R41" s="1"/>
      <c r="S41" s="1"/>
      <c r="T41" s="1"/>
      <c r="U41" s="1"/>
      <c r="V41" s="1"/>
    </row>
    <row r="42" spans="1:22">
      <c r="A42" s="1"/>
      <c r="B42" s="1"/>
      <c r="C42" s="1"/>
      <c r="D42" s="1"/>
      <c r="E42" s="1"/>
      <c r="F42" s="1"/>
      <c r="G42" s="1"/>
      <c r="H42" s="1"/>
      <c r="I42" s="24"/>
      <c r="J42" s="24"/>
      <c r="K42" s="1"/>
      <c r="L42" s="1"/>
      <c r="M42" s="1"/>
      <c r="N42" s="1"/>
      <c r="O42" s="1"/>
      <c r="P42" s="1"/>
      <c r="Q42" s="1"/>
      <c r="R42" s="1"/>
      <c r="S42" s="1"/>
      <c r="T42" s="1"/>
      <c r="U42" s="1"/>
      <c r="V42" s="1"/>
    </row>
    <row r="43" spans="1:22">
      <c r="A43" s="1"/>
      <c r="B43" s="8" t="s">
        <v>315</v>
      </c>
      <c r="C43" s="8"/>
      <c r="D43" s="1"/>
      <c r="E43" s="1"/>
      <c r="F43" s="1"/>
      <c r="G43" s="1"/>
      <c r="H43" s="1"/>
      <c r="I43" s="24"/>
      <c r="J43" s="24"/>
      <c r="K43" s="1"/>
      <c r="L43" s="1"/>
      <c r="M43" s="1"/>
      <c r="N43" s="1"/>
      <c r="O43" s="1"/>
      <c r="P43" s="1"/>
      <c r="Q43" s="1"/>
      <c r="R43" s="1"/>
      <c r="S43" s="1"/>
      <c r="T43" s="1"/>
      <c r="U43" s="1"/>
      <c r="V43" s="1"/>
    </row>
    <row r="44" spans="1:22" ht="15.75" thickBot="1">
      <c r="A44" s="1"/>
      <c r="B44" s="1"/>
      <c r="C44" s="1"/>
      <c r="D44" s="1"/>
      <c r="E44" s="1"/>
      <c r="F44" s="1"/>
      <c r="G44" s="1"/>
      <c r="H44" s="1"/>
      <c r="I44" s="24"/>
      <c r="J44" s="24"/>
      <c r="K44" s="1"/>
      <c r="L44" s="1"/>
      <c r="M44" s="1"/>
      <c r="N44" s="1"/>
      <c r="O44" s="1"/>
      <c r="P44" s="1"/>
      <c r="Q44" s="1"/>
      <c r="R44" s="1"/>
      <c r="S44" s="1"/>
      <c r="T44" s="1"/>
      <c r="U44" s="1"/>
      <c r="V44" s="1"/>
    </row>
    <row r="45" spans="1:22">
      <c r="A45" s="1"/>
      <c r="B45" s="1" t="s">
        <v>316</v>
      </c>
      <c r="C45" s="1"/>
      <c r="D45" s="1"/>
      <c r="E45" s="1781"/>
      <c r="F45" s="1858"/>
      <c r="G45" s="1783"/>
      <c r="H45" s="60"/>
      <c r="I45" s="24"/>
      <c r="J45" s="24"/>
      <c r="K45" s="1"/>
      <c r="L45" s="1"/>
      <c r="M45" s="1"/>
      <c r="N45" s="1"/>
      <c r="O45" s="1"/>
      <c r="P45" s="1"/>
      <c r="Q45" s="1"/>
      <c r="R45" s="1"/>
      <c r="S45" s="1"/>
      <c r="T45" s="1"/>
      <c r="U45" s="1"/>
      <c r="V45" s="1"/>
    </row>
    <row r="46" spans="1:22" ht="15.75" thickBot="1">
      <c r="A46" s="1"/>
      <c r="B46" s="1" t="s">
        <v>317</v>
      </c>
      <c r="C46" s="1"/>
      <c r="D46" s="1"/>
      <c r="E46" s="1759"/>
      <c r="F46" s="1836"/>
      <c r="G46" s="1780"/>
      <c r="H46" s="60"/>
      <c r="I46" s="24"/>
      <c r="J46" s="24"/>
      <c r="K46" s="1"/>
      <c r="L46" s="1"/>
      <c r="M46" s="1"/>
      <c r="N46" s="1"/>
      <c r="O46" s="1"/>
      <c r="P46" s="1"/>
      <c r="Q46" s="1"/>
      <c r="R46" s="1"/>
      <c r="S46" s="1"/>
      <c r="T46" s="1"/>
      <c r="U46" s="1"/>
      <c r="V46" s="1"/>
    </row>
    <row r="47" spans="1:22">
      <c r="A47" s="1"/>
      <c r="B47" s="1"/>
      <c r="C47" s="1"/>
      <c r="D47" s="1"/>
      <c r="E47" s="1"/>
      <c r="F47" s="1"/>
      <c r="G47" s="1"/>
      <c r="H47" s="1"/>
      <c r="I47" s="24"/>
      <c r="J47" s="24"/>
      <c r="K47" s="1"/>
      <c r="L47" s="1"/>
      <c r="M47" s="1"/>
      <c r="N47" s="1"/>
      <c r="O47" s="1"/>
      <c r="P47" s="1"/>
      <c r="Q47" s="1"/>
      <c r="R47" s="1"/>
      <c r="S47" s="1"/>
      <c r="T47" s="1"/>
      <c r="U47" s="1"/>
      <c r="V47" s="1"/>
    </row>
    <row r="48" spans="1:22">
      <c r="A48" s="1"/>
      <c r="B48" s="8" t="s">
        <v>328</v>
      </c>
      <c r="C48" s="8"/>
      <c r="D48" s="1"/>
      <c r="E48" s="1"/>
      <c r="F48" s="1"/>
      <c r="G48" s="1"/>
      <c r="H48" s="1"/>
      <c r="I48" s="24"/>
      <c r="J48" s="24"/>
      <c r="K48" s="1"/>
      <c r="L48" s="1"/>
      <c r="M48" s="1"/>
      <c r="N48" s="1"/>
      <c r="O48" s="1"/>
      <c r="P48" s="1"/>
      <c r="Q48" s="1"/>
      <c r="R48" s="1"/>
      <c r="S48" s="1"/>
      <c r="T48" s="1"/>
      <c r="U48" s="1"/>
      <c r="V48" s="1"/>
    </row>
    <row r="49" spans="1:22" ht="15.75" thickBot="1">
      <c r="A49" s="1"/>
      <c r="B49" s="1"/>
      <c r="C49" s="1"/>
      <c r="D49" s="1"/>
      <c r="E49" s="1"/>
      <c r="F49" s="1"/>
      <c r="G49" s="1"/>
      <c r="H49" s="1"/>
      <c r="I49" s="24"/>
      <c r="J49" s="24"/>
      <c r="K49" s="1"/>
      <c r="L49" s="1"/>
      <c r="M49" s="1"/>
      <c r="N49" s="1"/>
      <c r="O49" s="1"/>
      <c r="P49" s="1"/>
      <c r="Q49" s="1"/>
      <c r="R49" s="1"/>
      <c r="S49" s="1"/>
      <c r="T49" s="1"/>
      <c r="U49" s="1"/>
      <c r="V49" s="1"/>
    </row>
    <row r="50" spans="1:22" ht="15.75" thickBot="1">
      <c r="A50" s="1"/>
      <c r="B50" s="1" t="s">
        <v>328</v>
      </c>
      <c r="C50" s="1"/>
      <c r="D50" s="1"/>
      <c r="E50" s="1828"/>
      <c r="F50" s="1827"/>
      <c r="G50" s="1829"/>
      <c r="H50" s="60"/>
      <c r="I50" s="24"/>
      <c r="J50" s="24"/>
      <c r="K50" s="1"/>
      <c r="L50" s="1"/>
      <c r="M50" s="1"/>
      <c r="N50" s="1"/>
      <c r="O50" s="1"/>
      <c r="P50" s="1"/>
      <c r="Q50" s="1"/>
      <c r="R50" s="1"/>
      <c r="S50" s="1"/>
      <c r="T50" s="1"/>
      <c r="U50" s="1"/>
      <c r="V50" s="1"/>
    </row>
    <row r="51" spans="1:22">
      <c r="A51" s="1"/>
      <c r="B51" s="1"/>
      <c r="C51" s="1"/>
      <c r="D51" s="1"/>
      <c r="E51" s="1"/>
      <c r="F51" s="1"/>
      <c r="G51" s="1"/>
      <c r="H51" s="1"/>
      <c r="I51" s="24"/>
      <c r="J51" s="24"/>
      <c r="K51" s="1"/>
      <c r="L51" s="1"/>
      <c r="M51" s="1"/>
      <c r="N51" s="1"/>
      <c r="O51" s="1"/>
      <c r="P51" s="1"/>
      <c r="Q51" s="1"/>
      <c r="R51" s="1"/>
      <c r="S51" s="1"/>
      <c r="T51" s="1"/>
      <c r="U51" s="1"/>
      <c r="V51" s="1"/>
    </row>
    <row r="52" spans="1:22">
      <c r="A52" s="1"/>
      <c r="B52" s="1"/>
      <c r="C52" s="1"/>
      <c r="D52" s="1"/>
      <c r="E52" s="1"/>
      <c r="F52" s="1"/>
      <c r="G52" s="1"/>
      <c r="H52" s="1"/>
      <c r="I52" s="24"/>
      <c r="J52" s="24"/>
      <c r="K52" s="1"/>
      <c r="L52" s="1"/>
      <c r="M52" s="1"/>
      <c r="N52" s="1"/>
      <c r="O52" s="1"/>
      <c r="P52" s="1"/>
      <c r="Q52" s="1"/>
      <c r="R52" s="1"/>
      <c r="S52" s="1"/>
      <c r="T52" s="1"/>
      <c r="U52" s="1"/>
      <c r="V52" s="1"/>
    </row>
    <row r="53" spans="1:22">
      <c r="A53" s="8" t="s">
        <v>387</v>
      </c>
      <c r="B53" s="8" t="s">
        <v>334</v>
      </c>
      <c r="C53" s="8"/>
      <c r="D53" s="1"/>
      <c r="E53" s="1"/>
      <c r="F53" s="1"/>
      <c r="G53" s="1"/>
      <c r="H53" s="1"/>
      <c r="I53" s="24"/>
      <c r="J53" s="24"/>
      <c r="K53" s="1"/>
      <c r="L53" s="1"/>
      <c r="M53" s="1"/>
      <c r="N53" s="1"/>
      <c r="O53" s="1"/>
      <c r="P53" s="1"/>
      <c r="Q53" s="1"/>
      <c r="R53" s="1"/>
      <c r="S53" s="1"/>
      <c r="T53" s="1"/>
      <c r="U53" s="1"/>
      <c r="V53" s="1"/>
    </row>
    <row r="54" spans="1:22" ht="15.75" thickBot="1">
      <c r="A54" s="1"/>
      <c r="B54" s="1"/>
      <c r="C54" s="1"/>
      <c r="D54" s="1"/>
      <c r="E54" s="1"/>
      <c r="F54" s="1"/>
      <c r="G54" s="1"/>
      <c r="H54" s="1"/>
      <c r="I54" s="24"/>
      <c r="J54" s="24"/>
      <c r="K54" s="1"/>
      <c r="L54" s="1"/>
      <c r="M54" s="1"/>
      <c r="N54" s="1"/>
      <c r="O54" s="1"/>
      <c r="P54" s="1"/>
      <c r="Q54" s="1"/>
      <c r="R54" s="1"/>
      <c r="S54" s="1"/>
      <c r="T54" s="1"/>
      <c r="U54" s="1"/>
      <c r="V54" s="1"/>
    </row>
    <row r="55" spans="1:22" ht="15.75" thickBot="1">
      <c r="A55" s="1"/>
      <c r="B55" s="1804" t="s">
        <v>45</v>
      </c>
      <c r="C55" s="1820"/>
      <c r="D55" s="1816"/>
      <c r="E55" s="134" t="s">
        <v>23</v>
      </c>
      <c r="F55" s="135"/>
      <c r="G55" s="134" t="s">
        <v>24</v>
      </c>
      <c r="H55" s="135"/>
      <c r="I55" s="34" t="s">
        <v>335</v>
      </c>
      <c r="J55" s="35" t="s">
        <v>336</v>
      </c>
      <c r="K55" s="35" t="s">
        <v>337</v>
      </c>
      <c r="L55" s="1821" t="s">
        <v>318</v>
      </c>
      <c r="M55" s="1820"/>
      <c r="N55" s="1821" t="s">
        <v>338</v>
      </c>
      <c r="O55" s="1820"/>
      <c r="P55" s="1821" t="s">
        <v>339</v>
      </c>
      <c r="Q55" s="1822"/>
      <c r="R55" s="1"/>
      <c r="S55" s="1"/>
      <c r="T55" s="1"/>
      <c r="U55" s="1"/>
    </row>
    <row r="56" spans="1:22">
      <c r="A56" s="1"/>
      <c r="B56" s="1846"/>
      <c r="C56" s="1798"/>
      <c r="D56" s="1769"/>
      <c r="E56" s="36"/>
      <c r="F56" s="37"/>
      <c r="G56" s="36"/>
      <c r="H56" s="37"/>
      <c r="I56" s="38"/>
      <c r="J56" s="39"/>
      <c r="K56" s="39"/>
      <c r="L56" s="1830"/>
      <c r="M56" s="1798"/>
      <c r="N56" s="1694"/>
      <c r="O56" s="1825"/>
      <c r="P56" s="1830"/>
      <c r="Q56" s="1831"/>
      <c r="R56" s="1"/>
      <c r="S56" s="1"/>
      <c r="T56" s="1"/>
      <c r="U56" s="1"/>
    </row>
    <row r="57" spans="1:22">
      <c r="A57" s="1"/>
      <c r="B57" s="1700"/>
      <c r="C57" s="1706"/>
      <c r="D57" s="1701"/>
      <c r="E57" s="40"/>
      <c r="F57" s="41"/>
      <c r="G57" s="40"/>
      <c r="H57" s="41"/>
      <c r="I57" s="42"/>
      <c r="J57" s="27"/>
      <c r="K57" s="27"/>
      <c r="L57" s="1815"/>
      <c r="M57" s="1706"/>
      <c r="N57" s="1815"/>
      <c r="O57" s="1706"/>
      <c r="P57" s="1815"/>
      <c r="Q57" s="1807"/>
      <c r="R57" s="1"/>
      <c r="S57" s="1"/>
      <c r="T57" s="1"/>
      <c r="U57" s="1"/>
    </row>
    <row r="58" spans="1:22">
      <c r="A58" s="1"/>
      <c r="B58" s="1700"/>
      <c r="C58" s="1706"/>
      <c r="D58" s="1701"/>
      <c r="E58" s="40"/>
      <c r="F58" s="41"/>
      <c r="G58" s="40"/>
      <c r="H58" s="41"/>
      <c r="I58" s="42"/>
      <c r="J58" s="27"/>
      <c r="K58" s="27"/>
      <c r="L58" s="1815"/>
      <c r="M58" s="1706"/>
      <c r="N58" s="1815"/>
      <c r="O58" s="1706"/>
      <c r="P58" s="1815"/>
      <c r="Q58" s="1807"/>
      <c r="R58" s="1"/>
      <c r="S58" s="1"/>
      <c r="T58" s="1"/>
      <c r="U58" s="1"/>
    </row>
    <row r="59" spans="1:22" ht="15.75" thickBot="1">
      <c r="A59" s="1"/>
      <c r="B59" s="1803"/>
      <c r="C59" s="1673"/>
      <c r="D59" s="1749"/>
      <c r="E59" s="43"/>
      <c r="F59" s="44"/>
      <c r="G59" s="43"/>
      <c r="H59" s="44"/>
      <c r="I59" s="45"/>
      <c r="J59" s="46"/>
      <c r="K59" s="46"/>
      <c r="L59" s="1818"/>
      <c r="M59" s="1673"/>
      <c r="N59" s="1761"/>
      <c r="O59" s="1762"/>
      <c r="P59" s="1818"/>
      <c r="Q59" s="1808"/>
      <c r="R59" s="1"/>
      <c r="S59" s="1"/>
      <c r="T59" s="1"/>
      <c r="U59" s="1"/>
    </row>
    <row r="60" spans="1:22">
      <c r="A60" s="1"/>
      <c r="B60" s="1"/>
      <c r="C60" s="1"/>
      <c r="D60" s="1"/>
      <c r="E60" s="1"/>
      <c r="F60" s="1"/>
      <c r="G60" s="1"/>
      <c r="H60" s="1"/>
      <c r="I60" s="24"/>
      <c r="J60" s="24"/>
      <c r="K60" s="1"/>
      <c r="L60" s="1"/>
      <c r="M60" s="1"/>
      <c r="N60" s="1"/>
      <c r="O60" s="1"/>
      <c r="P60" s="1"/>
      <c r="Q60" s="1"/>
      <c r="R60" s="1"/>
      <c r="S60" s="1"/>
      <c r="T60" s="1"/>
      <c r="U60" s="1"/>
      <c r="V60" s="1"/>
    </row>
    <row r="61" spans="1:22">
      <c r="A61" s="8" t="s">
        <v>388</v>
      </c>
      <c r="B61" s="8" t="s">
        <v>340</v>
      </c>
      <c r="C61" s="8"/>
      <c r="D61" s="1"/>
      <c r="E61" s="1"/>
      <c r="F61" s="1"/>
      <c r="G61" s="1"/>
      <c r="H61" s="1"/>
      <c r="I61" s="24"/>
      <c r="J61" s="24"/>
      <c r="K61" s="1"/>
      <c r="L61" s="1"/>
      <c r="M61" s="1"/>
      <c r="N61" s="1"/>
      <c r="O61" s="1"/>
      <c r="P61" s="1"/>
      <c r="Q61" s="1"/>
      <c r="R61" s="1"/>
      <c r="S61" s="1"/>
      <c r="T61" s="1"/>
      <c r="U61" s="1"/>
      <c r="V61" s="1"/>
    </row>
    <row r="62" spans="1:22" ht="15.75" thickBot="1">
      <c r="A62" s="1"/>
      <c r="B62" s="1"/>
      <c r="C62" s="1"/>
      <c r="D62" s="1"/>
      <c r="E62" s="1"/>
      <c r="F62" s="1"/>
      <c r="G62" s="1"/>
      <c r="H62" s="1"/>
      <c r="I62" s="24"/>
      <c r="J62" s="24"/>
      <c r="K62" s="1"/>
      <c r="L62" s="1"/>
      <c r="M62" s="1"/>
      <c r="N62" s="1"/>
      <c r="O62" s="1"/>
      <c r="P62" s="1"/>
      <c r="Q62" s="1"/>
      <c r="R62" s="1"/>
      <c r="S62" s="1"/>
      <c r="T62" s="1"/>
      <c r="U62" s="1"/>
      <c r="V62" s="1"/>
    </row>
    <row r="63" spans="1:22" ht="15.75" thickBot="1">
      <c r="A63" s="1"/>
      <c r="B63" s="1819" t="s">
        <v>23</v>
      </c>
      <c r="C63" s="1805"/>
      <c r="D63" s="1820"/>
      <c r="E63" s="1821" t="s">
        <v>24</v>
      </c>
      <c r="F63" s="1805"/>
      <c r="G63" s="134" t="s">
        <v>346</v>
      </c>
      <c r="H63" s="135"/>
      <c r="I63" s="1821" t="s">
        <v>318</v>
      </c>
      <c r="J63" s="1820"/>
      <c r="K63" s="1821" t="s">
        <v>26</v>
      </c>
      <c r="L63" s="1820"/>
      <c r="M63" s="1821" t="s">
        <v>115</v>
      </c>
      <c r="N63" s="1822"/>
      <c r="O63" s="1"/>
      <c r="P63" s="1"/>
      <c r="Q63" s="1"/>
      <c r="R63" s="1"/>
      <c r="S63" s="1"/>
      <c r="T63" s="1"/>
    </row>
    <row r="64" spans="1:22">
      <c r="A64" s="1"/>
      <c r="B64" s="1846"/>
      <c r="C64" s="1798"/>
      <c r="D64" s="1769"/>
      <c r="E64" s="107"/>
      <c r="F64" s="116"/>
      <c r="G64" s="36"/>
      <c r="H64" s="37"/>
      <c r="I64" s="1830"/>
      <c r="J64" s="1798"/>
      <c r="K64" s="1830"/>
      <c r="L64" s="1798"/>
      <c r="M64" s="1768"/>
      <c r="N64" s="1826"/>
      <c r="O64" s="1"/>
      <c r="P64" s="1"/>
      <c r="Q64" s="1"/>
      <c r="R64" s="1"/>
      <c r="S64" s="1"/>
      <c r="T64" s="1"/>
    </row>
    <row r="65" spans="1:22">
      <c r="A65" s="1"/>
      <c r="B65" s="1700"/>
      <c r="C65" s="1706"/>
      <c r="D65" s="1701"/>
      <c r="E65" s="105"/>
      <c r="F65" s="114"/>
      <c r="G65" s="40"/>
      <c r="H65" s="41"/>
      <c r="I65" s="1815"/>
      <c r="J65" s="1706"/>
      <c r="K65" s="1815"/>
      <c r="L65" s="1706"/>
      <c r="M65" s="1764"/>
      <c r="N65" s="1779"/>
      <c r="O65" s="1"/>
      <c r="P65" s="1"/>
      <c r="Q65" s="1"/>
      <c r="R65" s="1"/>
      <c r="S65" s="1"/>
      <c r="T65" s="1"/>
    </row>
    <row r="66" spans="1:22">
      <c r="A66" s="1"/>
      <c r="B66" s="1700"/>
      <c r="C66" s="1706"/>
      <c r="D66" s="1701"/>
      <c r="E66" s="105"/>
      <c r="F66" s="114"/>
      <c r="G66" s="40"/>
      <c r="H66" s="41"/>
      <c r="I66" s="1815"/>
      <c r="J66" s="1706"/>
      <c r="K66" s="1815"/>
      <c r="L66" s="1706"/>
      <c r="M66" s="1764"/>
      <c r="N66" s="1779"/>
      <c r="O66" s="1"/>
      <c r="P66" s="1"/>
      <c r="Q66" s="1"/>
      <c r="R66" s="1"/>
      <c r="S66" s="1"/>
      <c r="T66" s="1"/>
    </row>
    <row r="67" spans="1:22">
      <c r="A67" s="1"/>
      <c r="B67" s="1700"/>
      <c r="C67" s="1706"/>
      <c r="D67" s="1701"/>
      <c r="E67" s="105"/>
      <c r="F67" s="114"/>
      <c r="G67" s="40"/>
      <c r="H67" s="41"/>
      <c r="I67" s="1815"/>
      <c r="J67" s="1706"/>
      <c r="K67" s="1815"/>
      <c r="L67" s="1706"/>
      <c r="M67" s="1764"/>
      <c r="N67" s="1779"/>
      <c r="O67" s="1"/>
      <c r="P67" s="1"/>
      <c r="Q67" s="1"/>
      <c r="R67" s="1"/>
      <c r="S67" s="1"/>
      <c r="T67" s="1"/>
    </row>
    <row r="68" spans="1:22">
      <c r="A68" s="1"/>
      <c r="B68" s="1700"/>
      <c r="C68" s="1706"/>
      <c r="D68" s="1701"/>
      <c r="E68" s="105"/>
      <c r="F68" s="114"/>
      <c r="G68" s="40"/>
      <c r="H68" s="41"/>
      <c r="I68" s="1815"/>
      <c r="J68" s="1706"/>
      <c r="K68" s="1815"/>
      <c r="L68" s="1706"/>
      <c r="M68" s="1764"/>
      <c r="N68" s="1779"/>
      <c r="O68" s="1"/>
      <c r="P68" s="1"/>
      <c r="Q68" s="1"/>
      <c r="R68" s="1"/>
      <c r="S68" s="1"/>
      <c r="T68" s="1"/>
    </row>
    <row r="69" spans="1:22" ht="15.75" thickBot="1">
      <c r="A69" s="1"/>
      <c r="B69" s="1803"/>
      <c r="C69" s="1673"/>
      <c r="D69" s="1749"/>
      <c r="E69" s="106"/>
      <c r="F69" s="115"/>
      <c r="G69" s="43"/>
      <c r="H69" s="44"/>
      <c r="I69" s="1818"/>
      <c r="J69" s="1673"/>
      <c r="K69" s="1818"/>
      <c r="L69" s="1673"/>
      <c r="M69" s="1760"/>
      <c r="N69" s="1780"/>
      <c r="O69" s="1"/>
      <c r="P69" s="1"/>
      <c r="Q69" s="1"/>
      <c r="R69" s="1"/>
      <c r="S69" s="1"/>
      <c r="T69" s="1"/>
    </row>
    <row r="70" spans="1:22">
      <c r="A70" s="1"/>
      <c r="B70" s="1"/>
      <c r="C70" s="1"/>
      <c r="D70" s="1"/>
      <c r="E70" s="1"/>
      <c r="F70" s="1"/>
      <c r="G70" s="1"/>
      <c r="H70" s="1"/>
      <c r="I70" s="24"/>
      <c r="J70" s="24"/>
      <c r="K70" s="1"/>
      <c r="L70" s="1"/>
      <c r="M70" s="1"/>
      <c r="N70" s="1"/>
      <c r="O70" s="1"/>
      <c r="P70" s="1"/>
      <c r="Q70" s="1"/>
      <c r="R70" s="1"/>
      <c r="S70" s="1"/>
      <c r="T70" s="1"/>
      <c r="U70" s="1"/>
      <c r="V70" s="1"/>
    </row>
    <row r="71" spans="1:22">
      <c r="A71" s="1"/>
      <c r="B71" s="8" t="s">
        <v>342</v>
      </c>
      <c r="C71" s="8"/>
      <c r="D71" s="1"/>
      <c r="E71" s="1"/>
      <c r="F71" s="1"/>
      <c r="G71" s="1"/>
      <c r="H71" s="1"/>
      <c r="I71" s="24"/>
      <c r="J71" s="24"/>
      <c r="K71" s="1"/>
      <c r="L71" s="1"/>
      <c r="M71" s="1"/>
      <c r="N71" s="1"/>
      <c r="O71" s="1"/>
      <c r="P71" s="1"/>
      <c r="Q71" s="1"/>
      <c r="R71" s="1"/>
      <c r="S71" s="1"/>
      <c r="T71" s="1"/>
      <c r="U71" s="1"/>
      <c r="V71" s="1"/>
    </row>
    <row r="72" spans="1:22" ht="15.75" thickBot="1">
      <c r="A72" s="1"/>
      <c r="B72" s="1"/>
      <c r="C72" s="1"/>
      <c r="D72" s="1"/>
      <c r="E72" s="1"/>
      <c r="F72" s="1"/>
      <c r="G72" s="1"/>
      <c r="H72" s="1"/>
      <c r="I72" s="24"/>
      <c r="J72" s="24"/>
      <c r="K72" s="1"/>
      <c r="L72" s="1"/>
      <c r="M72" s="1"/>
      <c r="N72" s="1"/>
      <c r="O72" s="1"/>
      <c r="P72" s="1"/>
      <c r="Q72" s="1"/>
      <c r="R72" s="1"/>
      <c r="S72" s="1"/>
      <c r="T72" s="1"/>
      <c r="U72" s="1"/>
      <c r="V72" s="1"/>
    </row>
    <row r="73" spans="1:22" ht="15.75" thickBot="1">
      <c r="A73" s="1"/>
      <c r="B73" s="1819" t="s">
        <v>306</v>
      </c>
      <c r="C73" s="1805"/>
      <c r="D73" s="1820"/>
      <c r="E73" s="134" t="s">
        <v>23</v>
      </c>
      <c r="F73" s="135"/>
      <c r="G73" s="134" t="s">
        <v>24</v>
      </c>
      <c r="H73" s="135"/>
      <c r="I73" s="1821" t="s">
        <v>115</v>
      </c>
      <c r="J73" s="1822"/>
      <c r="K73" s="1"/>
      <c r="L73" s="1"/>
      <c r="M73" s="1"/>
      <c r="N73" s="1"/>
      <c r="O73" s="1"/>
      <c r="P73" s="1"/>
      <c r="Q73" s="1"/>
      <c r="R73" s="1"/>
      <c r="S73" s="1"/>
      <c r="T73" s="1"/>
    </row>
    <row r="74" spans="1:22">
      <c r="A74" s="1"/>
      <c r="B74" s="1846"/>
      <c r="C74" s="1798"/>
      <c r="D74" s="1769"/>
      <c r="E74" s="36"/>
      <c r="F74" s="37"/>
      <c r="G74" s="36"/>
      <c r="H74" s="37"/>
      <c r="I74" s="1830"/>
      <c r="J74" s="1831"/>
      <c r="K74" s="1"/>
      <c r="L74" s="1"/>
      <c r="M74" s="1"/>
      <c r="N74" s="1"/>
      <c r="O74" s="1"/>
      <c r="P74" s="1"/>
      <c r="Q74" s="1"/>
      <c r="R74" s="1"/>
      <c r="S74" s="1"/>
      <c r="T74" s="1"/>
    </row>
    <row r="75" spans="1:22">
      <c r="A75" s="1"/>
      <c r="B75" s="1700"/>
      <c r="C75" s="1706"/>
      <c r="D75" s="1701"/>
      <c r="E75" s="40"/>
      <c r="F75" s="41"/>
      <c r="G75" s="40"/>
      <c r="H75" s="41"/>
      <c r="I75" s="1815"/>
      <c r="J75" s="1807"/>
      <c r="K75" s="1"/>
      <c r="L75" s="1"/>
      <c r="M75" s="1"/>
      <c r="N75" s="1"/>
      <c r="O75" s="1"/>
      <c r="P75" s="1"/>
      <c r="Q75" s="1"/>
      <c r="R75" s="1"/>
      <c r="S75" s="1"/>
      <c r="T75" s="1"/>
    </row>
    <row r="76" spans="1:22">
      <c r="A76" s="1"/>
      <c r="B76" s="1700"/>
      <c r="C76" s="1706"/>
      <c r="D76" s="1701"/>
      <c r="E76" s="40"/>
      <c r="F76" s="41"/>
      <c r="G76" s="40"/>
      <c r="H76" s="41"/>
      <c r="I76" s="1815"/>
      <c r="J76" s="1807"/>
      <c r="K76" s="1"/>
      <c r="L76" s="1"/>
      <c r="M76" s="1"/>
      <c r="N76" s="1"/>
      <c r="O76" s="1"/>
      <c r="P76" s="1"/>
      <c r="Q76" s="1"/>
      <c r="R76" s="1"/>
      <c r="S76" s="1"/>
      <c r="T76" s="1"/>
    </row>
    <row r="77" spans="1:22">
      <c r="A77" s="1"/>
      <c r="B77" s="1700"/>
      <c r="C77" s="1706"/>
      <c r="D77" s="1701"/>
      <c r="E77" s="40"/>
      <c r="F77" s="41"/>
      <c r="G77" s="40"/>
      <c r="H77" s="41"/>
      <c r="I77" s="1815"/>
      <c r="J77" s="1807"/>
      <c r="K77" s="1"/>
      <c r="L77" s="1"/>
      <c r="M77" s="1"/>
      <c r="N77" s="1"/>
      <c r="O77" s="1"/>
      <c r="P77" s="1"/>
      <c r="Q77" s="1"/>
      <c r="R77" s="1"/>
      <c r="S77" s="1"/>
      <c r="T77" s="1"/>
    </row>
    <row r="78" spans="1:22">
      <c r="A78" s="1"/>
      <c r="B78" s="1700"/>
      <c r="C78" s="1706"/>
      <c r="D78" s="1701"/>
      <c r="E78" s="40"/>
      <c r="F78" s="41"/>
      <c r="G78" s="40"/>
      <c r="H78" s="41"/>
      <c r="I78" s="1815"/>
      <c r="J78" s="1807"/>
      <c r="K78" s="1"/>
      <c r="L78" s="1"/>
      <c r="M78" s="1"/>
      <c r="N78" s="1"/>
      <c r="O78" s="1"/>
      <c r="P78" s="1"/>
      <c r="Q78" s="1"/>
      <c r="R78" s="1"/>
      <c r="S78" s="1"/>
      <c r="T78" s="1"/>
    </row>
    <row r="79" spans="1:22" ht="15.75" thickBot="1">
      <c r="A79" s="1"/>
      <c r="B79" s="1803"/>
      <c r="C79" s="1673"/>
      <c r="D79" s="1749"/>
      <c r="E79" s="43"/>
      <c r="F79" s="44"/>
      <c r="G79" s="43"/>
      <c r="H79" s="44"/>
      <c r="I79" s="1818"/>
      <c r="J79" s="1808"/>
      <c r="K79" s="1"/>
      <c r="L79" s="1"/>
      <c r="M79" s="1"/>
      <c r="N79" s="1"/>
      <c r="O79" s="1"/>
      <c r="P79" s="1"/>
      <c r="Q79" s="1"/>
      <c r="R79" s="1"/>
      <c r="S79" s="1"/>
      <c r="T79" s="1"/>
    </row>
    <row r="80" spans="1:22">
      <c r="A80" s="1"/>
      <c r="B80" s="1"/>
      <c r="C80" s="1"/>
      <c r="D80" s="1"/>
      <c r="E80" s="1"/>
      <c r="F80" s="1"/>
      <c r="G80" s="1"/>
      <c r="H80" s="1"/>
      <c r="I80" s="24"/>
      <c r="J80" s="24"/>
      <c r="K80" s="1"/>
      <c r="L80" s="1"/>
      <c r="M80" s="1"/>
      <c r="N80" s="1"/>
      <c r="O80" s="1"/>
      <c r="P80" s="1"/>
      <c r="Q80" s="1"/>
      <c r="R80" s="1"/>
      <c r="S80" s="1"/>
      <c r="T80" s="1"/>
      <c r="U80" s="1"/>
      <c r="V80" s="1"/>
    </row>
    <row r="81" spans="1:21">
      <c r="A81" s="8" t="s">
        <v>389</v>
      </c>
      <c r="B81" s="8" t="s">
        <v>343</v>
      </c>
      <c r="C81" s="8"/>
      <c r="D81" s="1"/>
      <c r="E81" s="1"/>
      <c r="F81" s="1"/>
      <c r="G81" s="1"/>
      <c r="H81" s="1"/>
      <c r="I81" s="8" t="s">
        <v>345</v>
      </c>
      <c r="J81" s="1"/>
      <c r="K81" s="1"/>
      <c r="L81" s="1"/>
      <c r="M81" s="1"/>
      <c r="N81" s="1"/>
      <c r="O81" s="1"/>
      <c r="P81" s="1"/>
      <c r="Q81" s="1"/>
      <c r="R81" s="1"/>
      <c r="S81" s="1"/>
      <c r="T81" s="1"/>
    </row>
    <row r="82" spans="1:21" ht="15.75" thickBot="1">
      <c r="A82" s="1"/>
      <c r="B82" s="1"/>
      <c r="C82" s="1"/>
      <c r="D82" s="1"/>
      <c r="E82" s="1"/>
      <c r="F82" s="1"/>
      <c r="G82" s="1"/>
      <c r="H82" s="1"/>
      <c r="I82" s="1"/>
      <c r="J82" s="1"/>
      <c r="K82" s="1"/>
      <c r="L82" s="1"/>
      <c r="M82" s="1"/>
      <c r="N82" s="1"/>
      <c r="O82" s="1"/>
      <c r="P82" s="1"/>
      <c r="Q82" s="1"/>
      <c r="R82" s="1"/>
      <c r="S82" s="1"/>
      <c r="T82" s="1"/>
    </row>
    <row r="83" spans="1:21" ht="15.75" thickBot="1">
      <c r="A83" s="1"/>
      <c r="B83" s="1" t="s">
        <v>344</v>
      </c>
      <c r="C83" s="1"/>
      <c r="D83" s="1"/>
      <c r="E83" s="1819"/>
      <c r="F83" s="1805"/>
      <c r="G83" s="1822"/>
      <c r="H83" s="123"/>
      <c r="I83" s="1837"/>
      <c r="J83" s="1838"/>
      <c r="K83" s="1838"/>
      <c r="L83" s="1838"/>
      <c r="M83" s="1839"/>
      <c r="N83" s="1"/>
      <c r="O83" s="1"/>
      <c r="P83" s="1"/>
      <c r="Q83" s="1"/>
      <c r="R83" s="1"/>
      <c r="S83" s="1"/>
      <c r="T83" s="1"/>
    </row>
    <row r="84" spans="1:21" ht="15.75" thickBot="1">
      <c r="A84" s="1"/>
      <c r="B84" s="1"/>
      <c r="C84" s="1"/>
      <c r="D84" s="1"/>
      <c r="E84" s="1"/>
      <c r="F84" s="1"/>
      <c r="G84" s="1"/>
      <c r="H84" s="1"/>
      <c r="I84" s="1840"/>
      <c r="J84" s="1841"/>
      <c r="K84" s="1841"/>
      <c r="L84" s="1841"/>
      <c r="M84" s="1842"/>
      <c r="N84" s="1"/>
      <c r="O84" s="1"/>
      <c r="P84" s="1"/>
      <c r="Q84" s="1"/>
      <c r="R84" s="1"/>
      <c r="S84" s="1"/>
      <c r="T84" s="1"/>
    </row>
    <row r="85" spans="1:21" ht="15.75" thickBot="1">
      <c r="A85" s="1"/>
      <c r="B85" s="1" t="s">
        <v>354</v>
      </c>
      <c r="C85" s="1"/>
      <c r="D85" s="5"/>
      <c r="E85" s="1819"/>
      <c r="F85" s="1805"/>
      <c r="G85" s="1822"/>
      <c r="H85" s="123"/>
      <c r="I85" s="1843"/>
      <c r="J85" s="1844"/>
      <c r="K85" s="1844"/>
      <c r="L85" s="1844"/>
      <c r="M85" s="1845"/>
      <c r="N85" s="1"/>
      <c r="O85" s="1"/>
      <c r="P85" s="1"/>
      <c r="Q85" s="1"/>
      <c r="R85" s="1"/>
      <c r="S85" s="1"/>
      <c r="T85" s="1"/>
    </row>
    <row r="86" spans="1:21" ht="15.75" thickBot="1">
      <c r="A86" s="1"/>
      <c r="B86" s="1"/>
      <c r="C86" s="1"/>
      <c r="D86" s="1"/>
      <c r="E86" s="1"/>
      <c r="F86" s="1"/>
      <c r="G86" s="1"/>
      <c r="H86" s="1"/>
      <c r="I86" s="24"/>
      <c r="J86" s="1"/>
      <c r="K86" s="1"/>
      <c r="L86" s="1"/>
      <c r="M86" s="1"/>
      <c r="N86" s="1"/>
      <c r="O86" s="1"/>
      <c r="P86" s="1"/>
      <c r="Q86" s="1"/>
      <c r="R86" s="1"/>
      <c r="S86" s="1"/>
      <c r="T86" s="1"/>
      <c r="U86" s="1"/>
    </row>
    <row r="87" spans="1:21" s="17" customFormat="1" ht="26.25" thickBot="1">
      <c r="A87" s="7"/>
      <c r="B87" s="63" t="s">
        <v>23</v>
      </c>
      <c r="C87" s="1777" t="s">
        <v>351</v>
      </c>
      <c r="D87" s="1778"/>
      <c r="E87" s="64" t="s">
        <v>352</v>
      </c>
      <c r="F87" s="1773" t="s">
        <v>353</v>
      </c>
      <c r="G87" s="1774"/>
      <c r="H87" s="65"/>
      <c r="I87" s="132" t="s">
        <v>23</v>
      </c>
      <c r="J87" s="128" t="s">
        <v>347</v>
      </c>
      <c r="K87" s="128" t="s">
        <v>348</v>
      </c>
      <c r="L87" s="128" t="s">
        <v>349</v>
      </c>
      <c r="M87" s="48" t="s">
        <v>350</v>
      </c>
      <c r="N87" s="7"/>
      <c r="O87" s="7"/>
      <c r="P87" s="7"/>
      <c r="Q87" s="7"/>
      <c r="R87" s="7"/>
      <c r="S87" s="7"/>
      <c r="T87" s="7"/>
    </row>
    <row r="88" spans="1:21">
      <c r="A88" s="1"/>
      <c r="B88" s="49"/>
      <c r="C88" s="1694"/>
      <c r="D88" s="1825"/>
      <c r="E88" s="39"/>
      <c r="F88" s="1768"/>
      <c r="G88" s="1826"/>
      <c r="H88" s="60"/>
      <c r="I88" s="49"/>
      <c r="J88" s="39"/>
      <c r="K88" s="39"/>
      <c r="L88" s="39"/>
      <c r="M88" s="50"/>
      <c r="N88" s="1"/>
      <c r="O88" s="1"/>
      <c r="P88" s="1"/>
      <c r="Q88" s="1"/>
      <c r="R88" s="1"/>
      <c r="S88" s="1"/>
      <c r="T88" s="1"/>
    </row>
    <row r="89" spans="1:21">
      <c r="A89" s="1"/>
      <c r="B89" s="51"/>
      <c r="C89" s="1765"/>
      <c r="D89" s="1766"/>
      <c r="E89" s="27"/>
      <c r="F89" s="1764"/>
      <c r="G89" s="1779"/>
      <c r="H89" s="60"/>
      <c r="I89" s="51"/>
      <c r="J89" s="27"/>
      <c r="K89" s="27"/>
      <c r="L89" s="27"/>
      <c r="M89" s="52"/>
      <c r="N89" s="1"/>
      <c r="O89" s="1"/>
      <c r="P89" s="1"/>
      <c r="Q89" s="1"/>
      <c r="R89" s="1"/>
      <c r="S89" s="1"/>
      <c r="T89" s="1"/>
    </row>
    <row r="90" spans="1:21">
      <c r="A90" s="1"/>
      <c r="B90" s="51"/>
      <c r="C90" s="1765"/>
      <c r="D90" s="1766"/>
      <c r="E90" s="27"/>
      <c r="F90" s="1764"/>
      <c r="G90" s="1779"/>
      <c r="H90" s="60"/>
      <c r="I90" s="51"/>
      <c r="J90" s="27"/>
      <c r="K90" s="27"/>
      <c r="L90" s="27"/>
      <c r="M90" s="52"/>
      <c r="N90" s="1"/>
      <c r="O90" s="1"/>
      <c r="P90" s="1"/>
      <c r="Q90" s="1"/>
      <c r="R90" s="1"/>
      <c r="S90" s="1"/>
      <c r="T90" s="1"/>
    </row>
    <row r="91" spans="1:21">
      <c r="A91" s="1"/>
      <c r="B91" s="51"/>
      <c r="C91" s="1765"/>
      <c r="D91" s="1766"/>
      <c r="E91" s="27"/>
      <c r="F91" s="1764"/>
      <c r="G91" s="1779"/>
      <c r="H91" s="60"/>
      <c r="I91" s="51"/>
      <c r="J91" s="27"/>
      <c r="K91" s="27"/>
      <c r="L91" s="27"/>
      <c r="M91" s="52"/>
      <c r="N91" s="1"/>
      <c r="O91" s="1"/>
      <c r="P91" s="1"/>
      <c r="Q91" s="1"/>
      <c r="R91" s="1"/>
      <c r="S91" s="1"/>
      <c r="T91" s="1"/>
    </row>
    <row r="92" spans="1:21">
      <c r="A92" s="1"/>
      <c r="B92" s="51"/>
      <c r="C92" s="1765"/>
      <c r="D92" s="1766"/>
      <c r="E92" s="27"/>
      <c r="F92" s="1764"/>
      <c r="G92" s="1779"/>
      <c r="H92" s="60"/>
      <c r="I92" s="51"/>
      <c r="J92" s="27"/>
      <c r="K92" s="27"/>
      <c r="L92" s="27"/>
      <c r="M92" s="52"/>
      <c r="N92" s="1"/>
      <c r="O92" s="1"/>
      <c r="P92" s="1"/>
      <c r="Q92" s="1"/>
      <c r="R92" s="1"/>
      <c r="S92" s="1"/>
      <c r="T92" s="1"/>
    </row>
    <row r="93" spans="1:21">
      <c r="A93" s="1"/>
      <c r="B93" s="51"/>
      <c r="C93" s="1765"/>
      <c r="D93" s="1766"/>
      <c r="E93" s="27"/>
      <c r="F93" s="1764"/>
      <c r="G93" s="1779"/>
      <c r="H93" s="60"/>
      <c r="I93" s="51"/>
      <c r="J93" s="27"/>
      <c r="K93" s="27"/>
      <c r="L93" s="27"/>
      <c r="M93" s="52"/>
      <c r="N93" s="1"/>
      <c r="O93" s="1"/>
      <c r="P93" s="1"/>
      <c r="Q93" s="1"/>
      <c r="R93" s="1"/>
      <c r="S93" s="1"/>
      <c r="T93" s="1"/>
    </row>
    <row r="94" spans="1:21">
      <c r="A94" s="1"/>
      <c r="B94" s="51"/>
      <c r="C94" s="1765"/>
      <c r="D94" s="1766"/>
      <c r="E94" s="27"/>
      <c r="F94" s="1764"/>
      <c r="G94" s="1779"/>
      <c r="H94" s="60"/>
      <c r="I94" s="51"/>
      <c r="J94" s="27"/>
      <c r="K94" s="27"/>
      <c r="L94" s="27"/>
      <c r="M94" s="52"/>
      <c r="N94" s="1"/>
      <c r="O94" s="1"/>
      <c r="P94" s="1"/>
      <c r="Q94" s="1"/>
      <c r="R94" s="1"/>
      <c r="S94" s="1"/>
      <c r="T94" s="1"/>
    </row>
    <row r="95" spans="1:21">
      <c r="A95" s="1"/>
      <c r="B95" s="51"/>
      <c r="C95" s="1765"/>
      <c r="D95" s="1766"/>
      <c r="E95" s="27"/>
      <c r="F95" s="1764"/>
      <c r="G95" s="1779"/>
      <c r="H95" s="60"/>
      <c r="I95" s="51"/>
      <c r="J95" s="27"/>
      <c r="K95" s="27"/>
      <c r="L95" s="27"/>
      <c r="M95" s="52"/>
      <c r="N95" s="1"/>
      <c r="O95" s="1"/>
      <c r="P95" s="1"/>
      <c r="Q95" s="1"/>
      <c r="R95" s="1"/>
      <c r="S95" s="1"/>
      <c r="T95" s="1"/>
    </row>
    <row r="96" spans="1:21">
      <c r="A96" s="1"/>
      <c r="B96" s="51"/>
      <c r="C96" s="1765"/>
      <c r="D96" s="1766"/>
      <c r="E96" s="27"/>
      <c r="F96" s="1764"/>
      <c r="G96" s="1779"/>
      <c r="H96" s="60"/>
      <c r="I96" s="51"/>
      <c r="J96" s="27"/>
      <c r="K96" s="27"/>
      <c r="L96" s="27"/>
      <c r="M96" s="52"/>
      <c r="N96" s="1"/>
      <c r="O96" s="1"/>
      <c r="P96" s="1"/>
      <c r="Q96" s="1"/>
      <c r="R96" s="1"/>
      <c r="S96" s="1"/>
      <c r="T96" s="1"/>
    </row>
    <row r="97" spans="1:22" ht="15.75" thickBot="1">
      <c r="A97" s="1"/>
      <c r="B97" s="53"/>
      <c r="C97" s="1761"/>
      <c r="D97" s="1762"/>
      <c r="E97" s="46"/>
      <c r="F97" s="1760"/>
      <c r="G97" s="1780"/>
      <c r="H97" s="60"/>
      <c r="I97" s="53"/>
      <c r="J97" s="46"/>
      <c r="K97" s="46"/>
      <c r="L97" s="46"/>
      <c r="M97" s="54"/>
      <c r="N97" s="1"/>
      <c r="O97" s="1"/>
      <c r="P97" s="1"/>
      <c r="Q97" s="1"/>
      <c r="R97" s="1"/>
      <c r="S97" s="1"/>
      <c r="T97" s="1"/>
    </row>
    <row r="98" spans="1:22" ht="15.75" thickBot="1">
      <c r="A98" s="1"/>
      <c r="B98" s="1"/>
      <c r="C98" s="1"/>
      <c r="D98" s="1"/>
      <c r="E98" s="1"/>
      <c r="F98" s="1"/>
      <c r="G98" s="24"/>
      <c r="H98" s="24"/>
      <c r="I98" s="24"/>
      <c r="J98" s="1"/>
      <c r="K98" s="1"/>
      <c r="L98" s="1"/>
      <c r="M98" s="1"/>
      <c r="N98" s="1"/>
      <c r="O98" s="1"/>
      <c r="P98" s="1"/>
      <c r="Q98" s="1"/>
      <c r="R98" s="1"/>
      <c r="S98" s="1"/>
      <c r="T98" s="1"/>
      <c r="U98" s="1"/>
    </row>
    <row r="99" spans="1:22" ht="15.75" thickBot="1">
      <c r="A99" s="1"/>
      <c r="B99" s="1"/>
      <c r="C99" s="1"/>
      <c r="D99" s="1"/>
      <c r="E99" s="1"/>
      <c r="F99" s="1"/>
      <c r="G99" s="1"/>
      <c r="H99" s="1"/>
      <c r="I99" s="20" t="s">
        <v>341</v>
      </c>
      <c r="J99" s="1823"/>
      <c r="K99" s="1824"/>
      <c r="L99" s="1"/>
      <c r="M99" s="1"/>
      <c r="N99" s="1"/>
      <c r="O99" s="1"/>
      <c r="P99" s="1"/>
      <c r="Q99" s="1"/>
      <c r="R99" s="1"/>
      <c r="S99" s="1"/>
      <c r="T99" s="1"/>
    </row>
    <row r="100" spans="1:22">
      <c r="A100" s="1"/>
      <c r="B100" s="1"/>
      <c r="C100" s="1"/>
      <c r="D100" s="1"/>
      <c r="E100" s="1"/>
      <c r="F100" s="1"/>
      <c r="G100" s="1"/>
      <c r="H100" s="1"/>
      <c r="I100" s="24"/>
      <c r="J100" s="24"/>
      <c r="K100" s="1"/>
      <c r="L100" s="1"/>
      <c r="M100" s="1"/>
      <c r="N100" s="1"/>
      <c r="O100" s="1"/>
      <c r="P100" s="1"/>
      <c r="Q100" s="1"/>
      <c r="R100" s="1"/>
      <c r="S100" s="1"/>
      <c r="T100" s="1"/>
      <c r="U100" s="1"/>
      <c r="V100" s="1"/>
    </row>
    <row r="101" spans="1:22">
      <c r="A101" s="8" t="s">
        <v>390</v>
      </c>
      <c r="B101" s="8" t="s">
        <v>355</v>
      </c>
      <c r="C101" s="8"/>
      <c r="D101" s="1"/>
      <c r="E101" s="1"/>
      <c r="F101" s="1"/>
      <c r="G101" s="1"/>
      <c r="H101" s="1"/>
      <c r="I101" s="8" t="s">
        <v>356</v>
      </c>
      <c r="J101" s="1"/>
      <c r="K101" s="1"/>
      <c r="L101" s="1"/>
      <c r="M101" s="1"/>
      <c r="P101" s="1"/>
      <c r="Q101" s="1"/>
      <c r="R101" s="1"/>
      <c r="S101" s="1"/>
      <c r="T101" s="1"/>
      <c r="U101" s="1"/>
      <c r="V101" s="1"/>
    </row>
    <row r="102" spans="1:22" ht="15.75" thickBot="1">
      <c r="A102" s="1"/>
      <c r="B102" s="1"/>
      <c r="C102" s="1"/>
      <c r="D102" s="1"/>
      <c r="E102" s="1"/>
      <c r="F102" s="1"/>
      <c r="G102" s="1"/>
      <c r="H102" s="1"/>
      <c r="I102" s="1"/>
      <c r="J102" s="1"/>
      <c r="K102" s="1"/>
      <c r="L102" s="1"/>
      <c r="M102" s="1"/>
      <c r="P102" s="1"/>
      <c r="Q102" s="1"/>
      <c r="R102" s="1"/>
      <c r="S102" s="1"/>
      <c r="T102" s="1"/>
      <c r="U102" s="1"/>
      <c r="V102" s="1"/>
    </row>
    <row r="103" spans="1:22" ht="15.75" thickBot="1">
      <c r="A103" s="1"/>
      <c r="B103" s="1" t="s">
        <v>344</v>
      </c>
      <c r="C103" s="1"/>
      <c r="D103" s="1"/>
      <c r="E103" s="1819"/>
      <c r="F103" s="1805"/>
      <c r="G103" s="1822"/>
      <c r="H103" s="123"/>
      <c r="I103" s="119"/>
      <c r="J103" s="120"/>
      <c r="K103" s="120"/>
      <c r="L103" s="120"/>
      <c r="M103" s="121"/>
      <c r="P103" s="1"/>
      <c r="Q103" s="1"/>
      <c r="R103" s="1"/>
      <c r="S103" s="1"/>
      <c r="T103" s="1"/>
      <c r="U103" s="1"/>
      <c r="V103" s="1"/>
    </row>
    <row r="104" spans="1:22" ht="15.75" thickBot="1">
      <c r="A104" s="1"/>
      <c r="B104" s="1"/>
      <c r="C104" s="1"/>
      <c r="D104" s="1"/>
      <c r="E104" s="1"/>
      <c r="F104" s="1"/>
      <c r="G104" s="1"/>
      <c r="H104" s="1"/>
      <c r="I104" s="122"/>
      <c r="J104" s="123"/>
      <c r="K104" s="123"/>
      <c r="L104" s="123"/>
      <c r="M104" s="124"/>
      <c r="P104" s="1"/>
      <c r="Q104" s="1"/>
      <c r="R104" s="1"/>
      <c r="S104" s="1"/>
      <c r="T104" s="1"/>
      <c r="U104" s="1"/>
      <c r="V104" s="1"/>
    </row>
    <row r="105" spans="1:22" ht="15.75" thickBot="1">
      <c r="A105" s="1"/>
      <c r="B105" s="1" t="s">
        <v>354</v>
      </c>
      <c r="C105" s="1"/>
      <c r="D105" s="5"/>
      <c r="E105" s="1819"/>
      <c r="F105" s="1805"/>
      <c r="G105" s="1822"/>
      <c r="H105" s="123"/>
      <c r="I105" s="125"/>
      <c r="J105" s="126"/>
      <c r="K105" s="126"/>
      <c r="L105" s="126"/>
      <c r="M105" s="127"/>
      <c r="P105" s="1"/>
      <c r="Q105" s="1"/>
      <c r="R105" s="1"/>
      <c r="S105" s="1"/>
      <c r="T105" s="1"/>
      <c r="U105" s="1"/>
      <c r="V105" s="1"/>
    </row>
    <row r="106" spans="1:22" ht="15.75" thickBot="1">
      <c r="A106" s="1"/>
      <c r="B106" s="1"/>
      <c r="C106" s="1"/>
      <c r="D106" s="1"/>
      <c r="E106" s="1"/>
      <c r="F106" s="1"/>
      <c r="G106" s="1"/>
      <c r="H106" s="1"/>
      <c r="I106" s="1"/>
      <c r="J106" s="1"/>
      <c r="K106" s="1"/>
      <c r="L106" s="1"/>
      <c r="M106" s="1"/>
      <c r="P106" s="1"/>
      <c r="Q106" s="1"/>
      <c r="R106" s="1"/>
      <c r="S106" s="1"/>
      <c r="T106" s="1"/>
      <c r="U106" s="1"/>
      <c r="V106" s="1"/>
    </row>
    <row r="107" spans="1:22" ht="26.25" thickBot="1">
      <c r="A107" s="1"/>
      <c r="B107" s="63" t="s">
        <v>23</v>
      </c>
      <c r="C107" s="1777" t="s">
        <v>351</v>
      </c>
      <c r="D107" s="1778"/>
      <c r="E107" s="64" t="s">
        <v>352</v>
      </c>
      <c r="F107" s="1773" t="s">
        <v>353</v>
      </c>
      <c r="G107" s="1774"/>
      <c r="H107" s="21"/>
      <c r="I107" s="103" t="s">
        <v>23</v>
      </c>
      <c r="J107" s="104" t="s">
        <v>347</v>
      </c>
      <c r="K107" s="104" t="s">
        <v>348</v>
      </c>
      <c r="L107" s="128" t="s">
        <v>349</v>
      </c>
      <c r="M107" s="48" t="s">
        <v>350</v>
      </c>
      <c r="P107" s="1"/>
      <c r="Q107" s="1"/>
      <c r="R107" s="1"/>
      <c r="S107" s="1"/>
      <c r="T107" s="1"/>
      <c r="U107" s="1"/>
      <c r="V107" s="1"/>
    </row>
    <row r="108" spans="1:22">
      <c r="A108" s="1"/>
      <c r="B108" s="49"/>
      <c r="C108" s="1694"/>
      <c r="D108" s="1825"/>
      <c r="E108" s="39"/>
      <c r="F108" s="1768"/>
      <c r="G108" s="1826"/>
      <c r="H108" s="60"/>
      <c r="I108" s="49"/>
      <c r="J108" s="39"/>
      <c r="K108" s="39"/>
      <c r="L108" s="39"/>
      <c r="M108" s="50"/>
      <c r="P108" s="1"/>
      <c r="Q108" s="1"/>
      <c r="R108" s="1"/>
      <c r="S108" s="1"/>
      <c r="T108" s="1"/>
      <c r="U108" s="1"/>
      <c r="V108" s="1"/>
    </row>
    <row r="109" spans="1:22">
      <c r="A109" s="1"/>
      <c r="B109" s="51"/>
      <c r="C109" s="1765"/>
      <c r="D109" s="1766"/>
      <c r="E109" s="27"/>
      <c r="F109" s="1764"/>
      <c r="G109" s="1779"/>
      <c r="H109" s="60"/>
      <c r="I109" s="51"/>
      <c r="J109" s="27"/>
      <c r="K109" s="27"/>
      <c r="L109" s="27"/>
      <c r="M109" s="52"/>
      <c r="P109" s="1"/>
      <c r="Q109" s="1"/>
      <c r="R109" s="1"/>
      <c r="S109" s="1"/>
      <c r="T109" s="1"/>
      <c r="U109" s="1"/>
      <c r="V109" s="1"/>
    </row>
    <row r="110" spans="1:22">
      <c r="A110" s="1"/>
      <c r="B110" s="51"/>
      <c r="C110" s="1765"/>
      <c r="D110" s="1766"/>
      <c r="E110" s="27"/>
      <c r="F110" s="1764"/>
      <c r="G110" s="1779"/>
      <c r="H110" s="60"/>
      <c r="I110" s="51"/>
      <c r="J110" s="27"/>
      <c r="K110" s="27"/>
      <c r="L110" s="27"/>
      <c r="M110" s="52"/>
      <c r="P110" s="1"/>
      <c r="Q110" s="1"/>
      <c r="R110" s="1"/>
      <c r="S110" s="1"/>
      <c r="T110" s="1"/>
      <c r="U110" s="1"/>
      <c r="V110" s="1"/>
    </row>
    <row r="111" spans="1:22">
      <c r="A111" s="1"/>
      <c r="B111" s="51"/>
      <c r="C111" s="1765"/>
      <c r="D111" s="1766"/>
      <c r="E111" s="27"/>
      <c r="F111" s="1764"/>
      <c r="G111" s="1779"/>
      <c r="H111" s="60"/>
      <c r="I111" s="51"/>
      <c r="J111" s="27"/>
      <c r="K111" s="27"/>
      <c r="L111" s="27"/>
      <c r="M111" s="52"/>
      <c r="P111" s="1"/>
      <c r="Q111" s="1"/>
      <c r="R111" s="1"/>
      <c r="S111" s="1"/>
      <c r="T111" s="1"/>
      <c r="U111" s="1"/>
      <c r="V111" s="1"/>
    </row>
    <row r="112" spans="1:22">
      <c r="A112" s="1"/>
      <c r="B112" s="51"/>
      <c r="C112" s="1765"/>
      <c r="D112" s="1766"/>
      <c r="E112" s="27"/>
      <c r="F112" s="1764"/>
      <c r="G112" s="1779"/>
      <c r="H112" s="60"/>
      <c r="I112" s="51"/>
      <c r="J112" s="27"/>
      <c r="K112" s="27"/>
      <c r="L112" s="27"/>
      <c r="M112" s="52"/>
      <c r="P112" s="1"/>
      <c r="Q112" s="1"/>
      <c r="R112" s="1"/>
      <c r="S112" s="1"/>
      <c r="T112" s="1"/>
      <c r="U112" s="1"/>
      <c r="V112" s="1"/>
    </row>
    <row r="113" spans="1:22">
      <c r="A113" s="1"/>
      <c r="B113" s="51"/>
      <c r="C113" s="1765"/>
      <c r="D113" s="1766"/>
      <c r="E113" s="27"/>
      <c r="F113" s="1764"/>
      <c r="G113" s="1779"/>
      <c r="H113" s="60"/>
      <c r="I113" s="51"/>
      <c r="J113" s="27"/>
      <c r="K113" s="27"/>
      <c r="L113" s="27"/>
      <c r="M113" s="52"/>
      <c r="P113" s="1"/>
      <c r="Q113" s="1"/>
      <c r="R113" s="1"/>
      <c r="S113" s="1"/>
      <c r="T113" s="1"/>
      <c r="U113" s="1"/>
      <c r="V113" s="1"/>
    </row>
    <row r="114" spans="1:22">
      <c r="A114" s="1"/>
      <c r="B114" s="51"/>
      <c r="C114" s="1765"/>
      <c r="D114" s="1766"/>
      <c r="E114" s="27"/>
      <c r="F114" s="1764"/>
      <c r="G114" s="1779"/>
      <c r="H114" s="60"/>
      <c r="I114" s="51"/>
      <c r="J114" s="27"/>
      <c r="K114" s="27"/>
      <c r="L114" s="27"/>
      <c r="M114" s="52"/>
      <c r="P114" s="1"/>
      <c r="Q114" s="1"/>
      <c r="R114" s="1"/>
      <c r="S114" s="1"/>
      <c r="T114" s="1"/>
      <c r="U114" s="1"/>
      <c r="V114" s="1"/>
    </row>
    <row r="115" spans="1:22">
      <c r="A115" s="1"/>
      <c r="B115" s="51"/>
      <c r="C115" s="1765"/>
      <c r="D115" s="1766"/>
      <c r="E115" s="27"/>
      <c r="F115" s="1764"/>
      <c r="G115" s="1779"/>
      <c r="H115" s="60"/>
      <c r="I115" s="51"/>
      <c r="J115" s="27"/>
      <c r="K115" s="27"/>
      <c r="L115" s="27"/>
      <c r="M115" s="52"/>
      <c r="P115" s="1"/>
      <c r="Q115" s="1"/>
      <c r="R115" s="1"/>
      <c r="S115" s="1"/>
      <c r="T115" s="1"/>
      <c r="U115" s="1"/>
      <c r="V115" s="1"/>
    </row>
    <row r="116" spans="1:22">
      <c r="A116" s="1"/>
      <c r="B116" s="51"/>
      <c r="C116" s="1765"/>
      <c r="D116" s="1766"/>
      <c r="E116" s="27"/>
      <c r="F116" s="1764"/>
      <c r="G116" s="1779"/>
      <c r="H116" s="60"/>
      <c r="I116" s="51"/>
      <c r="J116" s="27"/>
      <c r="K116" s="27"/>
      <c r="L116" s="27"/>
      <c r="M116" s="52"/>
      <c r="P116" s="1"/>
      <c r="Q116" s="1"/>
      <c r="R116" s="1"/>
      <c r="S116" s="1"/>
      <c r="T116" s="1"/>
      <c r="U116" s="1"/>
      <c r="V116" s="1"/>
    </row>
    <row r="117" spans="1:22" ht="15.75" thickBot="1">
      <c r="A117" s="1"/>
      <c r="B117" s="53"/>
      <c r="C117" s="1761"/>
      <c r="D117" s="1762"/>
      <c r="E117" s="46"/>
      <c r="F117" s="1760"/>
      <c r="G117" s="1780"/>
      <c r="H117" s="60"/>
      <c r="I117" s="53"/>
      <c r="J117" s="46"/>
      <c r="K117" s="46"/>
      <c r="L117" s="46"/>
      <c r="M117" s="54"/>
      <c r="P117" s="1"/>
      <c r="Q117" s="1"/>
      <c r="R117" s="1"/>
      <c r="S117" s="1"/>
      <c r="T117" s="1"/>
      <c r="U117" s="1"/>
      <c r="V117" s="1"/>
    </row>
    <row r="118" spans="1:22" ht="15.75" thickBot="1">
      <c r="A118" s="1"/>
      <c r="B118" s="1"/>
      <c r="C118" s="1"/>
      <c r="D118" s="1"/>
      <c r="E118" s="1"/>
      <c r="F118" s="1"/>
      <c r="G118" s="24"/>
      <c r="H118" s="24"/>
      <c r="I118" s="1"/>
      <c r="J118" s="1"/>
      <c r="K118" s="1"/>
      <c r="L118" s="1"/>
      <c r="M118" s="1"/>
      <c r="P118" s="1"/>
      <c r="Q118" s="1"/>
      <c r="R118" s="1"/>
      <c r="S118" s="1"/>
      <c r="T118" s="1"/>
      <c r="U118" s="1"/>
      <c r="V118" s="1"/>
    </row>
    <row r="119" spans="1:22" ht="15.75" thickBot="1">
      <c r="A119" s="1"/>
      <c r="B119" s="1"/>
      <c r="C119" s="1"/>
      <c r="D119" s="1"/>
      <c r="E119" s="1"/>
      <c r="F119" s="1"/>
      <c r="G119" s="1"/>
      <c r="H119" s="1"/>
      <c r="I119" s="20" t="s">
        <v>341</v>
      </c>
      <c r="J119" s="1823"/>
      <c r="K119" s="1824"/>
      <c r="L119" s="1"/>
      <c r="M119" s="1"/>
      <c r="P119" s="1"/>
      <c r="Q119" s="1"/>
      <c r="R119" s="1"/>
      <c r="S119" s="1"/>
      <c r="T119" s="1"/>
      <c r="U119" s="1"/>
      <c r="V119" s="1"/>
    </row>
    <row r="120" spans="1:22">
      <c r="A120" s="1"/>
      <c r="B120" s="1"/>
      <c r="C120" s="1"/>
      <c r="D120" s="1"/>
      <c r="E120" s="1"/>
      <c r="F120" s="1"/>
      <c r="G120" s="1"/>
      <c r="H120" s="1"/>
      <c r="I120" s="24"/>
      <c r="J120" s="24"/>
      <c r="K120" s="1"/>
      <c r="L120" s="1"/>
      <c r="M120" s="1"/>
      <c r="N120" s="1"/>
      <c r="O120" s="1"/>
      <c r="P120" s="1"/>
      <c r="Q120" s="1"/>
      <c r="R120" s="1"/>
      <c r="S120" s="1"/>
      <c r="T120" s="1"/>
      <c r="U120" s="1"/>
      <c r="V120" s="1"/>
    </row>
    <row r="121" spans="1:22">
      <c r="A121" s="8" t="s">
        <v>391</v>
      </c>
      <c r="B121" s="8" t="s">
        <v>420</v>
      </c>
      <c r="C121" s="8"/>
      <c r="D121" s="1"/>
      <c r="E121" s="1"/>
      <c r="F121" s="1"/>
      <c r="G121" s="1"/>
      <c r="H121" s="1"/>
      <c r="I121" s="8" t="s">
        <v>360</v>
      </c>
      <c r="J121" s="24"/>
      <c r="K121" s="1"/>
      <c r="M121" s="1"/>
      <c r="N121" s="1"/>
      <c r="O121" s="1"/>
      <c r="P121" s="1"/>
      <c r="Q121" s="1"/>
      <c r="R121" s="1"/>
      <c r="S121" s="1"/>
      <c r="T121" s="1"/>
      <c r="U121" s="1"/>
      <c r="V121" s="1"/>
    </row>
    <row r="122" spans="1:22" ht="15.75" thickBot="1">
      <c r="A122" s="1"/>
      <c r="B122" s="1"/>
      <c r="C122" s="1"/>
      <c r="D122" s="1"/>
      <c r="E122" s="1"/>
      <c r="F122" s="1"/>
      <c r="G122" s="1"/>
      <c r="H122" s="1"/>
      <c r="I122" s="1"/>
      <c r="J122" s="24"/>
      <c r="K122" s="1"/>
      <c r="M122" s="1"/>
      <c r="N122" s="1"/>
      <c r="O122" s="1"/>
      <c r="P122" s="1"/>
      <c r="Q122" s="1"/>
      <c r="R122" s="1"/>
      <c r="S122" s="1"/>
      <c r="T122" s="1"/>
      <c r="U122" s="1"/>
      <c r="V122" s="1"/>
    </row>
    <row r="123" spans="1:22" ht="15.75" thickBot="1">
      <c r="A123" s="1"/>
      <c r="B123" s="1" t="s">
        <v>330</v>
      </c>
      <c r="C123" s="1"/>
      <c r="D123" s="1"/>
      <c r="E123" s="1692"/>
      <c r="F123" s="1809"/>
      <c r="G123" s="1810"/>
      <c r="H123" s="123"/>
      <c r="I123" s="1" t="s">
        <v>360</v>
      </c>
      <c r="J123" s="24"/>
      <c r="K123" s="1"/>
      <c r="L123" s="117"/>
      <c r="M123" s="118"/>
      <c r="N123" s="1"/>
      <c r="O123" s="1"/>
      <c r="P123" s="1"/>
      <c r="Q123" s="1"/>
      <c r="R123" s="1"/>
      <c r="S123" s="1"/>
      <c r="T123" s="1"/>
    </row>
    <row r="124" spans="1:22" ht="15.75" thickBot="1">
      <c r="A124" s="1"/>
      <c r="B124" s="1" t="s">
        <v>29</v>
      </c>
      <c r="C124" s="1"/>
      <c r="D124" s="1"/>
      <c r="E124" s="1700"/>
      <c r="F124" s="1705"/>
      <c r="G124" s="1757"/>
      <c r="H124" s="123"/>
      <c r="I124" s="1"/>
      <c r="J124" s="24"/>
      <c r="K124" s="1"/>
      <c r="L124" s="1"/>
      <c r="M124" s="1"/>
      <c r="N124" s="1"/>
      <c r="O124" s="1"/>
      <c r="P124" s="1"/>
      <c r="Q124" s="1"/>
      <c r="R124" s="1"/>
      <c r="S124" s="1"/>
      <c r="T124" s="1"/>
    </row>
    <row r="125" spans="1:22" ht="15.75" thickBot="1">
      <c r="A125" s="1"/>
      <c r="B125" s="1" t="s">
        <v>30</v>
      </c>
      <c r="C125" s="1"/>
      <c r="D125" s="1"/>
      <c r="E125" s="1803"/>
      <c r="F125" s="1672"/>
      <c r="G125" s="1750"/>
      <c r="H125" s="123"/>
      <c r="I125" s="1" t="s">
        <v>361</v>
      </c>
      <c r="J125" s="24"/>
      <c r="K125" s="1"/>
      <c r="L125" s="87"/>
      <c r="M125" s="88"/>
      <c r="N125" s="1"/>
      <c r="O125" s="1"/>
      <c r="P125" s="1"/>
      <c r="Q125" s="1"/>
      <c r="R125" s="1"/>
      <c r="S125" s="1"/>
      <c r="T125" s="1"/>
    </row>
    <row r="126" spans="1:22" ht="15.75" thickBot="1">
      <c r="A126" s="1"/>
      <c r="B126" s="1"/>
      <c r="C126" s="1"/>
      <c r="D126" s="1"/>
      <c r="E126" s="1"/>
      <c r="F126" s="1"/>
      <c r="G126" s="1"/>
      <c r="H126" s="1"/>
      <c r="I126" s="1" t="s">
        <v>362</v>
      </c>
      <c r="J126" s="24"/>
      <c r="K126" s="1"/>
      <c r="L126" s="112"/>
      <c r="M126" s="113"/>
      <c r="N126" s="1"/>
      <c r="O126" s="1"/>
      <c r="P126" s="1"/>
      <c r="Q126" s="1"/>
      <c r="R126" s="1"/>
      <c r="S126" s="1"/>
      <c r="T126" s="1"/>
    </row>
    <row r="127" spans="1:22" ht="15.75" thickBot="1">
      <c r="A127" s="1"/>
      <c r="B127" s="1" t="s">
        <v>357</v>
      </c>
      <c r="C127" s="1"/>
      <c r="D127" s="1"/>
      <c r="E127" s="1804"/>
      <c r="F127" s="1805"/>
      <c r="G127" s="1806"/>
      <c r="H127" s="123"/>
      <c r="I127" s="1" t="s">
        <v>363</v>
      </c>
      <c r="J127" s="24"/>
      <c r="K127" s="1"/>
      <c r="L127" s="1704"/>
      <c r="M127" s="1807"/>
      <c r="N127" s="1"/>
      <c r="O127" s="1"/>
      <c r="P127" s="1"/>
      <c r="Q127" s="1"/>
      <c r="R127" s="1"/>
      <c r="S127" s="1"/>
      <c r="T127" s="1"/>
    </row>
    <row r="128" spans="1:22" ht="15.75" thickBot="1">
      <c r="A128" s="1"/>
      <c r="B128" s="1"/>
      <c r="C128" s="1"/>
      <c r="D128" s="1"/>
      <c r="E128" s="1"/>
      <c r="F128" s="1"/>
      <c r="G128" s="1"/>
      <c r="H128" s="1"/>
      <c r="I128" s="1" t="s">
        <v>364</v>
      </c>
      <c r="J128" s="24"/>
      <c r="K128" s="1"/>
      <c r="L128" s="1671"/>
      <c r="M128" s="1808"/>
      <c r="N128" s="1"/>
      <c r="O128" s="1"/>
      <c r="P128" s="1"/>
      <c r="Q128" s="1"/>
      <c r="R128" s="1"/>
      <c r="S128" s="1"/>
      <c r="T128" s="1"/>
    </row>
    <row r="129" spans="1:22">
      <c r="A129" s="1"/>
      <c r="B129" s="1" t="s">
        <v>358</v>
      </c>
      <c r="C129" s="1"/>
      <c r="D129" s="1"/>
      <c r="E129" s="1692"/>
      <c r="F129" s="1809"/>
      <c r="G129" s="1810"/>
      <c r="H129" s="123"/>
      <c r="N129" s="1"/>
      <c r="O129" s="1"/>
      <c r="P129" s="1"/>
      <c r="Q129" s="1"/>
      <c r="R129" s="1"/>
      <c r="S129" s="1"/>
      <c r="T129" s="1"/>
    </row>
    <row r="130" spans="1:22" ht="15.75" thickBot="1">
      <c r="A130" s="1"/>
      <c r="B130" s="1" t="s">
        <v>359</v>
      </c>
      <c r="C130" s="1"/>
      <c r="D130" s="1"/>
      <c r="E130" s="1803"/>
      <c r="F130" s="1672"/>
      <c r="G130" s="1750"/>
      <c r="H130" s="123"/>
      <c r="N130" s="1"/>
      <c r="O130" s="1"/>
      <c r="P130" s="1"/>
      <c r="Q130" s="1"/>
      <c r="R130" s="1"/>
      <c r="S130" s="1"/>
      <c r="T130" s="1"/>
    </row>
    <row r="131" spans="1:22">
      <c r="A131" s="1"/>
      <c r="B131" s="1"/>
      <c r="C131" s="1"/>
      <c r="D131" s="1"/>
      <c r="E131" s="1"/>
      <c r="F131" s="1"/>
      <c r="G131" s="1"/>
      <c r="H131" s="1"/>
      <c r="I131" s="24"/>
      <c r="J131" s="24"/>
      <c r="K131" s="1"/>
      <c r="L131" s="1"/>
      <c r="M131" s="1"/>
      <c r="N131" s="1"/>
      <c r="O131" s="1"/>
      <c r="P131" s="1"/>
      <c r="Q131" s="1"/>
      <c r="R131" s="1"/>
      <c r="S131" s="1"/>
      <c r="T131" s="1"/>
      <c r="U131" s="1"/>
      <c r="V131" s="1"/>
    </row>
    <row r="132" spans="1:22">
      <c r="A132" s="1"/>
      <c r="B132" s="8" t="s">
        <v>441</v>
      </c>
      <c r="C132" s="8"/>
      <c r="D132" s="1"/>
      <c r="E132" s="1"/>
      <c r="F132" s="1"/>
      <c r="G132" s="1"/>
      <c r="H132" s="1"/>
      <c r="I132" s="24"/>
      <c r="J132" s="24"/>
      <c r="K132" s="1"/>
      <c r="L132" s="1"/>
      <c r="M132" s="1"/>
      <c r="N132" s="1"/>
      <c r="O132" s="1"/>
      <c r="P132" s="1"/>
      <c r="Q132" s="1"/>
      <c r="R132" s="1"/>
      <c r="S132" s="1"/>
      <c r="T132" s="1"/>
      <c r="U132" s="1"/>
      <c r="V132" s="1"/>
    </row>
    <row r="133" spans="1:22" ht="15.75" thickBot="1">
      <c r="A133" s="1"/>
      <c r="B133" s="1"/>
      <c r="C133" s="1"/>
      <c r="D133" s="1"/>
      <c r="E133" s="1"/>
      <c r="F133" s="1"/>
      <c r="G133" s="1"/>
      <c r="H133" s="1"/>
      <c r="I133" s="24"/>
      <c r="J133" s="24"/>
      <c r="K133" s="1"/>
      <c r="L133" s="1"/>
      <c r="M133" s="1"/>
      <c r="N133" s="1"/>
      <c r="O133" s="1"/>
      <c r="P133" s="1"/>
      <c r="Q133" s="1"/>
      <c r="R133" s="1"/>
      <c r="S133" s="1"/>
      <c r="T133" s="1"/>
      <c r="U133" s="1"/>
      <c r="V133" s="1"/>
    </row>
    <row r="134" spans="1:22" ht="30" customHeight="1" thickBot="1">
      <c r="A134" s="1"/>
      <c r="B134" s="90" t="s">
        <v>23</v>
      </c>
      <c r="C134" s="135"/>
      <c r="D134" s="1821" t="s">
        <v>365</v>
      </c>
      <c r="E134" s="1820"/>
      <c r="F134" s="1816" t="s">
        <v>366</v>
      </c>
      <c r="G134" s="1816"/>
      <c r="H134" s="1853" t="s">
        <v>367</v>
      </c>
      <c r="I134" s="1854"/>
      <c r="J134" s="1855"/>
      <c r="K134" s="1816" t="s">
        <v>368</v>
      </c>
      <c r="L134" s="1816"/>
      <c r="M134" s="1816" t="s">
        <v>369</v>
      </c>
      <c r="N134" s="1816"/>
      <c r="O134" s="1755" t="s">
        <v>370</v>
      </c>
      <c r="P134" s="1756"/>
      <c r="Q134" s="1"/>
      <c r="R134" s="1"/>
      <c r="S134" s="1"/>
      <c r="T134" s="1"/>
      <c r="U134" s="1"/>
    </row>
    <row r="135" spans="1:22">
      <c r="A135" s="1"/>
      <c r="B135" s="89"/>
      <c r="C135" s="82"/>
      <c r="D135" s="1799"/>
      <c r="E135" s="1800"/>
      <c r="F135" s="1769"/>
      <c r="G135" s="1769"/>
      <c r="H135" s="1769"/>
      <c r="I135" s="1769"/>
      <c r="J135" s="1769"/>
      <c r="K135" s="1769"/>
      <c r="L135" s="1769"/>
      <c r="M135" s="1769"/>
      <c r="N135" s="1769"/>
      <c r="O135" s="1801"/>
      <c r="P135" s="1802"/>
      <c r="Q135" s="1"/>
      <c r="R135" s="1"/>
      <c r="S135" s="1"/>
      <c r="T135" s="1"/>
      <c r="U135" s="1"/>
    </row>
    <row r="136" spans="1:22">
      <c r="A136" s="1"/>
      <c r="B136" s="56"/>
      <c r="C136" s="41"/>
      <c r="D136" s="1765"/>
      <c r="E136" s="1766"/>
      <c r="F136" s="1701"/>
      <c r="G136" s="1701"/>
      <c r="H136" s="1701"/>
      <c r="I136" s="1701"/>
      <c r="J136" s="1701"/>
      <c r="K136" s="1701"/>
      <c r="L136" s="1701"/>
      <c r="M136" s="1701"/>
      <c r="N136" s="1701"/>
      <c r="O136" s="1740"/>
      <c r="P136" s="1742"/>
      <c r="Q136" s="1"/>
      <c r="R136" s="1"/>
      <c r="S136" s="1"/>
      <c r="T136" s="1"/>
      <c r="U136" s="1"/>
    </row>
    <row r="137" spans="1:22">
      <c r="A137" s="1"/>
      <c r="B137" s="56"/>
      <c r="C137" s="41"/>
      <c r="D137" s="1765"/>
      <c r="E137" s="1766"/>
      <c r="F137" s="1701"/>
      <c r="G137" s="1701"/>
      <c r="H137" s="1701"/>
      <c r="I137" s="1701"/>
      <c r="J137" s="1701"/>
      <c r="K137" s="1701"/>
      <c r="L137" s="1701"/>
      <c r="M137" s="1701"/>
      <c r="N137" s="1701"/>
      <c r="O137" s="1740"/>
      <c r="P137" s="1742"/>
      <c r="Q137" s="1"/>
      <c r="R137" s="1"/>
      <c r="S137" s="1"/>
      <c r="T137" s="1"/>
      <c r="U137" s="1"/>
    </row>
    <row r="138" spans="1:22">
      <c r="A138" s="1"/>
      <c r="B138" s="56"/>
      <c r="C138" s="41"/>
      <c r="D138" s="1765"/>
      <c r="E138" s="1766"/>
      <c r="F138" s="1701"/>
      <c r="G138" s="1701"/>
      <c r="H138" s="1701"/>
      <c r="I138" s="1701"/>
      <c r="J138" s="1701"/>
      <c r="K138" s="1701"/>
      <c r="L138" s="1701"/>
      <c r="M138" s="1701"/>
      <c r="N138" s="1701"/>
      <c r="O138" s="1740"/>
      <c r="P138" s="1742"/>
      <c r="Q138" s="1"/>
      <c r="R138" s="1"/>
      <c r="S138" s="1"/>
      <c r="T138" s="1"/>
      <c r="U138" s="1"/>
    </row>
    <row r="139" spans="1:22">
      <c r="A139" s="1"/>
      <c r="B139" s="56"/>
      <c r="C139" s="41"/>
      <c r="D139" s="1765"/>
      <c r="E139" s="1766"/>
      <c r="F139" s="1701"/>
      <c r="G139" s="1701"/>
      <c r="H139" s="1701"/>
      <c r="I139" s="1701"/>
      <c r="J139" s="1701"/>
      <c r="K139" s="1701"/>
      <c r="L139" s="1701"/>
      <c r="M139" s="1701"/>
      <c r="N139" s="1701"/>
      <c r="O139" s="1740"/>
      <c r="P139" s="1742"/>
      <c r="Q139" s="1"/>
      <c r="R139" s="1"/>
      <c r="S139" s="1"/>
      <c r="T139" s="1"/>
      <c r="U139" s="1"/>
    </row>
    <row r="140" spans="1:22" ht="15.75" thickBot="1">
      <c r="A140" s="1"/>
      <c r="B140" s="57"/>
      <c r="C140" s="44"/>
      <c r="D140" s="1761"/>
      <c r="E140" s="1762"/>
      <c r="F140" s="1749"/>
      <c r="G140" s="1749"/>
      <c r="H140" s="1749"/>
      <c r="I140" s="1749"/>
      <c r="J140" s="1749"/>
      <c r="K140" s="1749"/>
      <c r="L140" s="1749"/>
      <c r="M140" s="1749"/>
      <c r="N140" s="1749"/>
      <c r="O140" s="1746"/>
      <c r="P140" s="1748"/>
      <c r="Q140" s="1"/>
      <c r="R140" s="1"/>
      <c r="S140" s="1"/>
      <c r="T140" s="1"/>
      <c r="U140" s="1"/>
    </row>
    <row r="141" spans="1:22">
      <c r="A141" s="1"/>
      <c r="B141" s="1"/>
      <c r="C141" s="1"/>
      <c r="D141" s="1"/>
      <c r="E141" s="1"/>
      <c r="F141" s="1"/>
      <c r="G141" s="1"/>
      <c r="H141" s="1"/>
      <c r="I141" s="24"/>
      <c r="J141" s="24"/>
      <c r="K141" s="1"/>
      <c r="L141" s="1"/>
      <c r="M141" s="1"/>
      <c r="N141" s="1"/>
      <c r="O141" s="1"/>
      <c r="P141" s="1"/>
      <c r="Q141" s="1"/>
      <c r="R141" s="1"/>
      <c r="S141" s="1"/>
      <c r="T141" s="1"/>
      <c r="U141" s="1"/>
      <c r="V141" s="1"/>
    </row>
    <row r="142" spans="1:22">
      <c r="A142" s="8" t="s">
        <v>392</v>
      </c>
      <c r="B142" s="8" t="s">
        <v>376</v>
      </c>
      <c r="C142" s="8"/>
      <c r="D142" s="1"/>
      <c r="E142" s="1"/>
      <c r="F142" s="1"/>
      <c r="G142" s="1"/>
      <c r="H142" s="1"/>
      <c r="I142" s="24"/>
      <c r="J142" s="24"/>
      <c r="K142" s="1"/>
      <c r="L142" s="1"/>
      <c r="M142" s="1"/>
      <c r="N142" s="1"/>
      <c r="O142" s="1"/>
      <c r="P142" s="1"/>
      <c r="Q142" s="1"/>
      <c r="R142" s="1"/>
      <c r="S142" s="1"/>
      <c r="T142" s="1"/>
      <c r="U142" s="1"/>
      <c r="V142" s="1"/>
    </row>
    <row r="143" spans="1:22" ht="15.75" thickBot="1">
      <c r="A143" s="1"/>
      <c r="B143" s="1"/>
      <c r="C143" s="1"/>
      <c r="D143" s="1"/>
      <c r="E143" s="1"/>
      <c r="F143" s="1"/>
      <c r="G143" s="1"/>
      <c r="H143" s="1"/>
      <c r="I143" s="24"/>
      <c r="J143" s="24"/>
      <c r="K143" s="1"/>
      <c r="L143" s="1"/>
      <c r="M143" s="1"/>
      <c r="N143" s="1"/>
      <c r="O143" s="1"/>
      <c r="P143" s="1"/>
      <c r="Q143" s="1"/>
      <c r="R143" s="1"/>
      <c r="S143" s="1"/>
      <c r="T143" s="1"/>
      <c r="U143" s="1"/>
      <c r="V143" s="1"/>
    </row>
    <row r="144" spans="1:22" ht="27" thickBot="1">
      <c r="A144" s="1"/>
      <c r="B144" s="58" t="s">
        <v>371</v>
      </c>
      <c r="C144" s="59"/>
      <c r="D144" s="1816" t="s">
        <v>372</v>
      </c>
      <c r="E144" s="1816"/>
      <c r="F144" s="35" t="s">
        <v>373</v>
      </c>
      <c r="G144" s="35" t="s">
        <v>26</v>
      </c>
      <c r="H144" s="110" t="s">
        <v>346</v>
      </c>
      <c r="I144" s="66" t="s">
        <v>374</v>
      </c>
      <c r="J144" s="66" t="s">
        <v>375</v>
      </c>
      <c r="K144" s="1816" t="s">
        <v>115</v>
      </c>
      <c r="L144" s="1806"/>
      <c r="M144" s="1"/>
      <c r="N144" s="1"/>
      <c r="O144" s="1"/>
      <c r="P144" s="1"/>
      <c r="Q144" s="1"/>
      <c r="R144" s="1"/>
      <c r="S144" s="1"/>
      <c r="T144" s="1"/>
    </row>
    <row r="145" spans="1:22">
      <c r="A145" s="1"/>
      <c r="B145" s="1860"/>
      <c r="C145" s="1772"/>
      <c r="D145" s="1769"/>
      <c r="E145" s="1769"/>
      <c r="F145" s="39"/>
      <c r="G145" s="39"/>
      <c r="H145" s="111"/>
      <c r="I145" s="39"/>
      <c r="J145" s="39"/>
      <c r="K145" s="1769"/>
      <c r="L145" s="1770"/>
      <c r="M145" s="1"/>
      <c r="N145" s="1"/>
      <c r="O145" s="1"/>
      <c r="P145" s="1"/>
      <c r="Q145" s="1"/>
      <c r="R145" s="1"/>
      <c r="S145" s="1"/>
      <c r="T145" s="1"/>
    </row>
    <row r="146" spans="1:22">
      <c r="A146" s="1"/>
      <c r="B146" s="1859"/>
      <c r="C146" s="1766"/>
      <c r="D146" s="1701"/>
      <c r="E146" s="1701"/>
      <c r="F146" s="27"/>
      <c r="G146" s="27"/>
      <c r="H146" s="108"/>
      <c r="I146" s="27"/>
      <c r="J146" s="27"/>
      <c r="K146" s="1701"/>
      <c r="L146" s="1757"/>
      <c r="M146" s="1"/>
      <c r="N146" s="1"/>
      <c r="O146" s="1"/>
      <c r="P146" s="1"/>
      <c r="Q146" s="1"/>
      <c r="R146" s="1"/>
      <c r="S146" s="1"/>
      <c r="T146" s="1"/>
    </row>
    <row r="147" spans="1:22">
      <c r="A147" s="1"/>
      <c r="B147" s="1859"/>
      <c r="C147" s="1766"/>
      <c r="D147" s="1701"/>
      <c r="E147" s="1701"/>
      <c r="F147" s="27"/>
      <c r="G147" s="27"/>
      <c r="H147" s="108"/>
      <c r="I147" s="27"/>
      <c r="J147" s="27"/>
      <c r="K147" s="1701"/>
      <c r="L147" s="1757"/>
      <c r="M147" s="1"/>
      <c r="N147" s="1"/>
      <c r="O147" s="1"/>
      <c r="P147" s="1"/>
      <c r="Q147" s="1"/>
      <c r="R147" s="1"/>
      <c r="S147" s="1"/>
      <c r="T147" s="1"/>
    </row>
    <row r="148" spans="1:22">
      <c r="A148" s="1"/>
      <c r="B148" s="1859"/>
      <c r="C148" s="1766"/>
      <c r="D148" s="1701"/>
      <c r="E148" s="1701"/>
      <c r="F148" s="27"/>
      <c r="G148" s="27"/>
      <c r="H148" s="108"/>
      <c r="I148" s="27"/>
      <c r="J148" s="27"/>
      <c r="K148" s="1701"/>
      <c r="L148" s="1757"/>
      <c r="M148" s="1"/>
      <c r="N148" s="1"/>
      <c r="O148" s="1"/>
      <c r="P148" s="1"/>
      <c r="Q148" s="1"/>
      <c r="R148" s="1"/>
      <c r="S148" s="1"/>
      <c r="T148" s="1"/>
    </row>
    <row r="149" spans="1:22">
      <c r="A149" s="1"/>
      <c r="B149" s="1859"/>
      <c r="C149" s="1766"/>
      <c r="D149" s="1701"/>
      <c r="E149" s="1701"/>
      <c r="F149" s="27"/>
      <c r="G149" s="27"/>
      <c r="H149" s="108"/>
      <c r="I149" s="27"/>
      <c r="J149" s="27"/>
      <c r="K149" s="1701"/>
      <c r="L149" s="1757"/>
      <c r="M149" s="1"/>
      <c r="N149" s="1"/>
      <c r="O149" s="1"/>
      <c r="P149" s="1"/>
      <c r="Q149" s="1"/>
      <c r="R149" s="1"/>
      <c r="S149" s="1"/>
      <c r="T149" s="1"/>
    </row>
    <row r="150" spans="1:22" ht="15.75" thickBot="1">
      <c r="A150" s="1"/>
      <c r="B150" s="1835"/>
      <c r="C150" s="1762"/>
      <c r="D150" s="1749"/>
      <c r="E150" s="1749"/>
      <c r="F150" s="46"/>
      <c r="G150" s="46"/>
      <c r="H150" s="109"/>
      <c r="I150" s="46"/>
      <c r="J150" s="46"/>
      <c r="K150" s="1749"/>
      <c r="L150" s="1750"/>
      <c r="M150" s="1"/>
      <c r="N150" s="1"/>
      <c r="O150" s="1"/>
      <c r="P150" s="1"/>
      <c r="Q150" s="1"/>
      <c r="R150" s="1"/>
      <c r="S150" s="1"/>
      <c r="T150" s="1"/>
    </row>
    <row r="151" spans="1:22">
      <c r="A151" s="1"/>
      <c r="B151" s="1"/>
      <c r="C151" s="1"/>
      <c r="D151" s="1"/>
      <c r="E151" s="1"/>
      <c r="F151" s="1"/>
      <c r="G151" s="1"/>
      <c r="H151" s="1"/>
      <c r="I151" s="24"/>
      <c r="J151" s="24"/>
      <c r="K151" s="1"/>
      <c r="L151" s="1"/>
      <c r="M151" s="1"/>
      <c r="N151" s="1"/>
      <c r="O151" s="1"/>
      <c r="P151" s="1"/>
      <c r="Q151" s="1"/>
      <c r="R151" s="1"/>
      <c r="S151" s="1"/>
      <c r="T151" s="1"/>
      <c r="U151" s="1"/>
      <c r="V151" s="1"/>
    </row>
    <row r="152" spans="1:22">
      <c r="A152" s="1"/>
      <c r="B152" s="8" t="s">
        <v>315</v>
      </c>
      <c r="C152" s="8"/>
      <c r="D152" s="1"/>
      <c r="E152" s="1"/>
      <c r="F152" s="1"/>
      <c r="G152" s="1"/>
      <c r="H152" s="1"/>
      <c r="I152" s="24"/>
      <c r="J152" s="24"/>
      <c r="K152" s="1"/>
      <c r="L152" s="1"/>
      <c r="M152" s="1"/>
      <c r="N152" s="1"/>
      <c r="O152" s="1"/>
      <c r="P152" s="1"/>
      <c r="Q152" s="1"/>
      <c r="R152" s="1"/>
      <c r="S152" s="1"/>
      <c r="T152" s="1"/>
      <c r="U152" s="1"/>
      <c r="V152" s="1"/>
    </row>
    <row r="153" spans="1:22" ht="15.75" thickBot="1">
      <c r="A153" s="1"/>
      <c r="B153" s="1"/>
      <c r="C153" s="1"/>
      <c r="D153" s="1"/>
      <c r="E153" s="1"/>
      <c r="F153" s="1"/>
      <c r="G153" s="1"/>
      <c r="H153" s="1"/>
      <c r="I153" s="24"/>
      <c r="J153" s="24"/>
      <c r="K153" s="1"/>
      <c r="L153" s="1"/>
      <c r="M153" s="1"/>
      <c r="N153" s="1"/>
      <c r="O153" s="1"/>
      <c r="P153" s="1"/>
      <c r="Q153" s="1"/>
      <c r="R153" s="1"/>
      <c r="S153" s="1"/>
      <c r="T153" s="1"/>
      <c r="U153" s="1"/>
      <c r="V153" s="1"/>
    </row>
    <row r="154" spans="1:22" ht="15.75" thickBot="1">
      <c r="A154" s="1"/>
      <c r="B154" s="1752" t="s">
        <v>45</v>
      </c>
      <c r="C154" s="1753"/>
      <c r="D154" s="1754"/>
      <c r="E154" s="1755" t="s">
        <v>371</v>
      </c>
      <c r="F154" s="1753"/>
      <c r="G154" s="1754" t="s">
        <v>115</v>
      </c>
      <c r="H154" s="1754"/>
      <c r="I154" s="1754"/>
      <c r="J154" s="1754" t="s">
        <v>380</v>
      </c>
      <c r="K154" s="1754"/>
      <c r="L154" s="1754" t="s">
        <v>377</v>
      </c>
      <c r="M154" s="1754"/>
      <c r="N154" s="1754" t="s">
        <v>378</v>
      </c>
      <c r="O154" s="1754"/>
      <c r="P154" s="1755" t="s">
        <v>379</v>
      </c>
      <c r="Q154" s="1756"/>
      <c r="R154" s="7"/>
      <c r="S154" s="1"/>
      <c r="T154" s="1"/>
      <c r="U154" s="1"/>
    </row>
    <row r="155" spans="1:22">
      <c r="A155" s="1"/>
      <c r="B155" s="1731"/>
      <c r="C155" s="1732"/>
      <c r="D155" s="1733"/>
      <c r="E155" s="1734"/>
      <c r="F155" s="1735"/>
      <c r="G155" s="1733"/>
      <c r="H155" s="1733"/>
      <c r="I155" s="1733"/>
      <c r="J155" s="1733"/>
      <c r="K155" s="1733"/>
      <c r="L155" s="1733"/>
      <c r="M155" s="1733"/>
      <c r="N155" s="1733"/>
      <c r="O155" s="1733"/>
      <c r="P155" s="1734"/>
      <c r="Q155" s="1736"/>
      <c r="R155" s="1"/>
      <c r="S155" s="1"/>
      <c r="T155" s="1"/>
      <c r="U155" s="1"/>
    </row>
    <row r="156" spans="1:22">
      <c r="A156" s="1"/>
      <c r="B156" s="1737"/>
      <c r="C156" s="1738"/>
      <c r="D156" s="1739"/>
      <c r="E156" s="1740"/>
      <c r="F156" s="1741"/>
      <c r="G156" s="1739"/>
      <c r="H156" s="1739"/>
      <c r="I156" s="1739"/>
      <c r="J156" s="1739"/>
      <c r="K156" s="1739"/>
      <c r="L156" s="1739"/>
      <c r="M156" s="1739"/>
      <c r="N156" s="1739"/>
      <c r="O156" s="1739"/>
      <c r="P156" s="1740"/>
      <c r="Q156" s="1742"/>
      <c r="R156" s="1"/>
      <c r="S156" s="1"/>
      <c r="T156" s="1"/>
      <c r="U156" s="1"/>
    </row>
    <row r="157" spans="1:22">
      <c r="A157" s="1"/>
      <c r="B157" s="1737"/>
      <c r="C157" s="1738"/>
      <c r="D157" s="1739"/>
      <c r="E157" s="1740"/>
      <c r="F157" s="1741"/>
      <c r="G157" s="1739"/>
      <c r="H157" s="1739"/>
      <c r="I157" s="1739"/>
      <c r="J157" s="1739"/>
      <c r="K157" s="1739"/>
      <c r="L157" s="1739"/>
      <c r="M157" s="1739"/>
      <c r="N157" s="1739"/>
      <c r="O157" s="1739"/>
      <c r="P157" s="1740"/>
      <c r="Q157" s="1742"/>
      <c r="R157" s="1"/>
      <c r="S157" s="1"/>
      <c r="T157" s="1"/>
      <c r="U157" s="1"/>
    </row>
    <row r="158" spans="1:22">
      <c r="A158" s="1"/>
      <c r="B158" s="1737"/>
      <c r="C158" s="1738"/>
      <c r="D158" s="1739"/>
      <c r="E158" s="1740"/>
      <c r="F158" s="1741"/>
      <c r="G158" s="1739"/>
      <c r="H158" s="1739"/>
      <c r="I158" s="1739"/>
      <c r="J158" s="1739"/>
      <c r="K158" s="1739"/>
      <c r="L158" s="1739"/>
      <c r="M158" s="1739"/>
      <c r="N158" s="1739"/>
      <c r="O158" s="1739"/>
      <c r="P158" s="1740"/>
      <c r="Q158" s="1742"/>
      <c r="R158" s="1"/>
      <c r="S158" s="1"/>
      <c r="T158" s="1"/>
      <c r="U158" s="1"/>
    </row>
    <row r="159" spans="1:22">
      <c r="A159" s="1"/>
      <c r="B159" s="1737"/>
      <c r="C159" s="1738"/>
      <c r="D159" s="1739"/>
      <c r="E159" s="1740"/>
      <c r="F159" s="1741"/>
      <c r="G159" s="1739"/>
      <c r="H159" s="1739"/>
      <c r="I159" s="1739"/>
      <c r="J159" s="1739"/>
      <c r="K159" s="1739"/>
      <c r="L159" s="1739"/>
      <c r="M159" s="1739"/>
      <c r="N159" s="1739"/>
      <c r="O159" s="1739"/>
      <c r="P159" s="1740"/>
      <c r="Q159" s="1742"/>
      <c r="R159" s="1"/>
      <c r="S159" s="1"/>
      <c r="T159" s="1"/>
      <c r="U159" s="1"/>
    </row>
    <row r="160" spans="1:22">
      <c r="A160" s="1"/>
      <c r="B160" s="1737"/>
      <c r="C160" s="1738"/>
      <c r="D160" s="1739"/>
      <c r="E160" s="1740"/>
      <c r="F160" s="1741"/>
      <c r="G160" s="1739"/>
      <c r="H160" s="1739"/>
      <c r="I160" s="1739"/>
      <c r="J160" s="1739"/>
      <c r="K160" s="1739"/>
      <c r="L160" s="1739"/>
      <c r="M160" s="1739"/>
      <c r="N160" s="1739"/>
      <c r="O160" s="1739"/>
      <c r="P160" s="1740"/>
      <c r="Q160" s="1742"/>
      <c r="R160" s="1"/>
      <c r="S160" s="1"/>
      <c r="T160" s="1"/>
      <c r="U160" s="1"/>
    </row>
    <row r="161" spans="1:22" ht="15.75" thickBot="1">
      <c r="A161" s="1"/>
      <c r="B161" s="1743"/>
      <c r="C161" s="1744"/>
      <c r="D161" s="1745"/>
      <c r="E161" s="1746"/>
      <c r="F161" s="1747"/>
      <c r="G161" s="1745"/>
      <c r="H161" s="1745"/>
      <c r="I161" s="1745"/>
      <c r="J161" s="1745"/>
      <c r="K161" s="1745"/>
      <c r="L161" s="1745"/>
      <c r="M161" s="1745"/>
      <c r="N161" s="1745"/>
      <c r="O161" s="1745"/>
      <c r="P161" s="1746"/>
      <c r="Q161" s="1748"/>
      <c r="R161" s="1"/>
      <c r="S161" s="1"/>
      <c r="T161" s="1"/>
      <c r="U161" s="1"/>
    </row>
    <row r="162" spans="1:22">
      <c r="A162" s="1"/>
      <c r="B162" s="1"/>
      <c r="C162" s="1"/>
      <c r="D162" s="1"/>
      <c r="E162" s="1"/>
      <c r="F162" s="1"/>
      <c r="G162" s="1"/>
      <c r="H162" s="1"/>
      <c r="I162" s="24"/>
      <c r="J162" s="24"/>
      <c r="K162" s="1"/>
      <c r="L162" s="1"/>
      <c r="M162" s="1"/>
      <c r="N162" s="1"/>
      <c r="O162" s="1"/>
      <c r="P162" s="1"/>
      <c r="Q162" s="1"/>
      <c r="R162" s="1"/>
      <c r="S162" s="1"/>
      <c r="T162" s="1"/>
      <c r="U162" s="1"/>
      <c r="V162" s="1"/>
    </row>
    <row r="163" spans="1:22">
      <c r="A163" s="1"/>
      <c r="B163" s="8" t="s">
        <v>381</v>
      </c>
      <c r="C163" s="8"/>
      <c r="D163" s="1"/>
      <c r="E163" s="1"/>
      <c r="F163" s="1"/>
      <c r="G163" s="1"/>
      <c r="H163" s="1"/>
      <c r="I163" s="24"/>
      <c r="J163" s="24"/>
      <c r="K163" s="1"/>
      <c r="L163" s="1"/>
      <c r="M163" s="1"/>
      <c r="N163" s="1"/>
      <c r="O163" s="1"/>
      <c r="P163" s="1"/>
      <c r="Q163" s="1"/>
      <c r="R163" s="1"/>
      <c r="S163" s="1"/>
      <c r="T163" s="1"/>
      <c r="U163" s="1"/>
      <c r="V163" s="1"/>
    </row>
    <row r="164" spans="1:22" ht="15.75" thickBot="1">
      <c r="A164" s="1"/>
      <c r="B164" s="1"/>
      <c r="C164" s="1"/>
      <c r="D164" s="1"/>
      <c r="E164" s="1"/>
      <c r="F164" s="1"/>
      <c r="G164" s="1"/>
      <c r="H164" s="1"/>
      <c r="I164" s="24"/>
      <c r="J164" s="24"/>
      <c r="K164" s="1"/>
      <c r="L164" s="1"/>
      <c r="M164" s="1"/>
      <c r="N164" s="1"/>
      <c r="O164" s="1"/>
      <c r="P164" s="1"/>
      <c r="Q164" s="1"/>
      <c r="R164" s="1"/>
      <c r="S164" s="1"/>
      <c r="T164" s="7"/>
      <c r="U164" s="1"/>
      <c r="V164" s="1"/>
    </row>
    <row r="165" spans="1:22" ht="15.75" thickBot="1">
      <c r="A165" s="1"/>
      <c r="B165" s="1804" t="s">
        <v>45</v>
      </c>
      <c r="C165" s="1820"/>
      <c r="D165" s="1816"/>
      <c r="E165" s="134" t="s">
        <v>373</v>
      </c>
      <c r="F165" s="135"/>
      <c r="G165" s="110" t="s">
        <v>94</v>
      </c>
      <c r="H165" s="110" t="s">
        <v>382</v>
      </c>
      <c r="I165" s="110"/>
      <c r="J165" s="110" t="s">
        <v>346</v>
      </c>
      <c r="K165" s="1847" t="s">
        <v>115</v>
      </c>
      <c r="L165" s="1848"/>
      <c r="M165" s="1"/>
      <c r="N165" s="1"/>
      <c r="O165" s="1"/>
      <c r="P165" s="1"/>
      <c r="Q165" s="1"/>
      <c r="R165" s="1"/>
      <c r="S165" s="1"/>
      <c r="T165" s="1"/>
    </row>
    <row r="166" spans="1:22">
      <c r="A166" s="1"/>
      <c r="B166" s="1846"/>
      <c r="C166" s="1798"/>
      <c r="D166" s="1769"/>
      <c r="E166" s="36"/>
      <c r="F166" s="37"/>
      <c r="G166" s="111"/>
      <c r="H166" s="36"/>
      <c r="I166" s="37"/>
      <c r="J166" s="111"/>
      <c r="K166" s="1856"/>
      <c r="L166" s="1857"/>
      <c r="M166" s="1"/>
      <c r="N166" s="1"/>
      <c r="O166" s="1"/>
      <c r="P166" s="1"/>
      <c r="Q166" s="1"/>
      <c r="R166" s="1"/>
      <c r="S166" s="1"/>
      <c r="T166" s="1"/>
    </row>
    <row r="167" spans="1:22">
      <c r="A167" s="1"/>
      <c r="B167" s="1700"/>
      <c r="C167" s="1706"/>
      <c r="D167" s="1701"/>
      <c r="E167" s="40"/>
      <c r="F167" s="41"/>
      <c r="G167" s="108"/>
      <c r="H167" s="40"/>
      <c r="I167" s="41"/>
      <c r="J167" s="108"/>
      <c r="K167" s="1851"/>
      <c r="L167" s="1852"/>
      <c r="M167" s="1"/>
      <c r="N167" s="1"/>
      <c r="O167" s="1"/>
      <c r="P167" s="1"/>
      <c r="Q167" s="1"/>
      <c r="R167" s="1"/>
      <c r="S167" s="1"/>
      <c r="T167" s="1"/>
    </row>
    <row r="168" spans="1:22">
      <c r="A168" s="1"/>
      <c r="B168" s="1700"/>
      <c r="C168" s="1706"/>
      <c r="D168" s="1701"/>
      <c r="E168" s="40"/>
      <c r="F168" s="41"/>
      <c r="G168" s="108"/>
      <c r="H168" s="40"/>
      <c r="I168" s="41"/>
      <c r="J168" s="108"/>
      <c r="K168" s="1851"/>
      <c r="L168" s="1852"/>
      <c r="M168" s="1"/>
      <c r="N168" s="1"/>
      <c r="O168" s="1"/>
      <c r="P168" s="1"/>
      <c r="Q168" s="1"/>
      <c r="R168" s="1"/>
      <c r="S168" s="1"/>
      <c r="T168" s="1"/>
    </row>
    <row r="169" spans="1:22">
      <c r="A169" s="1"/>
      <c r="B169" s="1700"/>
      <c r="C169" s="1706"/>
      <c r="D169" s="1701"/>
      <c r="E169" s="40"/>
      <c r="F169" s="41"/>
      <c r="G169" s="108"/>
      <c r="H169" s="40"/>
      <c r="I169" s="41"/>
      <c r="J169" s="108"/>
      <c r="K169" s="1851"/>
      <c r="L169" s="1852"/>
      <c r="M169" s="1"/>
      <c r="N169" s="1"/>
      <c r="O169" s="1"/>
      <c r="P169" s="1"/>
      <c r="Q169" s="1"/>
      <c r="R169" s="1"/>
      <c r="S169" s="1"/>
      <c r="T169" s="1"/>
    </row>
    <row r="170" spans="1:22">
      <c r="A170" s="7"/>
      <c r="B170" s="1700"/>
      <c r="C170" s="1706"/>
      <c r="D170" s="1701"/>
      <c r="E170" s="40"/>
      <c r="F170" s="41"/>
      <c r="G170" s="108"/>
      <c r="H170" s="40"/>
      <c r="I170" s="41"/>
      <c r="J170" s="108"/>
      <c r="K170" s="1851"/>
      <c r="L170" s="1852"/>
      <c r="M170" s="1"/>
      <c r="N170" s="1"/>
      <c r="O170" s="1"/>
      <c r="P170" s="1"/>
      <c r="Q170" s="1"/>
      <c r="R170" s="1"/>
      <c r="S170" s="1"/>
      <c r="T170" s="1"/>
    </row>
    <row r="171" spans="1:22">
      <c r="A171" s="1"/>
      <c r="B171" s="1700"/>
      <c r="C171" s="1706"/>
      <c r="D171" s="1701"/>
      <c r="E171" s="40"/>
      <c r="F171" s="41"/>
      <c r="G171" s="108"/>
      <c r="H171" s="40"/>
      <c r="I171" s="41"/>
      <c r="J171" s="108"/>
      <c r="K171" s="1851"/>
      <c r="L171" s="1852"/>
      <c r="M171" s="1"/>
      <c r="N171" s="1"/>
      <c r="O171" s="1"/>
      <c r="P171" s="1"/>
      <c r="Q171" s="1"/>
      <c r="R171" s="7"/>
      <c r="S171" s="1"/>
      <c r="T171" s="1"/>
    </row>
    <row r="172" spans="1:22">
      <c r="A172" s="1"/>
      <c r="B172" s="1700"/>
      <c r="C172" s="1706"/>
      <c r="D172" s="1701"/>
      <c r="E172" s="40"/>
      <c r="F172" s="41"/>
      <c r="G172" s="108"/>
      <c r="H172" s="40"/>
      <c r="I172" s="41"/>
      <c r="J172" s="108"/>
      <c r="K172" s="1851"/>
      <c r="L172" s="1852"/>
      <c r="M172" s="1"/>
      <c r="N172" s="1"/>
      <c r="O172" s="1"/>
      <c r="P172" s="1"/>
      <c r="Q172" s="1"/>
      <c r="R172" s="1"/>
      <c r="S172" s="1"/>
      <c r="T172" s="1"/>
    </row>
    <row r="173" spans="1:22" ht="15.75" thickBot="1">
      <c r="A173" s="1"/>
      <c r="B173" s="1803"/>
      <c r="C173" s="1673"/>
      <c r="D173" s="1749"/>
      <c r="E173" s="43"/>
      <c r="F173" s="44"/>
      <c r="G173" s="109"/>
      <c r="H173" s="43"/>
      <c r="I173" s="44"/>
      <c r="J173" s="109"/>
      <c r="K173" s="1849"/>
      <c r="L173" s="1850"/>
      <c r="M173" s="1"/>
      <c r="N173" s="1"/>
      <c r="O173" s="1"/>
      <c r="P173" s="1"/>
      <c r="Q173" s="1"/>
      <c r="R173" s="1"/>
      <c r="S173" s="1"/>
      <c r="T173" s="1"/>
    </row>
    <row r="174" spans="1:22">
      <c r="A174" s="1"/>
      <c r="B174" s="1"/>
      <c r="C174" s="1"/>
      <c r="D174" s="1"/>
      <c r="E174" s="1"/>
      <c r="F174" s="1"/>
      <c r="G174" s="1"/>
      <c r="H174" s="1"/>
      <c r="I174" s="24"/>
      <c r="J174" s="24"/>
      <c r="K174" s="1"/>
      <c r="L174" s="1"/>
      <c r="M174" s="1"/>
      <c r="N174" s="1"/>
      <c r="O174" s="1"/>
      <c r="P174" s="1"/>
      <c r="Q174" s="1"/>
      <c r="R174" s="1"/>
      <c r="S174" s="1"/>
      <c r="T174" s="1"/>
      <c r="U174" s="1"/>
      <c r="V174" s="1"/>
    </row>
    <row r="175" spans="1:22">
      <c r="A175" s="1"/>
      <c r="B175" s="8" t="s">
        <v>383</v>
      </c>
      <c r="C175" s="8"/>
      <c r="D175" s="1"/>
      <c r="E175" s="1"/>
      <c r="F175" s="1"/>
      <c r="G175" s="1"/>
      <c r="H175" s="1"/>
      <c r="I175" s="24"/>
      <c r="J175" s="24"/>
      <c r="K175" s="1"/>
      <c r="L175" s="1"/>
      <c r="M175" s="1"/>
      <c r="N175" s="1"/>
      <c r="O175" s="1"/>
      <c r="P175" s="1"/>
      <c r="Q175" s="1"/>
      <c r="R175" s="1"/>
      <c r="S175" s="1"/>
      <c r="T175" s="1"/>
      <c r="U175" s="1"/>
      <c r="V175" s="1"/>
    </row>
    <row r="176" spans="1:22" ht="15.75" thickBot="1">
      <c r="A176" s="1"/>
      <c r="B176" s="1"/>
      <c r="C176" s="1"/>
      <c r="D176" s="1"/>
      <c r="E176" s="1"/>
      <c r="F176" s="1"/>
      <c r="G176" s="1"/>
      <c r="H176" s="1"/>
      <c r="I176" s="24"/>
      <c r="J176" s="24"/>
      <c r="K176" s="1"/>
      <c r="L176" s="1"/>
      <c r="M176" s="1"/>
      <c r="N176" s="1"/>
      <c r="O176" s="1"/>
      <c r="P176" s="1"/>
      <c r="Q176" s="1"/>
      <c r="R176" s="1"/>
      <c r="S176" s="1"/>
      <c r="T176" s="1"/>
      <c r="U176" s="1"/>
      <c r="V176" s="1"/>
    </row>
    <row r="177" spans="1:22" ht="15.75" thickBot="1">
      <c r="A177" s="1"/>
      <c r="B177" s="1752" t="s">
        <v>45</v>
      </c>
      <c r="C177" s="1753"/>
      <c r="D177" s="1754"/>
      <c r="E177" s="1755" t="s">
        <v>371</v>
      </c>
      <c r="F177" s="1753"/>
      <c r="G177" s="69" t="s">
        <v>115</v>
      </c>
      <c r="H177" s="70"/>
      <c r="I177" s="1754" t="s">
        <v>380</v>
      </c>
      <c r="J177" s="1754"/>
      <c r="K177" s="1754" t="s">
        <v>377</v>
      </c>
      <c r="L177" s="1754"/>
      <c r="M177" s="1754" t="s">
        <v>378</v>
      </c>
      <c r="N177" s="1754"/>
      <c r="O177" s="1755" t="s">
        <v>379</v>
      </c>
      <c r="P177" s="1756"/>
      <c r="Q177" s="7"/>
      <c r="R177" s="1"/>
      <c r="S177" s="1"/>
      <c r="T177" s="1"/>
    </row>
    <row r="178" spans="1:22">
      <c r="A178" s="1"/>
      <c r="B178" s="1731"/>
      <c r="C178" s="1732"/>
      <c r="D178" s="1733"/>
      <c r="E178" s="1734"/>
      <c r="F178" s="1735"/>
      <c r="G178" s="71"/>
      <c r="H178" s="72"/>
      <c r="I178" s="1733"/>
      <c r="J178" s="1733"/>
      <c r="K178" s="1733"/>
      <c r="L178" s="1733"/>
      <c r="M178" s="1733"/>
      <c r="N178" s="1733"/>
      <c r="O178" s="1734"/>
      <c r="P178" s="1736"/>
      <c r="Q178" s="1"/>
      <c r="R178" s="1"/>
      <c r="S178" s="1"/>
      <c r="T178" s="1"/>
    </row>
    <row r="179" spans="1:22">
      <c r="A179" s="1"/>
      <c r="B179" s="1737"/>
      <c r="C179" s="1738"/>
      <c r="D179" s="1739"/>
      <c r="E179" s="1740"/>
      <c r="F179" s="1741"/>
      <c r="G179" s="73"/>
      <c r="H179" s="74"/>
      <c r="I179" s="1739"/>
      <c r="J179" s="1739"/>
      <c r="K179" s="1739"/>
      <c r="L179" s="1739"/>
      <c r="M179" s="1739"/>
      <c r="N179" s="1739"/>
      <c r="O179" s="1740"/>
      <c r="P179" s="1742"/>
      <c r="Q179" s="1"/>
      <c r="R179" s="1"/>
      <c r="S179" s="1"/>
      <c r="T179" s="1"/>
    </row>
    <row r="180" spans="1:22">
      <c r="A180" s="1"/>
      <c r="B180" s="1737"/>
      <c r="C180" s="1738"/>
      <c r="D180" s="1739"/>
      <c r="E180" s="1740"/>
      <c r="F180" s="1741"/>
      <c r="G180" s="73"/>
      <c r="H180" s="74"/>
      <c r="I180" s="1739"/>
      <c r="J180" s="1739"/>
      <c r="K180" s="1739"/>
      <c r="L180" s="1739"/>
      <c r="M180" s="1739"/>
      <c r="N180" s="1739"/>
      <c r="O180" s="1740"/>
      <c r="P180" s="1742"/>
      <c r="Q180" s="1"/>
      <c r="R180" s="1"/>
      <c r="S180" s="1"/>
      <c r="T180" s="1"/>
    </row>
    <row r="181" spans="1:22">
      <c r="A181" s="1"/>
      <c r="B181" s="1737"/>
      <c r="C181" s="1738"/>
      <c r="D181" s="1739"/>
      <c r="E181" s="1740"/>
      <c r="F181" s="1741"/>
      <c r="G181" s="73"/>
      <c r="H181" s="74"/>
      <c r="I181" s="1739"/>
      <c r="J181" s="1739"/>
      <c r="K181" s="1739"/>
      <c r="L181" s="1739"/>
      <c r="M181" s="1739"/>
      <c r="N181" s="1739"/>
      <c r="O181" s="1740"/>
      <c r="P181" s="1742"/>
      <c r="Q181" s="1"/>
      <c r="R181" s="1"/>
      <c r="S181" s="1"/>
      <c r="T181" s="1"/>
    </row>
    <row r="182" spans="1:22">
      <c r="A182" s="1"/>
      <c r="B182" s="1737"/>
      <c r="C182" s="1738"/>
      <c r="D182" s="1739"/>
      <c r="E182" s="1740"/>
      <c r="F182" s="1741"/>
      <c r="G182" s="73"/>
      <c r="H182" s="74"/>
      <c r="I182" s="1739"/>
      <c r="J182" s="1739"/>
      <c r="K182" s="1739"/>
      <c r="L182" s="1739"/>
      <c r="M182" s="1739"/>
      <c r="N182" s="1739"/>
      <c r="O182" s="1740"/>
      <c r="P182" s="1742"/>
      <c r="Q182" s="1"/>
      <c r="R182" s="1"/>
      <c r="S182" s="1"/>
      <c r="T182" s="1"/>
    </row>
    <row r="183" spans="1:22">
      <c r="A183" s="1"/>
      <c r="B183" s="1737"/>
      <c r="C183" s="1738"/>
      <c r="D183" s="1739"/>
      <c r="E183" s="1740"/>
      <c r="F183" s="1741"/>
      <c r="G183" s="73"/>
      <c r="H183" s="74"/>
      <c r="I183" s="1739"/>
      <c r="J183" s="1739"/>
      <c r="K183" s="1739"/>
      <c r="L183" s="1739"/>
      <c r="M183" s="1739"/>
      <c r="N183" s="1739"/>
      <c r="O183" s="1740"/>
      <c r="P183" s="1742"/>
      <c r="Q183" s="1"/>
      <c r="R183" s="1"/>
      <c r="S183" s="1"/>
      <c r="T183" s="1"/>
    </row>
    <row r="184" spans="1:22" ht="15.75" thickBot="1">
      <c r="A184" s="1"/>
      <c r="B184" s="1743"/>
      <c r="C184" s="1744"/>
      <c r="D184" s="1745"/>
      <c r="E184" s="1746"/>
      <c r="F184" s="1747"/>
      <c r="G184" s="75"/>
      <c r="H184" s="76"/>
      <c r="I184" s="1745"/>
      <c r="J184" s="1745"/>
      <c r="K184" s="1745"/>
      <c r="L184" s="1745"/>
      <c r="M184" s="1745"/>
      <c r="N184" s="1745"/>
      <c r="O184" s="1746"/>
      <c r="P184" s="1748"/>
      <c r="Q184" s="1"/>
      <c r="R184" s="1"/>
      <c r="S184" s="1"/>
      <c r="T184" s="1"/>
    </row>
    <row r="185" spans="1:22">
      <c r="A185" s="1"/>
      <c r="B185" s="1"/>
      <c r="C185" s="1"/>
      <c r="D185" s="1"/>
      <c r="E185" s="1"/>
      <c r="F185" s="1"/>
      <c r="G185" s="1"/>
      <c r="H185" s="1"/>
      <c r="I185" s="24"/>
      <c r="J185" s="24"/>
      <c r="K185" s="1"/>
      <c r="L185" s="1"/>
      <c r="M185" s="1"/>
      <c r="N185" s="1"/>
      <c r="O185" s="1"/>
      <c r="P185" s="1"/>
      <c r="Q185" s="1"/>
      <c r="R185" s="1"/>
      <c r="S185" s="1"/>
      <c r="T185" s="1"/>
      <c r="U185" s="1"/>
      <c r="V185" s="1"/>
    </row>
    <row r="186" spans="1:22">
      <c r="A186" s="1"/>
      <c r="B186" s="14"/>
      <c r="C186" s="14"/>
      <c r="D186" s="1"/>
      <c r="E186" s="1"/>
      <c r="F186" s="1"/>
      <c r="G186" s="1"/>
      <c r="H186" s="1"/>
      <c r="I186" s="1"/>
      <c r="J186" s="1"/>
      <c r="K186" s="24"/>
      <c r="L186" s="1"/>
      <c r="M186" s="1"/>
      <c r="N186" s="1"/>
      <c r="O186" s="1"/>
      <c r="P186" s="1"/>
      <c r="Q186" s="1"/>
      <c r="R186" s="1"/>
      <c r="S186" s="1"/>
      <c r="T186" s="1"/>
      <c r="U186" s="1"/>
      <c r="V186" s="1"/>
    </row>
    <row r="187" spans="1:22">
      <c r="A187" s="32" t="s">
        <v>1</v>
      </c>
      <c r="B187" s="13" t="s">
        <v>393</v>
      </c>
      <c r="C187" s="14"/>
      <c r="D187" s="1"/>
      <c r="E187" s="1"/>
      <c r="F187" s="1"/>
      <c r="G187" s="1"/>
      <c r="H187" s="1"/>
      <c r="I187" s="1"/>
      <c r="J187" s="1"/>
      <c r="K187" s="24"/>
      <c r="L187" s="1"/>
      <c r="M187" s="1"/>
      <c r="N187" s="1"/>
      <c r="O187" s="1"/>
      <c r="P187" s="1"/>
      <c r="Q187" s="1"/>
      <c r="R187" s="1"/>
      <c r="S187" s="1"/>
      <c r="T187" s="1"/>
      <c r="U187" s="1"/>
      <c r="V187" s="1"/>
    </row>
    <row r="188" spans="1:22">
      <c r="C188" s="14"/>
      <c r="D188" s="1"/>
      <c r="E188" s="1"/>
      <c r="F188" s="1"/>
      <c r="G188" s="1"/>
      <c r="H188" s="1"/>
      <c r="I188" s="24"/>
      <c r="J188" s="24"/>
      <c r="K188" s="1"/>
      <c r="L188" s="1"/>
      <c r="M188" s="1"/>
      <c r="N188" s="1"/>
      <c r="O188" s="1"/>
      <c r="P188" s="1"/>
      <c r="Q188" s="1"/>
      <c r="R188" s="1"/>
      <c r="S188" s="1"/>
      <c r="T188" s="1"/>
      <c r="U188" s="1"/>
      <c r="V188" s="1"/>
    </row>
    <row r="189" spans="1:22">
      <c r="A189" s="8" t="s">
        <v>384</v>
      </c>
      <c r="B189" s="8" t="s">
        <v>440</v>
      </c>
      <c r="C189" s="14"/>
      <c r="D189" s="1"/>
      <c r="E189" s="1"/>
      <c r="F189" s="1"/>
      <c r="G189" s="1"/>
      <c r="H189" s="1"/>
      <c r="I189" s="24"/>
      <c r="J189" s="24"/>
      <c r="K189" s="1"/>
      <c r="L189" s="1"/>
      <c r="M189" s="1"/>
      <c r="N189" s="1"/>
      <c r="O189" s="1"/>
      <c r="P189" s="1"/>
      <c r="Q189" s="1"/>
      <c r="R189" s="1"/>
      <c r="S189" s="1"/>
      <c r="T189" s="1"/>
      <c r="U189" s="1"/>
      <c r="V189" s="1"/>
    </row>
    <row r="190" spans="1:22">
      <c r="A190" s="8"/>
      <c r="B190" s="1"/>
      <c r="C190" s="25"/>
      <c r="I190" s="28"/>
      <c r="J190" s="28"/>
    </row>
    <row r="191" spans="1:22">
      <c r="A191" s="8" t="s">
        <v>385</v>
      </c>
      <c r="B191" s="8" t="s">
        <v>386</v>
      </c>
      <c r="C191" s="25"/>
      <c r="I191" s="28"/>
      <c r="J191" s="28"/>
    </row>
    <row r="192" spans="1:22" ht="15.75" thickBot="1"/>
    <row r="193" spans="2:16">
      <c r="B193" s="1" t="s">
        <v>306</v>
      </c>
      <c r="C193" s="1"/>
      <c r="D193" s="1"/>
      <c r="E193" s="1789"/>
      <c r="F193" s="1790"/>
      <c r="G193" s="1791"/>
      <c r="H193" s="60"/>
      <c r="I193" s="24" t="s">
        <v>279</v>
      </c>
      <c r="J193" s="24"/>
      <c r="K193" s="1"/>
      <c r="L193" s="1781"/>
      <c r="M193" s="1783"/>
      <c r="N193" s="1"/>
      <c r="O193" s="1"/>
      <c r="P193" s="1"/>
    </row>
    <row r="194" spans="2:16">
      <c r="B194" s="1"/>
      <c r="C194" s="1"/>
      <c r="D194" s="1"/>
      <c r="E194" s="1792"/>
      <c r="F194" s="1793"/>
      <c r="G194" s="1794"/>
      <c r="H194" s="60"/>
      <c r="I194" s="24" t="s">
        <v>147</v>
      </c>
      <c r="J194" s="24"/>
      <c r="K194" s="1"/>
      <c r="L194" s="1763"/>
      <c r="M194" s="1779"/>
      <c r="N194" s="1"/>
      <c r="O194" s="1"/>
      <c r="P194" s="1"/>
    </row>
    <row r="195" spans="2:16">
      <c r="B195" s="1" t="s">
        <v>307</v>
      </c>
      <c r="C195" s="1"/>
      <c r="D195" s="1"/>
      <c r="E195" s="1763"/>
      <c r="F195" s="1795"/>
      <c r="G195" s="1779"/>
      <c r="H195" s="60"/>
      <c r="I195" s="24" t="s">
        <v>308</v>
      </c>
      <c r="J195" s="24"/>
      <c r="K195" s="1"/>
      <c r="L195" s="1763"/>
      <c r="M195" s="1779"/>
      <c r="N195" s="1"/>
      <c r="O195" s="1"/>
      <c r="P195" s="1"/>
    </row>
    <row r="196" spans="2:16">
      <c r="B196" s="1" t="s">
        <v>313</v>
      </c>
      <c r="C196" s="1"/>
      <c r="D196" s="1"/>
      <c r="E196" s="1763"/>
      <c r="F196" s="1795"/>
      <c r="G196" s="1779"/>
      <c r="H196" s="60"/>
      <c r="I196" s="24" t="s">
        <v>309</v>
      </c>
      <c r="J196" s="24"/>
      <c r="K196" s="1"/>
      <c r="L196" s="1763"/>
      <c r="M196" s="1779"/>
      <c r="N196" s="1"/>
      <c r="O196" s="1"/>
      <c r="P196" s="1"/>
    </row>
    <row r="197" spans="2:16">
      <c r="B197" s="1" t="s">
        <v>250</v>
      </c>
      <c r="C197" s="1"/>
      <c r="D197" s="1"/>
      <c r="E197" s="1763"/>
      <c r="F197" s="1795"/>
      <c r="G197" s="1779"/>
      <c r="H197" s="60"/>
      <c r="I197" s="24" t="s">
        <v>90</v>
      </c>
      <c r="J197" s="24"/>
      <c r="K197" s="1"/>
      <c r="L197" s="1763"/>
      <c r="M197" s="1779"/>
      <c r="N197" s="1"/>
      <c r="O197" s="1"/>
      <c r="P197" s="1"/>
    </row>
    <row r="198" spans="2:16">
      <c r="B198" s="1" t="s">
        <v>16</v>
      </c>
      <c r="C198" s="1"/>
      <c r="D198" s="1"/>
      <c r="E198" s="1763"/>
      <c r="F198" s="1795"/>
      <c r="G198" s="1779"/>
      <c r="H198" s="60"/>
      <c r="I198" s="24" t="s">
        <v>326</v>
      </c>
      <c r="J198" s="24"/>
      <c r="K198" s="1"/>
      <c r="L198" s="1763"/>
      <c r="M198" s="1779"/>
      <c r="N198" s="1"/>
      <c r="O198" s="1"/>
      <c r="P198" s="1"/>
    </row>
    <row r="199" spans="2:16">
      <c r="B199" s="1" t="s">
        <v>310</v>
      </c>
      <c r="C199" s="1"/>
      <c r="D199" s="1"/>
      <c r="E199" s="1763"/>
      <c r="F199" s="1795"/>
      <c r="G199" s="1779"/>
      <c r="H199" s="60"/>
      <c r="I199" s="24" t="s">
        <v>449</v>
      </c>
      <c r="J199" s="24"/>
      <c r="K199" s="1"/>
      <c r="L199" s="1763"/>
      <c r="M199" s="1779"/>
      <c r="N199" s="1"/>
      <c r="O199" s="1"/>
      <c r="P199" s="1"/>
    </row>
    <row r="200" spans="2:16">
      <c r="B200" s="1" t="s">
        <v>312</v>
      </c>
      <c r="C200" s="1"/>
      <c r="D200" s="1"/>
      <c r="E200" s="1859"/>
      <c r="F200" s="1795"/>
      <c r="G200" s="1834"/>
      <c r="H200" s="60"/>
      <c r="I200" s="24" t="s">
        <v>324</v>
      </c>
      <c r="J200" s="24"/>
      <c r="K200" s="1"/>
      <c r="L200" s="1763"/>
      <c r="M200" s="1779"/>
      <c r="N200" s="1"/>
      <c r="O200" s="1"/>
      <c r="P200" s="1"/>
    </row>
    <row r="201" spans="2:16" ht="15.75" thickBot="1">
      <c r="B201" s="1" t="s">
        <v>311</v>
      </c>
      <c r="C201" s="1"/>
      <c r="D201" s="1"/>
      <c r="E201" s="1759"/>
      <c r="F201" s="1836"/>
      <c r="G201" s="1780"/>
      <c r="H201" s="60"/>
      <c r="I201" s="24" t="s">
        <v>325</v>
      </c>
      <c r="J201" s="24"/>
      <c r="K201" s="1"/>
      <c r="L201" s="1763"/>
      <c r="M201" s="1779"/>
      <c r="N201" s="1"/>
      <c r="O201" s="1"/>
      <c r="P201" s="1"/>
    </row>
    <row r="202" spans="2:16" ht="15.75" thickBot="1">
      <c r="H202" s="60"/>
      <c r="I202" s="24"/>
      <c r="J202" s="24"/>
      <c r="K202" s="1"/>
      <c r="L202" s="1759"/>
      <c r="M202" s="1780"/>
      <c r="N202" s="1"/>
      <c r="O202" s="1"/>
      <c r="P202" s="1"/>
    </row>
    <row r="203" spans="2:16">
      <c r="B203" s="1"/>
      <c r="C203" s="1"/>
      <c r="D203" s="1"/>
      <c r="E203" s="1"/>
      <c r="F203" s="1"/>
      <c r="G203" s="1"/>
      <c r="H203" s="1"/>
      <c r="I203" s="24"/>
      <c r="J203" s="24"/>
      <c r="K203" s="1"/>
      <c r="L203" s="1"/>
      <c r="M203" s="1"/>
      <c r="N203" s="1"/>
      <c r="O203" s="1"/>
      <c r="P203" s="1"/>
    </row>
    <row r="204" spans="2:16">
      <c r="B204" s="8" t="s">
        <v>318</v>
      </c>
      <c r="C204" s="8"/>
      <c r="D204" s="1"/>
      <c r="E204" s="1"/>
      <c r="F204" s="1"/>
      <c r="G204" s="1"/>
      <c r="H204" s="1"/>
      <c r="I204" s="33" t="s">
        <v>320</v>
      </c>
      <c r="J204" s="33"/>
      <c r="K204" s="1"/>
      <c r="L204" s="1"/>
      <c r="M204" s="1"/>
      <c r="N204" s="1"/>
      <c r="O204" s="1"/>
      <c r="P204" s="1"/>
    </row>
    <row r="205" spans="2:16" ht="15.75" thickBot="1">
      <c r="B205" s="1"/>
      <c r="C205" s="1"/>
      <c r="D205" s="1"/>
      <c r="E205" s="1"/>
      <c r="F205" s="1"/>
      <c r="G205" s="1"/>
      <c r="H205" s="1"/>
      <c r="I205" s="24"/>
      <c r="J205" s="24"/>
      <c r="K205" s="1"/>
      <c r="L205" s="1"/>
      <c r="M205" s="1"/>
      <c r="N205" s="1"/>
      <c r="O205" s="1"/>
      <c r="P205" s="1"/>
    </row>
    <row r="206" spans="2:16" ht="15.75" thickBot="1">
      <c r="B206" s="1" t="s">
        <v>319</v>
      </c>
      <c r="C206" s="1"/>
      <c r="D206" s="1"/>
      <c r="E206" s="1823"/>
      <c r="F206" s="1827"/>
      <c r="G206" s="1824"/>
      <c r="H206" s="60"/>
      <c r="I206" s="24" t="s">
        <v>321</v>
      </c>
      <c r="J206" s="24"/>
      <c r="K206" s="1"/>
      <c r="L206" s="1828"/>
      <c r="M206" s="1829"/>
      <c r="N206" s="1"/>
      <c r="O206" s="1"/>
      <c r="P206" s="1"/>
    </row>
    <row r="207" spans="2:16">
      <c r="B207" s="1"/>
      <c r="C207" s="1"/>
      <c r="D207" s="1"/>
      <c r="E207" s="1"/>
      <c r="F207" s="1"/>
      <c r="G207" s="1"/>
      <c r="H207" s="1"/>
      <c r="I207" s="24"/>
      <c r="J207" s="24"/>
      <c r="K207" s="1"/>
      <c r="L207" s="1"/>
      <c r="M207" s="1"/>
      <c r="N207" s="1"/>
      <c r="O207" s="1"/>
      <c r="P207" s="1"/>
    </row>
    <row r="208" spans="2:16">
      <c r="B208" s="8" t="s">
        <v>314</v>
      </c>
      <c r="C208" s="8"/>
      <c r="D208" s="1"/>
      <c r="E208" s="1"/>
      <c r="F208" s="1"/>
      <c r="G208" s="1"/>
      <c r="H208" s="1"/>
      <c r="I208" s="24"/>
      <c r="J208" s="24"/>
      <c r="K208" s="1"/>
      <c r="L208" s="1"/>
      <c r="M208" s="1"/>
      <c r="N208" s="1"/>
      <c r="O208" s="1"/>
      <c r="P208" s="1"/>
    </row>
    <row r="209" spans="2:16" ht="15.75" thickBot="1">
      <c r="B209" s="1"/>
      <c r="C209" s="1"/>
      <c r="D209" s="1"/>
      <c r="E209" s="1"/>
      <c r="F209" s="1"/>
      <c r="G209" s="1"/>
      <c r="H209" s="1"/>
      <c r="I209" s="24"/>
      <c r="J209" s="24"/>
      <c r="K209" s="1"/>
      <c r="L209" s="1"/>
      <c r="M209" s="1"/>
      <c r="N209" s="1"/>
      <c r="O209" s="1"/>
      <c r="P209" s="1"/>
    </row>
    <row r="210" spans="2:16" ht="15.75" thickBot="1">
      <c r="B210" s="1819" t="s">
        <v>45</v>
      </c>
      <c r="C210" s="1805"/>
      <c r="D210" s="1820"/>
      <c r="E210" s="1821" t="s">
        <v>329</v>
      </c>
      <c r="F210" s="1805"/>
      <c r="G210" s="1820"/>
      <c r="H210" s="1821" t="s">
        <v>29</v>
      </c>
      <c r="I210" s="1805"/>
      <c r="J210" s="1820"/>
      <c r="K210" s="1821" t="s">
        <v>30</v>
      </c>
      <c r="L210" s="1820"/>
      <c r="M210" s="1821" t="s">
        <v>330</v>
      </c>
      <c r="N210" s="1820"/>
      <c r="O210" s="1821" t="s">
        <v>331</v>
      </c>
      <c r="P210" s="1822"/>
    </row>
    <row r="211" spans="2:16">
      <c r="B211" s="1796"/>
      <c r="C211" s="1797"/>
      <c r="D211" s="1798"/>
      <c r="E211" s="1830"/>
      <c r="F211" s="1797"/>
      <c r="G211" s="1798"/>
      <c r="H211" s="1830"/>
      <c r="I211" s="1797"/>
      <c r="J211" s="1798"/>
      <c r="K211" s="1830"/>
      <c r="L211" s="1798"/>
      <c r="M211" s="1830"/>
      <c r="N211" s="1798"/>
      <c r="O211" s="1830"/>
      <c r="P211" s="1831"/>
    </row>
    <row r="212" spans="2:16">
      <c r="B212" s="1704"/>
      <c r="C212" s="1705"/>
      <c r="D212" s="1706"/>
      <c r="E212" s="1815"/>
      <c r="F212" s="1705"/>
      <c r="G212" s="1706"/>
      <c r="H212" s="1815"/>
      <c r="I212" s="1705"/>
      <c r="J212" s="1706"/>
      <c r="K212" s="1815"/>
      <c r="L212" s="1706"/>
      <c r="M212" s="1815"/>
      <c r="N212" s="1706"/>
      <c r="O212" s="1815"/>
      <c r="P212" s="1807"/>
    </row>
    <row r="213" spans="2:16" ht="15.75" thickBot="1">
      <c r="B213" s="1671"/>
      <c r="C213" s="1672"/>
      <c r="D213" s="1673"/>
      <c r="E213" s="1818"/>
      <c r="F213" s="1672"/>
      <c r="G213" s="1673"/>
      <c r="H213" s="1818"/>
      <c r="I213" s="1672"/>
      <c r="J213" s="1673"/>
      <c r="K213" s="1818"/>
      <c r="L213" s="1673"/>
      <c r="M213" s="1818"/>
      <c r="N213" s="1673"/>
      <c r="O213" s="1818"/>
      <c r="P213" s="1808"/>
    </row>
    <row r="214" spans="2:16">
      <c r="B214" s="1"/>
      <c r="C214" s="1"/>
      <c r="D214" s="1"/>
      <c r="E214" s="1"/>
      <c r="F214" s="1"/>
      <c r="G214" s="1"/>
      <c r="H214" s="1"/>
      <c r="I214" s="24"/>
      <c r="J214" s="24"/>
      <c r="K214" s="1"/>
      <c r="L214" s="1"/>
      <c r="M214" s="1"/>
      <c r="N214" s="1"/>
      <c r="O214" s="1"/>
      <c r="P214" s="1"/>
    </row>
    <row r="215" spans="2:16">
      <c r="B215" s="8" t="s">
        <v>322</v>
      </c>
      <c r="C215" s="8"/>
      <c r="D215" s="1"/>
      <c r="E215" s="1"/>
      <c r="F215" s="1"/>
      <c r="G215" s="1"/>
      <c r="H215" s="1"/>
      <c r="I215" s="24"/>
      <c r="J215" s="24"/>
      <c r="K215" s="1"/>
      <c r="L215" s="1"/>
      <c r="M215" s="1"/>
      <c r="N215" s="1"/>
      <c r="O215" s="1"/>
      <c r="P215" s="1"/>
    </row>
    <row r="216" spans="2:16" ht="15.75" thickBot="1">
      <c r="B216" s="1"/>
      <c r="C216" s="1"/>
      <c r="D216" s="1"/>
      <c r="E216" s="1"/>
      <c r="F216" s="1"/>
      <c r="G216" s="1"/>
      <c r="H216" s="1"/>
      <c r="I216" s="24"/>
      <c r="J216" s="24"/>
      <c r="K216" s="1"/>
      <c r="L216" s="1"/>
      <c r="M216" s="1"/>
      <c r="N216" s="1"/>
      <c r="O216" s="1"/>
      <c r="P216" s="1"/>
    </row>
    <row r="217" spans="2:16" s="17" customFormat="1" ht="29.25" customHeight="1" thickBot="1">
      <c r="B217" s="1861" t="s">
        <v>306</v>
      </c>
      <c r="C217" s="1862"/>
      <c r="D217" s="1753"/>
      <c r="E217" s="1863" t="s">
        <v>450</v>
      </c>
      <c r="F217" s="1864"/>
      <c r="G217" s="1863" t="s">
        <v>451</v>
      </c>
      <c r="H217" s="1865"/>
      <c r="I217" s="102"/>
      <c r="J217" s="7"/>
    </row>
    <row r="218" spans="2:16">
      <c r="B218" s="1796"/>
      <c r="C218" s="1797"/>
      <c r="D218" s="1798"/>
      <c r="E218" s="1771"/>
      <c r="F218" s="1772"/>
      <c r="G218" s="1771"/>
      <c r="H218" s="1833"/>
      <c r="I218" s="24"/>
      <c r="J218" s="1"/>
    </row>
    <row r="219" spans="2:16">
      <c r="B219" s="1704"/>
      <c r="C219" s="1705"/>
      <c r="D219" s="1706"/>
      <c r="E219" s="1765"/>
      <c r="F219" s="1766"/>
      <c r="G219" s="1765"/>
      <c r="H219" s="1834"/>
      <c r="I219" s="24"/>
      <c r="J219" s="1"/>
    </row>
    <row r="220" spans="2:16" ht="15.75" thickBot="1">
      <c r="B220" s="1671"/>
      <c r="C220" s="1672"/>
      <c r="D220" s="1673"/>
      <c r="E220" s="1761"/>
      <c r="F220" s="1762"/>
      <c r="G220" s="1761"/>
      <c r="H220" s="1832"/>
      <c r="I220" s="24"/>
      <c r="J220" s="1"/>
    </row>
    <row r="221" spans="2:16">
      <c r="B221" s="123"/>
      <c r="C221" s="123"/>
      <c r="D221" s="123"/>
      <c r="E221" s="60"/>
      <c r="F221" s="60"/>
      <c r="G221" s="60"/>
      <c r="H221" s="60"/>
      <c r="I221" s="24"/>
      <c r="J221" s="1"/>
    </row>
    <row r="222" spans="2:16">
      <c r="B222" s="123"/>
      <c r="C222" s="123"/>
      <c r="D222" s="123"/>
      <c r="E222" s="60"/>
      <c r="F222" s="60"/>
      <c r="G222" s="60"/>
      <c r="H222" s="60"/>
      <c r="I222" s="24"/>
      <c r="J222" s="8" t="s">
        <v>315</v>
      </c>
      <c r="K222" s="8"/>
      <c r="L222" s="1"/>
      <c r="M222" s="1"/>
      <c r="N222" s="1"/>
      <c r="O222" s="1"/>
    </row>
    <row r="223" spans="2:16" ht="15.75" thickBot="1">
      <c r="B223" s="123"/>
      <c r="C223" s="123"/>
      <c r="D223" s="123"/>
      <c r="E223" s="60"/>
      <c r="F223" s="60"/>
      <c r="G223" s="60"/>
      <c r="H223" s="60"/>
      <c r="I223" s="24"/>
      <c r="J223" s="1"/>
      <c r="K223" s="1"/>
      <c r="L223" s="1"/>
      <c r="M223" s="1"/>
      <c r="N223" s="1"/>
      <c r="O223" s="1"/>
    </row>
    <row r="224" spans="2:16">
      <c r="B224" s="123"/>
      <c r="C224" s="123"/>
      <c r="D224" s="123"/>
      <c r="E224" s="60"/>
      <c r="F224" s="60"/>
      <c r="G224" s="60"/>
      <c r="H224" s="60"/>
      <c r="I224" s="24"/>
      <c r="J224" s="1" t="s">
        <v>316</v>
      </c>
      <c r="K224" s="1"/>
      <c r="L224" s="1"/>
      <c r="M224" s="1781"/>
      <c r="N224" s="1858"/>
      <c r="O224" s="1783"/>
    </row>
    <row r="225" spans="2:16" ht="15.75" thickBot="1">
      <c r="B225" s="123"/>
      <c r="C225" s="123"/>
      <c r="D225" s="123"/>
      <c r="E225" s="60"/>
      <c r="F225" s="60"/>
      <c r="G225" s="60"/>
      <c r="H225" s="60"/>
      <c r="I225" s="24"/>
      <c r="J225" s="1" t="s">
        <v>317</v>
      </c>
      <c r="K225" s="1"/>
      <c r="L225" s="1"/>
      <c r="M225" s="1759"/>
      <c r="N225" s="1836"/>
      <c r="O225" s="1780"/>
    </row>
    <row r="226" spans="2:16">
      <c r="B226" s="1"/>
      <c r="C226" s="1"/>
      <c r="D226" s="1"/>
      <c r="E226" s="1"/>
      <c r="F226" s="1"/>
      <c r="G226" s="1"/>
      <c r="H226" s="1"/>
      <c r="I226" s="24"/>
      <c r="J226" s="24"/>
    </row>
    <row r="227" spans="2:16">
      <c r="B227" s="1"/>
      <c r="C227" s="1"/>
      <c r="D227" s="1"/>
      <c r="E227" s="1"/>
      <c r="F227" s="1"/>
      <c r="G227" s="1"/>
      <c r="H227" s="1"/>
      <c r="I227" s="24"/>
      <c r="J227" s="13" t="s">
        <v>452</v>
      </c>
      <c r="P227" s="1"/>
    </row>
    <row r="228" spans="2:16" ht="15.75" thickBot="1">
      <c r="B228" s="8" t="s">
        <v>405</v>
      </c>
      <c r="H228" s="1"/>
      <c r="I228" s="24"/>
      <c r="P228" s="1"/>
    </row>
    <row r="229" spans="2:16" ht="15.75" thickBot="1">
      <c r="H229" s="1"/>
      <c r="I229" s="24"/>
      <c r="J229" s="6" t="s">
        <v>453</v>
      </c>
      <c r="M229" s="1866"/>
      <c r="N229" s="1867"/>
      <c r="O229" s="1096"/>
      <c r="P229" s="1"/>
    </row>
    <row r="230" spans="2:16">
      <c r="B230" s="1" t="s">
        <v>442</v>
      </c>
      <c r="C230" s="1"/>
      <c r="D230" s="1"/>
      <c r="F230" s="1781"/>
      <c r="G230" s="1782"/>
      <c r="H230" s="1783"/>
      <c r="I230" s="24"/>
      <c r="P230" s="1"/>
    </row>
    <row r="231" spans="2:16">
      <c r="B231" s="1" t="s">
        <v>406</v>
      </c>
      <c r="C231" s="8"/>
      <c r="D231" s="1"/>
      <c r="F231" s="1763"/>
      <c r="G231" s="1764"/>
      <c r="H231" s="1779"/>
      <c r="I231" s="24"/>
      <c r="J231" s="3" t="s">
        <v>404</v>
      </c>
      <c r="P231" s="1"/>
    </row>
    <row r="232" spans="2:16" ht="15.75" thickBot="1">
      <c r="B232" s="1" t="s">
        <v>407</v>
      </c>
      <c r="C232" s="1"/>
      <c r="D232" s="1"/>
      <c r="F232" s="1763"/>
      <c r="G232" s="1764"/>
      <c r="H232" s="1779"/>
      <c r="I232" s="24"/>
      <c r="J232" s="81"/>
      <c r="P232" s="1"/>
    </row>
    <row r="233" spans="2:16" ht="15.75" thickBot="1">
      <c r="B233" s="1" t="s">
        <v>408</v>
      </c>
      <c r="C233" s="1"/>
      <c r="D233" s="1"/>
      <c r="F233" s="1759"/>
      <c r="G233" s="1760"/>
      <c r="H233" s="1780"/>
      <c r="I233" s="24"/>
      <c r="J233" s="2" t="s">
        <v>400</v>
      </c>
      <c r="M233" s="1781"/>
      <c r="N233" s="1782"/>
      <c r="O233" s="1783"/>
      <c r="P233" s="1"/>
    </row>
    <row r="234" spans="2:16" ht="15.75" thickBot="1">
      <c r="B234" s="1"/>
      <c r="C234" s="1"/>
      <c r="D234" s="1"/>
      <c r="F234" s="1"/>
      <c r="G234" s="1"/>
      <c r="H234" s="1"/>
      <c r="I234" s="24"/>
      <c r="J234" s="2" t="s">
        <v>403</v>
      </c>
      <c r="M234" s="1759"/>
      <c r="N234" s="1760"/>
      <c r="O234" s="1780"/>
      <c r="P234" s="1"/>
    </row>
    <row r="235" spans="2:16">
      <c r="B235" s="1" t="s">
        <v>104</v>
      </c>
      <c r="F235" s="1781"/>
      <c r="G235" s="1782"/>
      <c r="H235" s="1783"/>
      <c r="I235" s="24"/>
      <c r="P235" s="1"/>
    </row>
    <row r="236" spans="2:16">
      <c r="B236" s="1" t="s">
        <v>409</v>
      </c>
      <c r="F236" s="1763"/>
      <c r="G236" s="1764"/>
      <c r="H236" s="1779"/>
      <c r="I236" s="24"/>
      <c r="J236" s="3" t="s">
        <v>397</v>
      </c>
      <c r="K236" s="1"/>
      <c r="L236" s="1"/>
      <c r="M236" s="1"/>
      <c r="N236" s="1"/>
      <c r="O236" s="1"/>
      <c r="P236" s="1"/>
    </row>
    <row r="237" spans="2:16" ht="15.75" thickBot="1">
      <c r="B237" s="1" t="s">
        <v>262</v>
      </c>
      <c r="F237" s="1759"/>
      <c r="G237" s="1760"/>
      <c r="H237" s="1780"/>
      <c r="I237" s="24"/>
      <c r="J237" s="2"/>
      <c r="K237" s="1"/>
      <c r="L237" s="1"/>
      <c r="M237" s="1"/>
      <c r="N237" s="1"/>
      <c r="O237" s="1"/>
      <c r="P237" s="1"/>
    </row>
    <row r="238" spans="2:16">
      <c r="I238" s="24"/>
      <c r="J238" s="2" t="s">
        <v>454</v>
      </c>
      <c r="M238" s="1781"/>
      <c r="N238" s="1782"/>
      <c r="O238" s="1783"/>
      <c r="P238" s="1"/>
    </row>
    <row r="239" spans="2:16">
      <c r="I239" s="24"/>
      <c r="J239" s="2" t="s">
        <v>398</v>
      </c>
      <c r="K239" s="1"/>
      <c r="L239" s="1"/>
      <c r="M239" s="1763"/>
      <c r="N239" s="1764"/>
      <c r="O239" s="1779"/>
      <c r="P239" s="1"/>
    </row>
    <row r="240" spans="2:16">
      <c r="B240" s="8" t="s">
        <v>154</v>
      </c>
      <c r="C240" s="8"/>
      <c r="D240" s="1"/>
      <c r="F240" s="1"/>
      <c r="G240" s="1"/>
      <c r="H240" s="1"/>
      <c r="I240" s="24"/>
      <c r="J240" s="2" t="s">
        <v>399</v>
      </c>
      <c r="K240" s="1"/>
      <c r="L240" s="1"/>
      <c r="M240" s="1763"/>
      <c r="N240" s="1764"/>
      <c r="O240" s="1779"/>
      <c r="P240" s="1"/>
    </row>
    <row r="241" spans="1:15" ht="15.75" thickBot="1">
      <c r="B241" s="1"/>
      <c r="C241" s="1"/>
      <c r="D241" s="1"/>
      <c r="F241" s="1"/>
      <c r="G241" s="1"/>
      <c r="H241" s="1"/>
      <c r="J241" s="2" t="s">
        <v>400</v>
      </c>
      <c r="K241" s="1"/>
      <c r="L241" s="1"/>
      <c r="M241" s="1759"/>
      <c r="N241" s="1760"/>
      <c r="O241" s="1780"/>
    </row>
    <row r="242" spans="1:15" ht="15.75" thickBot="1">
      <c r="B242" s="1" t="s">
        <v>394</v>
      </c>
      <c r="C242" s="1"/>
      <c r="D242" s="1"/>
      <c r="F242" s="1781"/>
      <c r="G242" s="1782"/>
      <c r="H242" s="1783"/>
      <c r="J242" s="2"/>
      <c r="K242" s="1"/>
      <c r="L242" s="1"/>
      <c r="M242" s="1"/>
      <c r="N242" s="1"/>
      <c r="O242" s="1"/>
    </row>
    <row r="243" spans="1:15">
      <c r="B243" s="1" t="s">
        <v>395</v>
      </c>
      <c r="C243" s="1"/>
      <c r="D243" s="1"/>
      <c r="F243" s="1763"/>
      <c r="G243" s="1764"/>
      <c r="H243" s="1779"/>
      <c r="J243" s="2" t="s">
        <v>455</v>
      </c>
      <c r="M243" s="1781"/>
      <c r="N243" s="1782"/>
      <c r="O243" s="1783"/>
    </row>
    <row r="244" spans="1:15" ht="15.75" thickBot="1">
      <c r="B244" s="1" t="s">
        <v>396</v>
      </c>
      <c r="C244" s="1"/>
      <c r="D244" s="1"/>
      <c r="F244" s="1759"/>
      <c r="G244" s="1760"/>
      <c r="H244" s="1780"/>
      <c r="J244" s="2" t="s">
        <v>401</v>
      </c>
      <c r="K244" s="1"/>
      <c r="L244" s="1"/>
      <c r="M244" s="1763"/>
      <c r="N244" s="1764"/>
      <c r="O244" s="1779"/>
    </row>
    <row r="245" spans="1:15">
      <c r="J245" s="2" t="s">
        <v>402</v>
      </c>
      <c r="K245" s="1"/>
      <c r="L245" s="1"/>
      <c r="M245" s="1763"/>
      <c r="N245" s="1764"/>
      <c r="O245" s="1779"/>
    </row>
    <row r="246" spans="1:15" ht="15.75" thickBot="1">
      <c r="J246" s="2" t="s">
        <v>403</v>
      </c>
      <c r="K246" s="1"/>
      <c r="L246" s="1"/>
      <c r="M246" s="1759"/>
      <c r="N246" s="1760"/>
      <c r="O246" s="1780"/>
    </row>
    <row r="248" spans="1:15">
      <c r="A248" s="8" t="s">
        <v>387</v>
      </c>
      <c r="B248" s="8" t="s">
        <v>343</v>
      </c>
      <c r="C248" s="8"/>
      <c r="D248" s="1"/>
      <c r="E248" s="1"/>
      <c r="F248" s="1"/>
      <c r="G248" s="1"/>
      <c r="H248" s="1"/>
      <c r="I248" s="8" t="s">
        <v>345</v>
      </c>
      <c r="J248" s="1"/>
      <c r="K248" s="1"/>
      <c r="L248" s="1"/>
      <c r="M248" s="1"/>
    </row>
    <row r="249" spans="1:15" ht="15.75" thickBot="1">
      <c r="B249" s="1"/>
      <c r="C249" s="1"/>
      <c r="D249" s="1"/>
      <c r="E249" s="1"/>
      <c r="F249" s="1"/>
      <c r="G249" s="1"/>
      <c r="H249" s="1"/>
      <c r="I249" s="1"/>
      <c r="J249" s="1"/>
      <c r="K249" s="1"/>
      <c r="L249" s="1"/>
      <c r="M249" s="1"/>
    </row>
    <row r="250" spans="1:15" ht="15.75" thickBot="1">
      <c r="B250" s="1" t="s">
        <v>344</v>
      </c>
      <c r="C250" s="1"/>
      <c r="D250" s="1"/>
      <c r="E250" s="1819"/>
      <c r="F250" s="1805"/>
      <c r="G250" s="1822"/>
      <c r="H250" s="123"/>
      <c r="I250" s="1837"/>
      <c r="J250" s="1838"/>
      <c r="K250" s="1838"/>
      <c r="L250" s="1838"/>
      <c r="M250" s="1839"/>
    </row>
    <row r="251" spans="1:15" ht="15.75" thickBot="1">
      <c r="B251" s="1"/>
      <c r="C251" s="1"/>
      <c r="D251" s="1"/>
      <c r="E251" s="1"/>
      <c r="F251" s="1"/>
      <c r="G251" s="1"/>
      <c r="H251" s="1"/>
      <c r="I251" s="1840"/>
      <c r="J251" s="1841"/>
      <c r="K251" s="1841"/>
      <c r="L251" s="1841"/>
      <c r="M251" s="1842"/>
    </row>
    <row r="252" spans="1:15" ht="15.75" thickBot="1">
      <c r="B252" s="1" t="s">
        <v>354</v>
      </c>
      <c r="C252" s="1"/>
      <c r="D252" s="5"/>
      <c r="E252" s="1819"/>
      <c r="F252" s="1805"/>
      <c r="G252" s="1822"/>
      <c r="H252" s="123"/>
      <c r="I252" s="1843"/>
      <c r="J252" s="1844"/>
      <c r="K252" s="1844"/>
      <c r="L252" s="1844"/>
      <c r="M252" s="1845"/>
    </row>
    <row r="253" spans="1:15" ht="15.75" thickBot="1">
      <c r="B253" s="1"/>
      <c r="C253" s="1"/>
      <c r="D253" s="1"/>
      <c r="E253" s="1"/>
      <c r="F253" s="1"/>
      <c r="G253" s="1"/>
      <c r="H253" s="1"/>
      <c r="I253" s="24"/>
      <c r="J253" s="1"/>
      <c r="K253" s="1"/>
      <c r="L253" s="1"/>
      <c r="M253" s="1"/>
    </row>
    <row r="254" spans="1:15" ht="26.25" thickBot="1">
      <c r="B254" s="63" t="s">
        <v>23</v>
      </c>
      <c r="C254" s="1777" t="s">
        <v>351</v>
      </c>
      <c r="D254" s="1778"/>
      <c r="E254" s="64" t="s">
        <v>352</v>
      </c>
      <c r="F254" s="1773" t="s">
        <v>353</v>
      </c>
      <c r="G254" s="1774"/>
      <c r="H254" s="65"/>
      <c r="I254" s="132" t="s">
        <v>23</v>
      </c>
      <c r="J254" s="128" t="s">
        <v>347</v>
      </c>
      <c r="K254" s="128" t="s">
        <v>348</v>
      </c>
      <c r="L254" s="128" t="s">
        <v>349</v>
      </c>
      <c r="M254" s="48" t="s">
        <v>350</v>
      </c>
    </row>
    <row r="255" spans="1:15">
      <c r="B255" s="49"/>
      <c r="C255" s="1694"/>
      <c r="D255" s="1825"/>
      <c r="E255" s="39"/>
      <c r="F255" s="1768"/>
      <c r="G255" s="1826"/>
      <c r="H255" s="60"/>
      <c r="I255" s="49"/>
      <c r="J255" s="39"/>
      <c r="K255" s="39"/>
      <c r="L255" s="39"/>
      <c r="M255" s="50"/>
    </row>
    <row r="256" spans="1:15">
      <c r="B256" s="51"/>
      <c r="C256" s="1765"/>
      <c r="D256" s="1766"/>
      <c r="E256" s="27"/>
      <c r="F256" s="1764"/>
      <c r="G256" s="1779"/>
      <c r="H256" s="60"/>
      <c r="I256" s="51"/>
      <c r="J256" s="27"/>
      <c r="K256" s="27"/>
      <c r="L256" s="27"/>
      <c r="M256" s="52"/>
    </row>
    <row r="257" spans="1:13">
      <c r="B257" s="51"/>
      <c r="C257" s="1765"/>
      <c r="D257" s="1766"/>
      <c r="E257" s="27"/>
      <c r="F257" s="1764"/>
      <c r="G257" s="1779"/>
      <c r="H257" s="60"/>
      <c r="I257" s="51"/>
      <c r="J257" s="27"/>
      <c r="K257" s="27"/>
      <c r="L257" s="27"/>
      <c r="M257" s="52"/>
    </row>
    <row r="258" spans="1:13">
      <c r="B258" s="51"/>
      <c r="C258" s="1765"/>
      <c r="D258" s="1766"/>
      <c r="E258" s="27"/>
      <c r="F258" s="1764"/>
      <c r="G258" s="1779"/>
      <c r="H258" s="60"/>
      <c r="I258" s="51"/>
      <c r="J258" s="27"/>
      <c r="K258" s="27"/>
      <c r="L258" s="27"/>
      <c r="M258" s="52"/>
    </row>
    <row r="259" spans="1:13">
      <c r="B259" s="51"/>
      <c r="C259" s="1765"/>
      <c r="D259" s="1766"/>
      <c r="E259" s="27"/>
      <c r="F259" s="1764"/>
      <c r="G259" s="1779"/>
      <c r="H259" s="60"/>
      <c r="I259" s="51"/>
      <c r="J259" s="27"/>
      <c r="K259" s="27"/>
      <c r="L259" s="27"/>
      <c r="M259" s="52"/>
    </row>
    <row r="260" spans="1:13">
      <c r="B260" s="51"/>
      <c r="C260" s="1765"/>
      <c r="D260" s="1766"/>
      <c r="E260" s="27"/>
      <c r="F260" s="1764"/>
      <c r="G260" s="1779"/>
      <c r="H260" s="60"/>
      <c r="I260" s="51"/>
      <c r="J260" s="27"/>
      <c r="K260" s="27"/>
      <c r="L260" s="27"/>
      <c r="M260" s="52"/>
    </row>
    <row r="261" spans="1:13">
      <c r="B261" s="51"/>
      <c r="C261" s="1765"/>
      <c r="D261" s="1766"/>
      <c r="E261" s="27"/>
      <c r="F261" s="1764"/>
      <c r="G261" s="1779"/>
      <c r="H261" s="60"/>
      <c r="I261" s="51"/>
      <c r="J261" s="27"/>
      <c r="K261" s="27"/>
      <c r="L261" s="27"/>
      <c r="M261" s="52"/>
    </row>
    <row r="262" spans="1:13">
      <c r="B262" s="51"/>
      <c r="C262" s="1765"/>
      <c r="D262" s="1766"/>
      <c r="E262" s="27"/>
      <c r="F262" s="1764"/>
      <c r="G262" s="1779"/>
      <c r="H262" s="60"/>
      <c r="I262" s="51"/>
      <c r="J262" s="27"/>
      <c r="K262" s="27"/>
      <c r="L262" s="27"/>
      <c r="M262" s="52"/>
    </row>
    <row r="263" spans="1:13">
      <c r="B263" s="51"/>
      <c r="C263" s="1765"/>
      <c r="D263" s="1766"/>
      <c r="E263" s="27"/>
      <c r="F263" s="1764"/>
      <c r="G263" s="1779"/>
      <c r="H263" s="60"/>
      <c r="I263" s="51"/>
      <c r="J263" s="27"/>
      <c r="K263" s="27"/>
      <c r="L263" s="27"/>
      <c r="M263" s="52"/>
    </row>
    <row r="264" spans="1:13" ht="15.75" thickBot="1">
      <c r="B264" s="53"/>
      <c r="C264" s="1761"/>
      <c r="D264" s="1762"/>
      <c r="E264" s="46"/>
      <c r="F264" s="1760"/>
      <c r="G264" s="1780"/>
      <c r="H264" s="60"/>
      <c r="I264" s="53"/>
      <c r="J264" s="46"/>
      <c r="K264" s="46"/>
      <c r="L264" s="46"/>
      <c r="M264" s="54"/>
    </row>
    <row r="265" spans="1:13" ht="15.75" thickBot="1">
      <c r="B265" s="1"/>
      <c r="C265" s="1"/>
      <c r="D265" s="1"/>
      <c r="E265" s="1"/>
      <c r="F265" s="1"/>
      <c r="G265" s="24"/>
      <c r="H265" s="24"/>
      <c r="I265" s="24"/>
      <c r="J265" s="1"/>
      <c r="K265" s="1"/>
      <c r="L265" s="1"/>
      <c r="M265" s="1"/>
    </row>
    <row r="266" spans="1:13" ht="15.75" thickBot="1">
      <c r="B266" s="1"/>
      <c r="C266" s="1"/>
      <c r="D266" s="1"/>
      <c r="E266" s="1"/>
      <c r="F266" s="1"/>
      <c r="G266" s="1"/>
      <c r="H266" s="1"/>
      <c r="I266" s="20" t="s">
        <v>341</v>
      </c>
      <c r="J266" s="1823"/>
      <c r="K266" s="1824"/>
      <c r="L266" s="1"/>
      <c r="M266" s="1"/>
    </row>
    <row r="268" spans="1:13">
      <c r="A268" s="8" t="s">
        <v>388</v>
      </c>
      <c r="B268" s="8" t="s">
        <v>355</v>
      </c>
      <c r="C268" s="8"/>
      <c r="D268" s="1"/>
      <c r="E268" s="1"/>
      <c r="F268" s="1"/>
      <c r="G268" s="1"/>
      <c r="H268" s="1"/>
      <c r="I268" s="8" t="s">
        <v>356</v>
      </c>
      <c r="J268" s="1"/>
      <c r="K268" s="1"/>
      <c r="L268" s="1"/>
      <c r="M268" s="1"/>
    </row>
    <row r="269" spans="1:13" ht="15.75" thickBot="1">
      <c r="A269" s="1"/>
      <c r="B269" s="1"/>
      <c r="C269" s="1"/>
      <c r="D269" s="1"/>
      <c r="E269" s="1"/>
      <c r="F269" s="1"/>
      <c r="G269" s="1"/>
      <c r="H269" s="1"/>
      <c r="I269" s="1"/>
      <c r="J269" s="1"/>
      <c r="K269" s="1"/>
      <c r="L269" s="1"/>
      <c r="M269" s="1"/>
    </row>
    <row r="270" spans="1:13" ht="15.75" thickBot="1">
      <c r="A270" s="1"/>
      <c r="B270" s="1" t="s">
        <v>344</v>
      </c>
      <c r="C270" s="1"/>
      <c r="D270" s="1"/>
      <c r="E270" s="1819"/>
      <c r="F270" s="1805"/>
      <c r="G270" s="1822"/>
      <c r="H270" s="123"/>
      <c r="I270" s="119"/>
      <c r="J270" s="120"/>
      <c r="K270" s="120"/>
      <c r="L270" s="120"/>
      <c r="M270" s="121"/>
    </row>
    <row r="271" spans="1:13" ht="15.75" thickBot="1">
      <c r="A271" s="1"/>
      <c r="B271" s="1"/>
      <c r="C271" s="1"/>
      <c r="D271" s="1"/>
      <c r="E271" s="1"/>
      <c r="F271" s="1"/>
      <c r="G271" s="1"/>
      <c r="H271" s="1"/>
      <c r="I271" s="122"/>
      <c r="J271" s="123"/>
      <c r="K271" s="123"/>
      <c r="L271" s="123"/>
      <c r="M271" s="124"/>
    </row>
    <row r="272" spans="1:13" ht="15.75" thickBot="1">
      <c r="A272" s="1"/>
      <c r="B272" s="1" t="s">
        <v>354</v>
      </c>
      <c r="C272" s="1"/>
      <c r="D272" s="5"/>
      <c r="E272" s="1819"/>
      <c r="F272" s="1805"/>
      <c r="G272" s="1822"/>
      <c r="H272" s="123"/>
      <c r="I272" s="125"/>
      <c r="J272" s="126"/>
      <c r="K272" s="126"/>
      <c r="L272" s="126"/>
      <c r="M272" s="127"/>
    </row>
    <row r="273" spans="1:18" ht="15.75" thickBot="1">
      <c r="A273" s="1"/>
      <c r="B273" s="1"/>
      <c r="C273" s="1"/>
      <c r="D273" s="1"/>
      <c r="E273" s="1"/>
      <c r="F273" s="1"/>
      <c r="G273" s="1"/>
      <c r="H273" s="1"/>
      <c r="I273" s="1"/>
      <c r="J273" s="1"/>
      <c r="K273" s="1"/>
      <c r="L273" s="1"/>
      <c r="M273" s="1"/>
    </row>
    <row r="274" spans="1:18" ht="26.25" thickBot="1">
      <c r="A274" s="1"/>
      <c r="B274" s="63" t="s">
        <v>23</v>
      </c>
      <c r="C274" s="1777" t="s">
        <v>351</v>
      </c>
      <c r="D274" s="1778"/>
      <c r="E274" s="64" t="s">
        <v>352</v>
      </c>
      <c r="F274" s="1773" t="s">
        <v>353</v>
      </c>
      <c r="G274" s="1774"/>
      <c r="H274" s="21"/>
      <c r="I274" s="103" t="s">
        <v>23</v>
      </c>
      <c r="J274" s="104" t="s">
        <v>347</v>
      </c>
      <c r="K274" s="104" t="s">
        <v>348</v>
      </c>
      <c r="L274" s="128" t="s">
        <v>349</v>
      </c>
      <c r="M274" s="48" t="s">
        <v>350</v>
      </c>
    </row>
    <row r="275" spans="1:18">
      <c r="A275" s="1"/>
      <c r="B275" s="49"/>
      <c r="C275" s="1694"/>
      <c r="D275" s="1825"/>
      <c r="E275" s="39"/>
      <c r="F275" s="1768"/>
      <c r="G275" s="1826"/>
      <c r="H275" s="60"/>
      <c r="I275" s="49"/>
      <c r="J275" s="39"/>
      <c r="K275" s="39"/>
      <c r="L275" s="39"/>
      <c r="M275" s="50"/>
    </row>
    <row r="276" spans="1:18">
      <c r="A276" s="1"/>
      <c r="B276" s="51"/>
      <c r="C276" s="1765"/>
      <c r="D276" s="1766"/>
      <c r="E276" s="27"/>
      <c r="F276" s="1764"/>
      <c r="G276" s="1779"/>
      <c r="H276" s="60"/>
      <c r="I276" s="51"/>
      <c r="J276" s="27"/>
      <c r="K276" s="27"/>
      <c r="L276" s="27"/>
      <c r="M276" s="52"/>
    </row>
    <row r="277" spans="1:18">
      <c r="A277" s="1"/>
      <c r="B277" s="51"/>
      <c r="C277" s="1765"/>
      <c r="D277" s="1766"/>
      <c r="E277" s="27"/>
      <c r="F277" s="1764"/>
      <c r="G277" s="1779"/>
      <c r="H277" s="60"/>
      <c r="I277" s="51"/>
      <c r="J277" s="27"/>
      <c r="K277" s="27"/>
      <c r="L277" s="27"/>
      <c r="M277" s="52"/>
    </row>
    <row r="278" spans="1:18">
      <c r="A278" s="1"/>
      <c r="B278" s="51"/>
      <c r="C278" s="1765"/>
      <c r="D278" s="1766"/>
      <c r="E278" s="27"/>
      <c r="F278" s="1764"/>
      <c r="G278" s="1779"/>
      <c r="H278" s="60"/>
      <c r="I278" s="51"/>
      <c r="J278" s="27"/>
      <c r="K278" s="27"/>
      <c r="L278" s="27"/>
      <c r="M278" s="52"/>
    </row>
    <row r="279" spans="1:18">
      <c r="A279" s="1"/>
      <c r="B279" s="51"/>
      <c r="C279" s="1765"/>
      <c r="D279" s="1766"/>
      <c r="E279" s="27"/>
      <c r="F279" s="1764"/>
      <c r="G279" s="1779"/>
      <c r="H279" s="60"/>
      <c r="I279" s="51"/>
      <c r="J279" s="27"/>
      <c r="K279" s="27"/>
      <c r="L279" s="27"/>
      <c r="M279" s="52"/>
    </row>
    <row r="280" spans="1:18">
      <c r="A280" s="1"/>
      <c r="B280" s="51"/>
      <c r="C280" s="1765"/>
      <c r="D280" s="1766"/>
      <c r="E280" s="27"/>
      <c r="F280" s="1764"/>
      <c r="G280" s="1779"/>
      <c r="H280" s="60"/>
      <c r="I280" s="51"/>
      <c r="J280" s="27"/>
      <c r="K280" s="27"/>
      <c r="L280" s="27"/>
      <c r="M280" s="52"/>
    </row>
    <row r="281" spans="1:18">
      <c r="A281" s="1"/>
      <c r="B281" s="51"/>
      <c r="C281" s="1765"/>
      <c r="D281" s="1766"/>
      <c r="E281" s="27"/>
      <c r="F281" s="1764"/>
      <c r="G281" s="1779"/>
      <c r="H281" s="60"/>
      <c r="I281" s="51"/>
      <c r="J281" s="27"/>
      <c r="K281" s="27"/>
      <c r="L281" s="27"/>
      <c r="M281" s="52"/>
    </row>
    <row r="282" spans="1:18">
      <c r="A282" s="1"/>
      <c r="B282" s="51"/>
      <c r="C282" s="1765"/>
      <c r="D282" s="1766"/>
      <c r="E282" s="27"/>
      <c r="F282" s="1764"/>
      <c r="G282" s="1779"/>
      <c r="H282" s="60"/>
      <c r="I282" s="51"/>
      <c r="J282" s="27"/>
      <c r="K282" s="27"/>
      <c r="L282" s="27"/>
      <c r="M282" s="52"/>
    </row>
    <row r="283" spans="1:18">
      <c r="A283" s="1"/>
      <c r="B283" s="51"/>
      <c r="C283" s="1765"/>
      <c r="D283" s="1766"/>
      <c r="E283" s="27"/>
      <c r="F283" s="1764"/>
      <c r="G283" s="1779"/>
      <c r="H283" s="60"/>
      <c r="I283" s="51"/>
      <c r="J283" s="27"/>
      <c r="K283" s="27"/>
      <c r="L283" s="27"/>
      <c r="M283" s="52"/>
    </row>
    <row r="284" spans="1:18" ht="15.75" thickBot="1">
      <c r="A284" s="1"/>
      <c r="B284" s="53"/>
      <c r="C284" s="1761"/>
      <c r="D284" s="1762"/>
      <c r="E284" s="46"/>
      <c r="F284" s="1760"/>
      <c r="G284" s="1780"/>
      <c r="H284" s="60"/>
      <c r="I284" s="53"/>
      <c r="J284" s="46"/>
      <c r="K284" s="46"/>
      <c r="L284" s="46"/>
      <c r="M284" s="54"/>
    </row>
    <row r="285" spans="1:18" ht="15.75" thickBot="1">
      <c r="A285" s="1"/>
      <c r="B285" s="1"/>
      <c r="C285" s="1"/>
      <c r="D285" s="1"/>
      <c r="E285" s="1"/>
      <c r="F285" s="1"/>
      <c r="G285" s="24"/>
      <c r="H285" s="24"/>
      <c r="I285" s="1"/>
      <c r="J285" s="1"/>
      <c r="K285" s="1"/>
      <c r="L285" s="1"/>
      <c r="M285" s="1"/>
    </row>
    <row r="286" spans="1:18" ht="15.75" thickBot="1">
      <c r="A286" s="1"/>
      <c r="B286" s="1"/>
      <c r="C286" s="1"/>
      <c r="D286" s="1"/>
      <c r="E286" s="1"/>
      <c r="F286" s="1"/>
      <c r="G286" s="1"/>
      <c r="H286" s="1"/>
      <c r="I286" s="20" t="s">
        <v>341</v>
      </c>
      <c r="J286" s="1823"/>
      <c r="K286" s="1824"/>
      <c r="L286" s="1"/>
      <c r="M286" s="1"/>
    </row>
    <row r="288" spans="1:18">
      <c r="A288" s="8" t="s">
        <v>389</v>
      </c>
      <c r="B288" s="8" t="s">
        <v>334</v>
      </c>
      <c r="C288" s="8"/>
      <c r="D288" s="1"/>
      <c r="E288" s="1"/>
      <c r="F288" s="1"/>
      <c r="G288" s="1"/>
      <c r="H288" s="1"/>
      <c r="I288" s="24"/>
      <c r="J288" s="24"/>
      <c r="K288" s="1"/>
      <c r="L288" s="1"/>
      <c r="M288" s="1"/>
      <c r="N288" s="1"/>
      <c r="O288" s="1"/>
      <c r="P288" s="1"/>
      <c r="Q288" s="1"/>
      <c r="R288" s="1"/>
    </row>
    <row r="289" spans="1:18" ht="15.75" thickBot="1">
      <c r="A289" s="1"/>
      <c r="B289" s="1"/>
      <c r="C289" s="1"/>
      <c r="D289" s="1"/>
      <c r="E289" s="1"/>
      <c r="F289" s="1"/>
      <c r="G289" s="1"/>
      <c r="H289" s="1"/>
      <c r="I289" s="24"/>
      <c r="J289" s="24"/>
      <c r="K289" s="1"/>
      <c r="L289" s="1"/>
      <c r="M289" s="1"/>
      <c r="N289" s="1"/>
      <c r="O289" s="1"/>
      <c r="P289" s="1"/>
      <c r="Q289" s="1"/>
      <c r="R289" s="1"/>
    </row>
    <row r="290" spans="1:18" ht="15.75" thickBot="1">
      <c r="A290" s="1"/>
      <c r="B290" s="1804" t="s">
        <v>45</v>
      </c>
      <c r="C290" s="1820"/>
      <c r="D290" s="1816"/>
      <c r="E290" s="134" t="s">
        <v>23</v>
      </c>
      <c r="F290" s="135"/>
      <c r="G290" s="134" t="s">
        <v>24</v>
      </c>
      <c r="H290" s="136"/>
      <c r="I290" s="34" t="s">
        <v>335</v>
      </c>
      <c r="J290" s="35" t="s">
        <v>336</v>
      </c>
      <c r="K290" s="35" t="s">
        <v>337</v>
      </c>
      <c r="L290" s="1821" t="s">
        <v>318</v>
      </c>
      <c r="M290" s="1820"/>
      <c r="N290" s="1821" t="s">
        <v>338</v>
      </c>
      <c r="O290" s="1820"/>
      <c r="P290" s="1821" t="s">
        <v>339</v>
      </c>
      <c r="Q290" s="1822"/>
    </row>
    <row r="291" spans="1:18">
      <c r="A291" s="1"/>
      <c r="B291" s="1846"/>
      <c r="C291" s="1798"/>
      <c r="D291" s="1769"/>
      <c r="E291" s="36"/>
      <c r="F291" s="37"/>
      <c r="G291" s="36"/>
      <c r="H291" s="62"/>
      <c r="I291" s="38"/>
      <c r="J291" s="39"/>
      <c r="K291" s="39"/>
      <c r="L291" s="1830"/>
      <c r="M291" s="1798"/>
      <c r="N291" s="1694"/>
      <c r="O291" s="1825"/>
      <c r="P291" s="1830"/>
      <c r="Q291" s="1831"/>
    </row>
    <row r="292" spans="1:18">
      <c r="A292" s="1"/>
      <c r="B292" s="1700"/>
      <c r="C292" s="1706"/>
      <c r="D292" s="1701"/>
      <c r="E292" s="40"/>
      <c r="F292" s="41"/>
      <c r="G292" s="40"/>
      <c r="H292" s="67"/>
      <c r="I292" s="42"/>
      <c r="J292" s="27"/>
      <c r="K292" s="27"/>
      <c r="L292" s="1815"/>
      <c r="M292" s="1706"/>
      <c r="N292" s="1815"/>
      <c r="O292" s="1706"/>
      <c r="P292" s="1815"/>
      <c r="Q292" s="1807"/>
    </row>
    <row r="293" spans="1:18">
      <c r="A293" s="1"/>
      <c r="B293" s="1700"/>
      <c r="C293" s="1706"/>
      <c r="D293" s="1701"/>
      <c r="E293" s="40"/>
      <c r="F293" s="41"/>
      <c r="G293" s="40"/>
      <c r="H293" s="67"/>
      <c r="I293" s="42"/>
      <c r="J293" s="27"/>
      <c r="K293" s="27"/>
      <c r="L293" s="1815"/>
      <c r="M293" s="1706"/>
      <c r="N293" s="1815"/>
      <c r="O293" s="1706"/>
      <c r="P293" s="1815"/>
      <c r="Q293" s="1807"/>
    </row>
    <row r="294" spans="1:18" ht="15.75" thickBot="1">
      <c r="A294" s="1"/>
      <c r="B294" s="1803"/>
      <c r="C294" s="1673"/>
      <c r="D294" s="1749"/>
      <c r="E294" s="43"/>
      <c r="F294" s="44"/>
      <c r="G294" s="43"/>
      <c r="H294" s="68"/>
      <c r="I294" s="45"/>
      <c r="J294" s="46"/>
      <c r="K294" s="46"/>
      <c r="L294" s="1818"/>
      <c r="M294" s="1673"/>
      <c r="N294" s="1761"/>
      <c r="O294" s="1762"/>
      <c r="P294" s="1818"/>
      <c r="Q294" s="1808"/>
    </row>
    <row r="296" spans="1:18">
      <c r="A296" s="8" t="s">
        <v>390</v>
      </c>
      <c r="B296" s="8" t="s">
        <v>340</v>
      </c>
      <c r="C296" s="8"/>
      <c r="D296" s="1"/>
      <c r="E296" s="1"/>
      <c r="F296" s="1"/>
      <c r="G296" s="1"/>
      <c r="H296" s="1"/>
      <c r="I296" s="24"/>
      <c r="J296" s="24"/>
      <c r="K296" s="1"/>
      <c r="L296" s="1"/>
      <c r="M296" s="1"/>
      <c r="N296" s="1"/>
      <c r="O296" s="1"/>
      <c r="P296" s="1"/>
    </row>
    <row r="297" spans="1:18" ht="15.75" thickBot="1">
      <c r="A297" s="1"/>
      <c r="B297" s="1"/>
      <c r="C297" s="1"/>
      <c r="D297" s="1"/>
      <c r="E297" s="1"/>
      <c r="F297" s="1"/>
      <c r="G297" s="1"/>
      <c r="H297" s="1"/>
      <c r="I297" s="24"/>
      <c r="J297" s="24"/>
      <c r="K297" s="1"/>
      <c r="L297" s="1"/>
      <c r="M297" s="1"/>
      <c r="N297" s="1"/>
      <c r="O297" s="1"/>
      <c r="P297" s="1"/>
    </row>
    <row r="298" spans="1:18" ht="15.75" thickBot="1">
      <c r="A298" s="1"/>
      <c r="B298" s="1819" t="s">
        <v>23</v>
      </c>
      <c r="C298" s="1805"/>
      <c r="D298" s="1820"/>
      <c r="E298" s="1821" t="s">
        <v>24</v>
      </c>
      <c r="F298" s="1805"/>
      <c r="G298" s="134" t="s">
        <v>346</v>
      </c>
      <c r="H298" s="135"/>
      <c r="I298" s="1821" t="s">
        <v>318</v>
      </c>
      <c r="J298" s="1820"/>
      <c r="K298" s="1821" t="s">
        <v>26</v>
      </c>
      <c r="L298" s="1820"/>
      <c r="M298" s="1821" t="s">
        <v>115</v>
      </c>
      <c r="N298" s="1822"/>
      <c r="O298" s="1"/>
      <c r="P298" s="1"/>
    </row>
    <row r="299" spans="1:18">
      <c r="A299" s="1"/>
      <c r="B299" s="1846"/>
      <c r="C299" s="1798"/>
      <c r="D299" s="1769"/>
      <c r="E299" s="107"/>
      <c r="F299" s="116"/>
      <c r="G299" s="36"/>
      <c r="H299" s="37"/>
      <c r="I299" s="1830"/>
      <c r="J299" s="1798"/>
      <c r="K299" s="1830"/>
      <c r="L299" s="1798"/>
      <c r="M299" s="1768"/>
      <c r="N299" s="1826"/>
      <c r="O299" s="1"/>
      <c r="P299" s="1"/>
    </row>
    <row r="300" spans="1:18">
      <c r="A300" s="1"/>
      <c r="B300" s="1700"/>
      <c r="C300" s="1706"/>
      <c r="D300" s="1701"/>
      <c r="E300" s="105"/>
      <c r="F300" s="114"/>
      <c r="G300" s="40"/>
      <c r="H300" s="41"/>
      <c r="I300" s="1815"/>
      <c r="J300" s="1706"/>
      <c r="K300" s="1815"/>
      <c r="L300" s="1706"/>
      <c r="M300" s="1764"/>
      <c r="N300" s="1779"/>
      <c r="O300" s="1"/>
      <c r="P300" s="1"/>
    </row>
    <row r="301" spans="1:18">
      <c r="A301" s="1"/>
      <c r="B301" s="1700"/>
      <c r="C301" s="1706"/>
      <c r="D301" s="1701"/>
      <c r="E301" s="105"/>
      <c r="F301" s="114"/>
      <c r="G301" s="40"/>
      <c r="H301" s="41"/>
      <c r="I301" s="1815"/>
      <c r="J301" s="1706"/>
      <c r="K301" s="1815"/>
      <c r="L301" s="1706"/>
      <c r="M301" s="1764"/>
      <c r="N301" s="1779"/>
      <c r="O301" s="1"/>
      <c r="P301" s="1"/>
    </row>
    <row r="302" spans="1:18">
      <c r="A302" s="1"/>
      <c r="B302" s="1700"/>
      <c r="C302" s="1706"/>
      <c r="D302" s="1701"/>
      <c r="E302" s="105"/>
      <c r="F302" s="114"/>
      <c r="G302" s="40"/>
      <c r="H302" s="41"/>
      <c r="I302" s="1815"/>
      <c r="J302" s="1706"/>
      <c r="K302" s="1815"/>
      <c r="L302" s="1706"/>
      <c r="M302" s="1764"/>
      <c r="N302" s="1779"/>
      <c r="O302" s="1"/>
      <c r="P302" s="1"/>
    </row>
    <row r="303" spans="1:18">
      <c r="A303" s="1"/>
      <c r="B303" s="1700"/>
      <c r="C303" s="1706"/>
      <c r="D303" s="1701"/>
      <c r="E303" s="105"/>
      <c r="F303" s="114"/>
      <c r="G303" s="40"/>
      <c r="H303" s="41"/>
      <c r="I303" s="1815"/>
      <c r="J303" s="1706"/>
      <c r="K303" s="1815"/>
      <c r="L303" s="1706"/>
      <c r="M303" s="1764"/>
      <c r="N303" s="1779"/>
      <c r="O303" s="1"/>
      <c r="P303" s="1"/>
    </row>
    <row r="304" spans="1:18" ht="15.75" thickBot="1">
      <c r="A304" s="1"/>
      <c r="B304" s="1803"/>
      <c r="C304" s="1673"/>
      <c r="D304" s="1749"/>
      <c r="E304" s="106"/>
      <c r="F304" s="115"/>
      <c r="G304" s="43"/>
      <c r="H304" s="44"/>
      <c r="I304" s="1818"/>
      <c r="J304" s="1673"/>
      <c r="K304" s="1818"/>
      <c r="L304" s="1673"/>
      <c r="M304" s="1760"/>
      <c r="N304" s="1780"/>
      <c r="O304" s="1"/>
      <c r="P304" s="1"/>
    </row>
    <row r="305" spans="1:19">
      <c r="A305" s="1"/>
      <c r="B305" s="1"/>
      <c r="C305" s="1"/>
      <c r="D305" s="1"/>
      <c r="E305" s="1"/>
      <c r="F305" s="1"/>
      <c r="G305" s="1"/>
      <c r="H305" s="1"/>
      <c r="I305" s="24"/>
      <c r="J305" s="24"/>
      <c r="K305" s="1"/>
      <c r="L305" s="1"/>
      <c r="M305" s="1"/>
      <c r="N305" s="1"/>
      <c r="O305" s="1"/>
      <c r="P305" s="1"/>
    </row>
    <row r="306" spans="1:19">
      <c r="A306" s="1"/>
      <c r="B306" s="8" t="s">
        <v>342</v>
      </c>
      <c r="C306" s="8"/>
      <c r="D306" s="1"/>
      <c r="E306" s="1"/>
      <c r="F306" s="1"/>
      <c r="G306" s="1"/>
      <c r="H306" s="1"/>
      <c r="I306" s="24"/>
      <c r="J306" s="24"/>
      <c r="K306" s="1"/>
      <c r="L306" s="1"/>
      <c r="M306" s="1"/>
      <c r="N306" s="1"/>
      <c r="O306" s="1"/>
      <c r="P306" s="1"/>
    </row>
    <row r="307" spans="1:19" ht="15.75" thickBot="1">
      <c r="A307" s="1"/>
      <c r="B307" s="1"/>
      <c r="C307" s="1"/>
      <c r="D307" s="1"/>
      <c r="E307" s="1"/>
      <c r="F307" s="1"/>
      <c r="G307" s="1"/>
      <c r="H307" s="1"/>
      <c r="I307" s="24"/>
      <c r="J307" s="24"/>
      <c r="K307" s="1"/>
      <c r="L307" s="1"/>
      <c r="M307" s="1"/>
      <c r="N307" s="1"/>
      <c r="O307" s="1"/>
      <c r="P307" s="1"/>
    </row>
    <row r="308" spans="1:19" ht="29.25" customHeight="1" thickBot="1">
      <c r="A308" s="1"/>
      <c r="B308" s="1819" t="s">
        <v>306</v>
      </c>
      <c r="C308" s="1805"/>
      <c r="D308" s="1820"/>
      <c r="E308" s="134" t="s">
        <v>23</v>
      </c>
      <c r="F308" s="135"/>
      <c r="G308" s="134" t="s">
        <v>24</v>
      </c>
      <c r="H308" s="135"/>
      <c r="I308" s="1821" t="s">
        <v>115</v>
      </c>
      <c r="J308" s="1805"/>
      <c r="K308" s="1816" t="s">
        <v>410</v>
      </c>
      <c r="L308" s="1816"/>
      <c r="M308" s="1816" t="s">
        <v>411</v>
      </c>
      <c r="N308" s="1816"/>
      <c r="O308" s="1816" t="s">
        <v>412</v>
      </c>
      <c r="P308" s="1816"/>
      <c r="Q308" s="1755" t="s">
        <v>413</v>
      </c>
      <c r="R308" s="1756"/>
    </row>
    <row r="309" spans="1:19">
      <c r="A309" s="1"/>
      <c r="B309" s="1846"/>
      <c r="C309" s="1798"/>
      <c r="D309" s="1769"/>
      <c r="E309" s="61"/>
      <c r="F309" s="82"/>
      <c r="G309" s="61"/>
      <c r="H309" s="82"/>
      <c r="I309" s="1830"/>
      <c r="J309" s="1797"/>
      <c r="K309" s="1769"/>
      <c r="L309" s="1769"/>
      <c r="M309" s="1769"/>
      <c r="N309" s="1769"/>
      <c r="O309" s="1769"/>
      <c r="P309" s="1769"/>
      <c r="Q309" s="1769"/>
      <c r="R309" s="1770"/>
    </row>
    <row r="310" spans="1:19">
      <c r="A310" s="1"/>
      <c r="B310" s="1700"/>
      <c r="C310" s="1706"/>
      <c r="D310" s="1701"/>
      <c r="E310" s="40"/>
      <c r="F310" s="41"/>
      <c r="G310" s="40"/>
      <c r="H310" s="41"/>
      <c r="I310" s="1815"/>
      <c r="J310" s="1705"/>
      <c r="K310" s="1701"/>
      <c r="L310" s="1701"/>
      <c r="M310" s="1701"/>
      <c r="N310" s="1701"/>
      <c r="O310" s="1701"/>
      <c r="P310" s="1701"/>
      <c r="Q310" s="1701"/>
      <c r="R310" s="1757"/>
    </row>
    <row r="311" spans="1:19">
      <c r="A311" s="1"/>
      <c r="B311" s="1700"/>
      <c r="C311" s="1706"/>
      <c r="D311" s="1701"/>
      <c r="E311" s="40"/>
      <c r="F311" s="41"/>
      <c r="G311" s="40"/>
      <c r="H311" s="41"/>
      <c r="I311" s="1815"/>
      <c r="J311" s="1705"/>
      <c r="K311" s="1701"/>
      <c r="L311" s="1701"/>
      <c r="M311" s="1701"/>
      <c r="N311" s="1701"/>
      <c r="O311" s="1701"/>
      <c r="P311" s="1701"/>
      <c r="Q311" s="1701"/>
      <c r="R311" s="1757"/>
    </row>
    <row r="312" spans="1:19">
      <c r="A312" s="1"/>
      <c r="B312" s="1700"/>
      <c r="C312" s="1706"/>
      <c r="D312" s="1701"/>
      <c r="E312" s="40"/>
      <c r="F312" s="41"/>
      <c r="G312" s="40"/>
      <c r="H312" s="41"/>
      <c r="I312" s="1815"/>
      <c r="J312" s="1705"/>
      <c r="K312" s="1701"/>
      <c r="L312" s="1701"/>
      <c r="M312" s="1701"/>
      <c r="N312" s="1701"/>
      <c r="O312" s="1701"/>
      <c r="P312" s="1701"/>
      <c r="Q312" s="1701"/>
      <c r="R312" s="1757"/>
    </row>
    <row r="313" spans="1:19">
      <c r="A313" s="1"/>
      <c r="B313" s="1700"/>
      <c r="C313" s="1706"/>
      <c r="D313" s="1701"/>
      <c r="E313" s="40"/>
      <c r="F313" s="41"/>
      <c r="G313" s="40"/>
      <c r="H313" s="41"/>
      <c r="I313" s="1815"/>
      <c r="J313" s="1705"/>
      <c r="K313" s="1701"/>
      <c r="L313" s="1701"/>
      <c r="M313" s="1701"/>
      <c r="N313" s="1701"/>
      <c r="O313" s="1701"/>
      <c r="P313" s="1701"/>
      <c r="Q313" s="1701"/>
      <c r="R313" s="1757"/>
    </row>
    <row r="314" spans="1:19" ht="15.75" thickBot="1">
      <c r="A314" s="1"/>
      <c r="B314" s="1803"/>
      <c r="C314" s="1673"/>
      <c r="D314" s="1749"/>
      <c r="E314" s="43"/>
      <c r="F314" s="44"/>
      <c r="G314" s="43"/>
      <c r="H314" s="44"/>
      <c r="I314" s="1818"/>
      <c r="J314" s="1672"/>
      <c r="K314" s="1749"/>
      <c r="L314" s="1749"/>
      <c r="M314" s="1749"/>
      <c r="N314" s="1749"/>
      <c r="O314" s="1749"/>
      <c r="P314" s="1749"/>
      <c r="Q314" s="1749"/>
      <c r="R314" s="1750"/>
    </row>
    <row r="315" spans="1:19">
      <c r="A315" s="1"/>
      <c r="B315" s="1"/>
      <c r="C315" s="1"/>
      <c r="D315" s="1"/>
      <c r="E315" s="1"/>
      <c r="F315" s="1"/>
      <c r="G315" s="1"/>
      <c r="H315" s="1"/>
      <c r="I315" s="24"/>
      <c r="J315" s="24"/>
      <c r="K315" s="1"/>
      <c r="L315" s="1"/>
      <c r="M315" s="1"/>
      <c r="N315" s="1"/>
      <c r="O315" s="1"/>
      <c r="P315" s="1"/>
    </row>
    <row r="316" spans="1:19">
      <c r="A316" s="8" t="s">
        <v>391</v>
      </c>
      <c r="B316" s="8" t="s">
        <v>376</v>
      </c>
      <c r="C316" s="8"/>
      <c r="D316" s="1"/>
      <c r="E316" s="1"/>
      <c r="F316" s="1"/>
      <c r="G316" s="1"/>
      <c r="H316" s="1"/>
      <c r="I316" s="24"/>
      <c r="J316" s="24"/>
      <c r="K316" s="1"/>
      <c r="L316" s="1"/>
      <c r="M316" s="1"/>
      <c r="N316" s="1"/>
      <c r="O316" s="1"/>
      <c r="P316" s="1"/>
      <c r="Q316" s="1"/>
      <c r="R316" s="1"/>
    </row>
    <row r="317" spans="1:19" ht="15.75" thickBot="1">
      <c r="A317" s="1"/>
      <c r="B317" s="1"/>
      <c r="C317" s="1"/>
      <c r="D317" s="1"/>
      <c r="E317" s="1"/>
      <c r="F317" s="1"/>
      <c r="G317" s="1"/>
      <c r="H317" s="1"/>
      <c r="I317" s="24"/>
      <c r="J317" s="24"/>
      <c r="K317" s="1"/>
      <c r="L317" s="1"/>
      <c r="M317" s="1"/>
      <c r="N317" s="1"/>
      <c r="O317" s="1"/>
      <c r="P317" s="1"/>
      <c r="Q317" s="1"/>
      <c r="R317" s="1"/>
    </row>
    <row r="318" spans="1:19" ht="39.75" thickBot="1">
      <c r="A318" s="1"/>
      <c r="B318" s="95" t="s">
        <v>371</v>
      </c>
      <c r="C318" s="58"/>
      <c r="D318" s="1816" t="s">
        <v>372</v>
      </c>
      <c r="E318" s="1816"/>
      <c r="F318" s="35" t="s">
        <v>373</v>
      </c>
      <c r="G318" s="35" t="s">
        <v>26</v>
      </c>
      <c r="H318" s="110" t="s">
        <v>346</v>
      </c>
      <c r="I318" s="66" t="s">
        <v>374</v>
      </c>
      <c r="J318" s="66" t="s">
        <v>375</v>
      </c>
      <c r="K318" s="66" t="s">
        <v>414</v>
      </c>
      <c r="L318" s="1816" t="s">
        <v>115</v>
      </c>
      <c r="M318" s="1816"/>
      <c r="N318" s="1754" t="s">
        <v>415</v>
      </c>
      <c r="O318" s="1754"/>
      <c r="P318" s="1754" t="s">
        <v>416</v>
      </c>
      <c r="Q318" s="1754"/>
      <c r="R318" s="1754" t="s">
        <v>417</v>
      </c>
      <c r="S318" s="1817"/>
    </row>
    <row r="319" spans="1:19">
      <c r="A319" s="1"/>
      <c r="B319" s="1767"/>
      <c r="C319" s="1768"/>
      <c r="D319" s="1769"/>
      <c r="E319" s="1769"/>
      <c r="F319" s="39"/>
      <c r="G319" s="39"/>
      <c r="H319" s="111"/>
      <c r="I319" s="39"/>
      <c r="J319" s="39"/>
      <c r="K319" s="39"/>
      <c r="L319" s="1769"/>
      <c r="M319" s="1769"/>
      <c r="N319" s="1769"/>
      <c r="O319" s="1769"/>
      <c r="P319" s="1769"/>
      <c r="Q319" s="1769"/>
      <c r="R319" s="1769"/>
      <c r="S319" s="1770"/>
    </row>
    <row r="320" spans="1:19">
      <c r="A320" s="1"/>
      <c r="B320" s="1763"/>
      <c r="C320" s="1764"/>
      <c r="D320" s="1701"/>
      <c r="E320" s="1701"/>
      <c r="F320" s="27"/>
      <c r="G320" s="27"/>
      <c r="H320" s="108"/>
      <c r="I320" s="27"/>
      <c r="J320" s="27"/>
      <c r="K320" s="27"/>
      <c r="L320" s="1701"/>
      <c r="M320" s="1701"/>
      <c r="N320" s="1701"/>
      <c r="O320" s="1701"/>
      <c r="P320" s="1701"/>
      <c r="Q320" s="1701"/>
      <c r="R320" s="1701"/>
      <c r="S320" s="1757"/>
    </row>
    <row r="321" spans="1:20">
      <c r="A321" s="1"/>
      <c r="B321" s="1763"/>
      <c r="C321" s="1764"/>
      <c r="D321" s="1701"/>
      <c r="E321" s="1701"/>
      <c r="F321" s="27"/>
      <c r="G321" s="27"/>
      <c r="H321" s="108"/>
      <c r="I321" s="27"/>
      <c r="J321" s="27"/>
      <c r="K321" s="27"/>
      <c r="L321" s="1701"/>
      <c r="M321" s="1701"/>
      <c r="N321" s="1701"/>
      <c r="O321" s="1701"/>
      <c r="P321" s="1701"/>
      <c r="Q321" s="1701"/>
      <c r="R321" s="1701"/>
      <c r="S321" s="1757"/>
    </row>
    <row r="322" spans="1:20">
      <c r="A322" s="1"/>
      <c r="B322" s="1763"/>
      <c r="C322" s="1764"/>
      <c r="D322" s="1701"/>
      <c r="E322" s="1701"/>
      <c r="F322" s="27"/>
      <c r="G322" s="27"/>
      <c r="H322" s="108"/>
      <c r="I322" s="27"/>
      <c r="J322" s="27"/>
      <c r="K322" s="27"/>
      <c r="L322" s="1701"/>
      <c r="M322" s="1701"/>
      <c r="N322" s="1701"/>
      <c r="O322" s="1701"/>
      <c r="P322" s="1701"/>
      <c r="Q322" s="1701"/>
      <c r="R322" s="1701"/>
      <c r="S322" s="1757"/>
    </row>
    <row r="323" spans="1:20">
      <c r="A323" s="1"/>
      <c r="B323" s="1763"/>
      <c r="C323" s="1764"/>
      <c r="D323" s="1701"/>
      <c r="E323" s="1701"/>
      <c r="F323" s="27"/>
      <c r="G323" s="27"/>
      <c r="H323" s="108"/>
      <c r="I323" s="27"/>
      <c r="J323" s="27"/>
      <c r="K323" s="27"/>
      <c r="L323" s="1701"/>
      <c r="M323" s="1701"/>
      <c r="N323" s="1701"/>
      <c r="O323" s="1701"/>
      <c r="P323" s="1701"/>
      <c r="Q323" s="1701"/>
      <c r="R323" s="1701"/>
      <c r="S323" s="1757"/>
    </row>
    <row r="324" spans="1:20" ht="15.75" thickBot="1">
      <c r="A324" s="1"/>
      <c r="B324" s="1759"/>
      <c r="C324" s="1760"/>
      <c r="D324" s="1749"/>
      <c r="E324" s="1749"/>
      <c r="F324" s="46"/>
      <c r="G324" s="46"/>
      <c r="H324" s="109"/>
      <c r="I324" s="46"/>
      <c r="J324" s="46"/>
      <c r="K324" s="46"/>
      <c r="L324" s="1749"/>
      <c r="M324" s="1749"/>
      <c r="N324" s="1749"/>
      <c r="O324" s="1749"/>
      <c r="P324" s="1749"/>
      <c r="Q324" s="1749"/>
      <c r="R324" s="1749"/>
      <c r="S324" s="1750"/>
    </row>
    <row r="325" spans="1:20">
      <c r="A325" s="1"/>
      <c r="B325" s="1"/>
      <c r="C325" s="1"/>
      <c r="D325" s="1"/>
      <c r="E325" s="1"/>
      <c r="F325" s="1"/>
      <c r="G325" s="1"/>
      <c r="H325" s="1"/>
      <c r="I325" s="24"/>
      <c r="J325" s="24"/>
      <c r="K325" s="1"/>
      <c r="L325" s="1"/>
      <c r="M325" s="1"/>
      <c r="N325" s="1"/>
      <c r="O325" s="1"/>
      <c r="P325" s="1"/>
      <c r="Q325" s="1"/>
      <c r="R325" s="1"/>
    </row>
    <row r="326" spans="1:20">
      <c r="A326" s="1"/>
      <c r="B326" s="8" t="s">
        <v>315</v>
      </c>
      <c r="C326" s="8"/>
      <c r="D326" s="1"/>
      <c r="E326" s="1"/>
      <c r="F326" s="1"/>
      <c r="G326" s="1"/>
      <c r="H326" s="1"/>
      <c r="I326" s="24"/>
      <c r="J326" s="24"/>
      <c r="K326" s="1"/>
      <c r="L326" s="1"/>
      <c r="M326" s="1"/>
      <c r="N326" s="1"/>
      <c r="O326" s="1"/>
      <c r="P326" s="1"/>
      <c r="Q326" s="1"/>
      <c r="R326" s="1"/>
    </row>
    <row r="327" spans="1:20" ht="15.75" thickBot="1">
      <c r="A327" s="1"/>
      <c r="B327" s="1"/>
      <c r="C327" s="1"/>
      <c r="D327" s="1"/>
      <c r="E327" s="1"/>
      <c r="F327" s="1"/>
      <c r="G327" s="1"/>
      <c r="H327" s="1"/>
      <c r="I327" s="24"/>
      <c r="J327" s="24"/>
      <c r="K327" s="1"/>
      <c r="L327" s="1"/>
      <c r="M327" s="1"/>
      <c r="N327" s="1"/>
      <c r="O327" s="1"/>
      <c r="P327" s="1"/>
      <c r="Q327" s="1"/>
      <c r="R327" s="1"/>
    </row>
    <row r="328" spans="1:20" s="16" customFormat="1" ht="31.5" customHeight="1" thickBot="1">
      <c r="A328" s="4"/>
      <c r="B328" s="1868" t="s">
        <v>45</v>
      </c>
      <c r="C328" s="1773"/>
      <c r="D328" s="1773"/>
      <c r="E328" s="1773" t="s">
        <v>371</v>
      </c>
      <c r="F328" s="1773"/>
      <c r="G328" s="1777" t="s">
        <v>115</v>
      </c>
      <c r="H328" s="1778"/>
      <c r="I328" s="64" t="s">
        <v>380</v>
      </c>
      <c r="J328" s="1773" t="s">
        <v>377</v>
      </c>
      <c r="K328" s="1773"/>
      <c r="L328" s="64" t="s">
        <v>378</v>
      </c>
      <c r="M328" s="1773" t="s">
        <v>379</v>
      </c>
      <c r="N328" s="1773"/>
      <c r="O328" s="1754" t="s">
        <v>415</v>
      </c>
      <c r="P328" s="1754"/>
      <c r="Q328" s="1754" t="s">
        <v>416</v>
      </c>
      <c r="R328" s="1754"/>
      <c r="S328" s="1754" t="s">
        <v>417</v>
      </c>
      <c r="T328" s="1817"/>
    </row>
    <row r="329" spans="1:20">
      <c r="A329" s="1"/>
      <c r="B329" s="1731"/>
      <c r="C329" s="1733"/>
      <c r="D329" s="1733"/>
      <c r="E329" s="1869"/>
      <c r="F329" s="1869"/>
      <c r="G329" s="1734"/>
      <c r="H329" s="1735"/>
      <c r="I329" s="86"/>
      <c r="J329" s="1733"/>
      <c r="K329" s="1733"/>
      <c r="L329" s="86"/>
      <c r="M329" s="1869"/>
      <c r="N329" s="1869"/>
      <c r="O329" s="1769"/>
      <c r="P329" s="1769"/>
      <c r="Q329" s="1769"/>
      <c r="R329" s="1769"/>
      <c r="S329" s="1769"/>
      <c r="T329" s="1770"/>
    </row>
    <row r="330" spans="1:20">
      <c r="A330" s="1"/>
      <c r="B330" s="1737"/>
      <c r="C330" s="1739"/>
      <c r="D330" s="1739"/>
      <c r="E330" s="1758"/>
      <c r="F330" s="1758"/>
      <c r="G330" s="1740"/>
      <c r="H330" s="1741"/>
      <c r="I330" s="84"/>
      <c r="J330" s="1739"/>
      <c r="K330" s="1739"/>
      <c r="L330" s="84"/>
      <c r="M330" s="1758"/>
      <c r="N330" s="1758"/>
      <c r="O330" s="1701"/>
      <c r="P330" s="1701"/>
      <c r="Q330" s="1701"/>
      <c r="R330" s="1701"/>
      <c r="S330" s="1701"/>
      <c r="T330" s="1757"/>
    </row>
    <row r="331" spans="1:20">
      <c r="A331" s="1"/>
      <c r="B331" s="1737"/>
      <c r="C331" s="1739"/>
      <c r="D331" s="1739"/>
      <c r="E331" s="1758"/>
      <c r="F331" s="1758"/>
      <c r="G331" s="1740"/>
      <c r="H331" s="1741"/>
      <c r="I331" s="84"/>
      <c r="J331" s="1739"/>
      <c r="K331" s="1739"/>
      <c r="L331" s="84"/>
      <c r="M331" s="1758"/>
      <c r="N331" s="1758"/>
      <c r="O331" s="1701"/>
      <c r="P331" s="1701"/>
      <c r="Q331" s="1701"/>
      <c r="R331" s="1701"/>
      <c r="S331" s="1701"/>
      <c r="T331" s="1757"/>
    </row>
    <row r="332" spans="1:20">
      <c r="A332" s="1"/>
      <c r="B332" s="1737"/>
      <c r="C332" s="1739"/>
      <c r="D332" s="1739"/>
      <c r="E332" s="1758"/>
      <c r="F332" s="1758"/>
      <c r="G332" s="1740"/>
      <c r="H332" s="1741"/>
      <c r="I332" s="84"/>
      <c r="J332" s="1739"/>
      <c r="K332" s="1739"/>
      <c r="L332" s="84"/>
      <c r="M332" s="1758"/>
      <c r="N332" s="1758"/>
      <c r="O332" s="1701"/>
      <c r="P332" s="1701"/>
      <c r="Q332" s="1701"/>
      <c r="R332" s="1701"/>
      <c r="S332" s="1701"/>
      <c r="T332" s="1757"/>
    </row>
    <row r="333" spans="1:20">
      <c r="A333" s="1"/>
      <c r="B333" s="1737"/>
      <c r="C333" s="1739"/>
      <c r="D333" s="1739"/>
      <c r="E333" s="1758"/>
      <c r="F333" s="1758"/>
      <c r="G333" s="1740"/>
      <c r="H333" s="1741"/>
      <c r="I333" s="84"/>
      <c r="J333" s="1739"/>
      <c r="K333" s="1739"/>
      <c r="L333" s="84"/>
      <c r="M333" s="1758"/>
      <c r="N333" s="1758"/>
      <c r="O333" s="1701"/>
      <c r="P333" s="1701"/>
      <c r="Q333" s="1701"/>
      <c r="R333" s="1701"/>
      <c r="S333" s="1701"/>
      <c r="T333" s="1757"/>
    </row>
    <row r="334" spans="1:20">
      <c r="A334" s="1"/>
      <c r="B334" s="1737"/>
      <c r="C334" s="1739"/>
      <c r="D334" s="1739"/>
      <c r="E334" s="1758"/>
      <c r="F334" s="1758"/>
      <c r="G334" s="1740"/>
      <c r="H334" s="1741"/>
      <c r="I334" s="84"/>
      <c r="J334" s="1739"/>
      <c r="K334" s="1739"/>
      <c r="L334" s="84"/>
      <c r="M334" s="1758"/>
      <c r="N334" s="1758"/>
      <c r="O334" s="1701"/>
      <c r="P334" s="1701"/>
      <c r="Q334" s="1701"/>
      <c r="R334" s="1701"/>
      <c r="S334" s="1701"/>
      <c r="T334" s="1757"/>
    </row>
    <row r="335" spans="1:20" ht="15.75" thickBot="1">
      <c r="A335" s="1"/>
      <c r="B335" s="1743"/>
      <c r="C335" s="1745"/>
      <c r="D335" s="1745"/>
      <c r="E335" s="1751"/>
      <c r="F335" s="1751"/>
      <c r="G335" s="1746"/>
      <c r="H335" s="1747"/>
      <c r="I335" s="85"/>
      <c r="J335" s="1745"/>
      <c r="K335" s="1745"/>
      <c r="L335" s="85"/>
      <c r="M335" s="1751"/>
      <c r="N335" s="1751"/>
      <c r="O335" s="1749"/>
      <c r="P335" s="1749"/>
      <c r="Q335" s="1749"/>
      <c r="R335" s="1749"/>
      <c r="S335" s="1749"/>
      <c r="T335" s="1750"/>
    </row>
    <row r="336" spans="1:20">
      <c r="A336" s="1"/>
      <c r="B336" s="1"/>
      <c r="C336" s="1"/>
      <c r="D336" s="1"/>
      <c r="E336" s="1"/>
      <c r="F336" s="1"/>
      <c r="G336" s="1"/>
      <c r="H336" s="1"/>
      <c r="I336" s="24"/>
      <c r="J336" s="24"/>
      <c r="K336" s="1"/>
      <c r="L336" s="1"/>
      <c r="M336" s="1"/>
      <c r="N336" s="1"/>
      <c r="O336" s="1"/>
      <c r="P336" s="1"/>
      <c r="Q336" s="1"/>
      <c r="R336" s="1"/>
    </row>
    <row r="337" spans="1:18">
      <c r="A337" s="1"/>
      <c r="B337" s="8" t="s">
        <v>383</v>
      </c>
      <c r="C337" s="8"/>
      <c r="D337" s="1"/>
      <c r="E337" s="1"/>
      <c r="F337" s="1"/>
      <c r="G337" s="1"/>
      <c r="H337" s="1"/>
      <c r="I337" s="24"/>
      <c r="J337" s="24"/>
      <c r="K337" s="1"/>
      <c r="L337" s="1"/>
      <c r="M337" s="1"/>
      <c r="N337" s="1"/>
      <c r="O337" s="1"/>
      <c r="P337" s="1"/>
      <c r="Q337" s="1"/>
      <c r="R337" s="1"/>
    </row>
    <row r="338" spans="1:18" ht="15.75" thickBot="1">
      <c r="A338" s="1"/>
      <c r="B338" s="1"/>
      <c r="C338" s="1"/>
      <c r="D338" s="1"/>
      <c r="E338" s="1"/>
      <c r="F338" s="1"/>
      <c r="G338" s="1"/>
      <c r="H338" s="1"/>
      <c r="I338" s="24"/>
      <c r="J338" s="24"/>
      <c r="K338" s="1"/>
      <c r="L338" s="1"/>
      <c r="M338" s="1"/>
      <c r="N338" s="1"/>
      <c r="O338" s="1"/>
      <c r="P338" s="1"/>
      <c r="Q338" s="1"/>
      <c r="R338" s="1"/>
    </row>
    <row r="339" spans="1:18" ht="15.75" thickBot="1">
      <c r="A339" s="1"/>
      <c r="B339" s="1752" t="s">
        <v>45</v>
      </c>
      <c r="C339" s="1753"/>
      <c r="D339" s="1754"/>
      <c r="E339" s="1755" t="s">
        <v>371</v>
      </c>
      <c r="F339" s="1753"/>
      <c r="G339" s="69" t="s">
        <v>115</v>
      </c>
      <c r="H339" s="70"/>
      <c r="I339" s="1754" t="s">
        <v>380</v>
      </c>
      <c r="J339" s="1754"/>
      <c r="K339" s="1754" t="s">
        <v>377</v>
      </c>
      <c r="L339" s="1754"/>
      <c r="M339" s="1754" t="s">
        <v>378</v>
      </c>
      <c r="N339" s="1754"/>
      <c r="O339" s="1755" t="s">
        <v>379</v>
      </c>
      <c r="P339" s="1756"/>
      <c r="Q339" s="7"/>
      <c r="R339" s="1"/>
    </row>
    <row r="340" spans="1:18">
      <c r="A340" s="1"/>
      <c r="B340" s="1731"/>
      <c r="C340" s="1732"/>
      <c r="D340" s="1733"/>
      <c r="E340" s="1734"/>
      <c r="F340" s="1735"/>
      <c r="G340" s="71"/>
      <c r="H340" s="72"/>
      <c r="I340" s="1733"/>
      <c r="J340" s="1733"/>
      <c r="K340" s="1733"/>
      <c r="L340" s="1733"/>
      <c r="M340" s="1733"/>
      <c r="N340" s="1733"/>
      <c r="O340" s="1734"/>
      <c r="P340" s="1736"/>
      <c r="Q340" s="1"/>
      <c r="R340" s="1"/>
    </row>
    <row r="341" spans="1:18">
      <c r="A341" s="1"/>
      <c r="B341" s="1737"/>
      <c r="C341" s="1738"/>
      <c r="D341" s="1739"/>
      <c r="E341" s="1740"/>
      <c r="F341" s="1741"/>
      <c r="G341" s="73"/>
      <c r="H341" s="74"/>
      <c r="I341" s="1739"/>
      <c r="J341" s="1739"/>
      <c r="K341" s="1739"/>
      <c r="L341" s="1739"/>
      <c r="M341" s="1739"/>
      <c r="N341" s="1739"/>
      <c r="O341" s="1740"/>
      <c r="P341" s="1742"/>
      <c r="Q341" s="1"/>
      <c r="R341" s="1"/>
    </row>
    <row r="342" spans="1:18">
      <c r="A342" s="1"/>
      <c r="B342" s="1737"/>
      <c r="C342" s="1738"/>
      <c r="D342" s="1739"/>
      <c r="E342" s="1740"/>
      <c r="F342" s="1741"/>
      <c r="G342" s="73"/>
      <c r="H342" s="74"/>
      <c r="I342" s="1739"/>
      <c r="J342" s="1739"/>
      <c r="K342" s="1739"/>
      <c r="L342" s="1739"/>
      <c r="M342" s="1739"/>
      <c r="N342" s="1739"/>
      <c r="O342" s="1740"/>
      <c r="P342" s="1742"/>
      <c r="Q342" s="1"/>
      <c r="R342" s="1"/>
    </row>
    <row r="343" spans="1:18">
      <c r="A343" s="1"/>
      <c r="B343" s="1737"/>
      <c r="C343" s="1738"/>
      <c r="D343" s="1739"/>
      <c r="E343" s="1740"/>
      <c r="F343" s="1741"/>
      <c r="G343" s="73"/>
      <c r="H343" s="74"/>
      <c r="I343" s="1739"/>
      <c r="J343" s="1739"/>
      <c r="K343" s="1739"/>
      <c r="L343" s="1739"/>
      <c r="M343" s="1739"/>
      <c r="N343" s="1739"/>
      <c r="O343" s="1740"/>
      <c r="P343" s="1742"/>
      <c r="Q343" s="1"/>
      <c r="R343" s="1"/>
    </row>
    <row r="344" spans="1:18">
      <c r="A344" s="1"/>
      <c r="B344" s="1737"/>
      <c r="C344" s="1738"/>
      <c r="D344" s="1739"/>
      <c r="E344" s="1740"/>
      <c r="F344" s="1741"/>
      <c r="G344" s="73"/>
      <c r="H344" s="74"/>
      <c r="I344" s="1739"/>
      <c r="J344" s="1739"/>
      <c r="K344" s="1739"/>
      <c r="L344" s="1739"/>
      <c r="M344" s="1739"/>
      <c r="N344" s="1739"/>
      <c r="O344" s="1740"/>
      <c r="P344" s="1742"/>
      <c r="Q344" s="1"/>
      <c r="R344" s="1"/>
    </row>
    <row r="345" spans="1:18">
      <c r="A345" s="1"/>
      <c r="B345" s="1737"/>
      <c r="C345" s="1738"/>
      <c r="D345" s="1739"/>
      <c r="E345" s="1740"/>
      <c r="F345" s="1741"/>
      <c r="G345" s="73"/>
      <c r="H345" s="74"/>
      <c r="I345" s="1739"/>
      <c r="J345" s="1739"/>
      <c r="K345" s="1739"/>
      <c r="L345" s="1739"/>
      <c r="M345" s="1739"/>
      <c r="N345" s="1739"/>
      <c r="O345" s="1740"/>
      <c r="P345" s="1742"/>
      <c r="Q345" s="1"/>
      <c r="R345" s="1"/>
    </row>
    <row r="346" spans="1:18" ht="15.75" thickBot="1">
      <c r="A346" s="1"/>
      <c r="B346" s="1743"/>
      <c r="C346" s="1744"/>
      <c r="D346" s="1745"/>
      <c r="E346" s="1746"/>
      <c r="F346" s="1747"/>
      <c r="G346" s="75"/>
      <c r="H346" s="76"/>
      <c r="I346" s="1745"/>
      <c r="J346" s="1745"/>
      <c r="K346" s="1745"/>
      <c r="L346" s="1745"/>
      <c r="M346" s="1745"/>
      <c r="N346" s="1745"/>
      <c r="O346" s="1746"/>
      <c r="P346" s="1748"/>
      <c r="Q346" s="1"/>
      <c r="R346" s="1"/>
    </row>
    <row r="348" spans="1:18">
      <c r="A348" s="8" t="s">
        <v>392</v>
      </c>
      <c r="B348" s="8" t="s">
        <v>420</v>
      </c>
      <c r="C348" s="8"/>
      <c r="D348" s="1"/>
      <c r="E348" s="1"/>
      <c r="F348" s="1"/>
      <c r="G348" s="1"/>
      <c r="H348" s="1"/>
      <c r="I348" s="8" t="s">
        <v>360</v>
      </c>
      <c r="J348" s="24"/>
      <c r="K348" s="1"/>
      <c r="M348" s="1"/>
      <c r="N348" s="1"/>
      <c r="O348" s="1"/>
      <c r="P348" s="1"/>
      <c r="Q348" s="1"/>
      <c r="R348" s="1"/>
    </row>
    <row r="349" spans="1:18" ht="15.75" thickBot="1">
      <c r="A349" s="1"/>
      <c r="B349" s="1"/>
      <c r="C349" s="1"/>
      <c r="D349" s="1"/>
      <c r="E349" s="1"/>
      <c r="F349" s="1"/>
      <c r="G349" s="1"/>
      <c r="H349" s="1"/>
      <c r="I349" s="1"/>
      <c r="J349" s="24"/>
      <c r="K349" s="1"/>
      <c r="M349" s="1"/>
      <c r="N349" s="1"/>
      <c r="O349" s="1"/>
      <c r="P349" s="1"/>
      <c r="Q349" s="1"/>
      <c r="R349" s="1"/>
    </row>
    <row r="350" spans="1:18" ht="15.75" thickBot="1">
      <c r="A350" s="1"/>
      <c r="B350" s="1" t="s">
        <v>330</v>
      </c>
      <c r="C350" s="1"/>
      <c r="D350" s="1"/>
      <c r="E350" s="1692"/>
      <c r="F350" s="1809"/>
      <c r="G350" s="1810"/>
      <c r="H350" s="123"/>
      <c r="I350" s="1" t="s">
        <v>360</v>
      </c>
      <c r="J350" s="24"/>
      <c r="K350" s="1"/>
      <c r="L350" s="117"/>
      <c r="M350" s="118"/>
      <c r="N350" s="1"/>
      <c r="O350" s="1"/>
      <c r="P350" s="1"/>
      <c r="Q350" s="1"/>
      <c r="R350" s="1"/>
    </row>
    <row r="351" spans="1:18" ht="15.75" thickBot="1">
      <c r="A351" s="1"/>
      <c r="B351" s="1" t="s">
        <v>29</v>
      </c>
      <c r="C351" s="1"/>
      <c r="D351" s="1"/>
      <c r="E351" s="1700"/>
      <c r="F351" s="1705"/>
      <c r="G351" s="1757"/>
      <c r="H351" s="123"/>
      <c r="I351" s="1"/>
      <c r="J351" s="24"/>
      <c r="K351" s="1"/>
      <c r="L351" s="1"/>
      <c r="M351" s="1"/>
      <c r="N351" s="1"/>
      <c r="O351" s="1"/>
      <c r="P351" s="1"/>
      <c r="Q351" s="1"/>
      <c r="R351" s="1"/>
    </row>
    <row r="352" spans="1:18" ht="15.75" thickBot="1">
      <c r="A352" s="1"/>
      <c r="B352" s="1" t="s">
        <v>30</v>
      </c>
      <c r="C352" s="1"/>
      <c r="D352" s="1"/>
      <c r="E352" s="1803"/>
      <c r="F352" s="1672"/>
      <c r="G352" s="1750"/>
      <c r="H352" s="123"/>
      <c r="I352" s="1" t="s">
        <v>361</v>
      </c>
      <c r="J352" s="24"/>
      <c r="K352" s="1"/>
      <c r="L352" s="87"/>
      <c r="M352" s="88"/>
      <c r="N352" s="1"/>
      <c r="O352" s="1"/>
      <c r="P352" s="1"/>
      <c r="Q352" s="1"/>
      <c r="R352" s="1"/>
    </row>
    <row r="353" spans="1:19" ht="15.75" thickBot="1">
      <c r="A353" s="1"/>
      <c r="B353" s="1"/>
      <c r="C353" s="1"/>
      <c r="D353" s="1"/>
      <c r="E353" s="1"/>
      <c r="F353" s="1"/>
      <c r="G353" s="1"/>
      <c r="H353" s="1"/>
      <c r="I353" s="1" t="s">
        <v>362</v>
      </c>
      <c r="J353" s="24"/>
      <c r="K353" s="1"/>
      <c r="L353" s="112"/>
      <c r="M353" s="113"/>
      <c r="N353" s="1"/>
      <c r="O353" s="1"/>
      <c r="P353" s="1"/>
      <c r="Q353" s="1"/>
      <c r="R353" s="1"/>
    </row>
    <row r="354" spans="1:19" ht="15.75" thickBot="1">
      <c r="A354" s="1"/>
      <c r="B354" s="1" t="s">
        <v>357</v>
      </c>
      <c r="C354" s="1"/>
      <c r="D354" s="1"/>
      <c r="E354" s="1804"/>
      <c r="F354" s="1805"/>
      <c r="G354" s="1806"/>
      <c r="H354" s="123"/>
      <c r="I354" s="1" t="s">
        <v>418</v>
      </c>
      <c r="J354" s="24"/>
      <c r="K354" s="1"/>
      <c r="L354" s="1704"/>
      <c r="M354" s="1807"/>
      <c r="N354" s="1"/>
      <c r="O354" s="1"/>
      <c r="P354" s="1"/>
      <c r="Q354" s="1"/>
      <c r="R354" s="1"/>
    </row>
    <row r="355" spans="1:19" ht="15.75" thickBot="1">
      <c r="A355" s="1"/>
      <c r="B355" s="1"/>
      <c r="C355" s="1"/>
      <c r="D355" s="1"/>
      <c r="E355" s="1"/>
      <c r="F355" s="1"/>
      <c r="G355" s="1"/>
      <c r="H355" s="1"/>
      <c r="I355" s="1" t="s">
        <v>364</v>
      </c>
      <c r="J355" s="24"/>
      <c r="K355" s="1"/>
      <c r="L355" s="1671"/>
      <c r="M355" s="1808"/>
      <c r="N355" s="1"/>
      <c r="O355" s="1"/>
      <c r="P355" s="1"/>
      <c r="Q355" s="1"/>
      <c r="R355" s="1"/>
    </row>
    <row r="356" spans="1:19">
      <c r="A356" s="1"/>
      <c r="B356" s="1" t="s">
        <v>358</v>
      </c>
      <c r="C356" s="1"/>
      <c r="D356" s="1"/>
      <c r="E356" s="1692"/>
      <c r="F356" s="1809"/>
      <c r="G356" s="1810"/>
      <c r="H356" s="123"/>
      <c r="N356" s="1"/>
      <c r="O356" s="1"/>
      <c r="P356" s="1"/>
      <c r="Q356" s="1"/>
      <c r="R356" s="1"/>
    </row>
    <row r="357" spans="1:19" ht="15.75" thickBot="1">
      <c r="A357" s="1"/>
      <c r="B357" s="1" t="s">
        <v>359</v>
      </c>
      <c r="C357" s="1"/>
      <c r="D357" s="1"/>
      <c r="E357" s="1803"/>
      <c r="F357" s="1672"/>
      <c r="G357" s="1750"/>
      <c r="H357" s="123"/>
      <c r="N357" s="1"/>
      <c r="O357" s="1"/>
      <c r="P357" s="1"/>
      <c r="Q357" s="1"/>
      <c r="R357" s="1"/>
    </row>
    <row r="358" spans="1:19">
      <c r="A358" s="1"/>
      <c r="B358" s="1"/>
      <c r="C358" s="1"/>
      <c r="D358" s="1"/>
      <c r="E358" s="1"/>
      <c r="F358" s="1"/>
      <c r="G358" s="1"/>
      <c r="H358" s="1"/>
      <c r="I358" s="24"/>
      <c r="J358" s="24"/>
      <c r="K358" s="1"/>
      <c r="L358" s="1"/>
      <c r="M358" s="1"/>
      <c r="N358" s="1"/>
      <c r="O358" s="1"/>
      <c r="P358" s="1"/>
      <c r="Q358" s="1"/>
      <c r="R358" s="1"/>
    </row>
    <row r="359" spans="1:19">
      <c r="A359" s="1"/>
      <c r="B359" s="8" t="s">
        <v>441</v>
      </c>
      <c r="C359" s="8"/>
      <c r="D359" s="1"/>
      <c r="E359" s="1"/>
      <c r="F359" s="1"/>
      <c r="G359" s="1"/>
      <c r="H359" s="1"/>
      <c r="I359" s="24"/>
      <c r="J359" s="24"/>
      <c r="K359" s="1"/>
      <c r="L359" s="1"/>
      <c r="M359" s="1"/>
      <c r="N359" s="1"/>
      <c r="O359" s="1"/>
      <c r="P359" s="1"/>
      <c r="Q359" s="1"/>
      <c r="R359" s="1"/>
    </row>
    <row r="360" spans="1:19" ht="15.75" thickBot="1">
      <c r="A360" s="1"/>
      <c r="B360" s="1"/>
      <c r="C360" s="1"/>
      <c r="D360" s="1"/>
      <c r="E360" s="1"/>
      <c r="F360" s="1"/>
      <c r="G360" s="1"/>
      <c r="H360" s="1"/>
      <c r="I360" s="24"/>
      <c r="J360" s="24"/>
      <c r="K360" s="1"/>
      <c r="L360" s="1"/>
      <c r="M360" s="1"/>
      <c r="N360" s="1"/>
      <c r="O360" s="1"/>
      <c r="P360" s="1"/>
      <c r="Q360" s="1"/>
      <c r="R360" s="1"/>
    </row>
    <row r="361" spans="1:19" ht="32.25" customHeight="1" thickBot="1">
      <c r="A361" s="1"/>
      <c r="B361" s="91" t="s">
        <v>23</v>
      </c>
      <c r="C361" s="133"/>
      <c r="D361" s="1776" t="s">
        <v>365</v>
      </c>
      <c r="E361" s="1659"/>
      <c r="F361" s="1775" t="s">
        <v>366</v>
      </c>
      <c r="G361" s="1775"/>
      <c r="H361" s="1811" t="s">
        <v>367</v>
      </c>
      <c r="I361" s="1812"/>
      <c r="J361" s="1813"/>
      <c r="K361" s="1775" t="s">
        <v>368</v>
      </c>
      <c r="L361" s="1775"/>
      <c r="M361" s="1775" t="s">
        <v>369</v>
      </c>
      <c r="N361" s="1775"/>
      <c r="O361" s="1777" t="s">
        <v>370</v>
      </c>
      <c r="P361" s="1814"/>
      <c r="Q361" s="1"/>
      <c r="R361" s="1"/>
      <c r="S361" s="1"/>
    </row>
    <row r="362" spans="1:19">
      <c r="A362" s="1"/>
      <c r="B362" s="89"/>
      <c r="C362" s="82"/>
      <c r="D362" s="1799"/>
      <c r="E362" s="1800"/>
      <c r="F362" s="1769"/>
      <c r="G362" s="1769"/>
      <c r="H362" s="1769"/>
      <c r="I362" s="1769"/>
      <c r="J362" s="1769"/>
      <c r="K362" s="1769"/>
      <c r="L362" s="1769"/>
      <c r="M362" s="1769"/>
      <c r="N362" s="1769"/>
      <c r="O362" s="1801"/>
      <c r="P362" s="1802"/>
      <c r="Q362" s="1"/>
      <c r="R362" s="1"/>
      <c r="S362" s="1"/>
    </row>
    <row r="363" spans="1:19">
      <c r="A363" s="1"/>
      <c r="B363" s="56"/>
      <c r="C363" s="41"/>
      <c r="D363" s="1765"/>
      <c r="E363" s="1766"/>
      <c r="F363" s="1701"/>
      <c r="G363" s="1701"/>
      <c r="H363" s="1701"/>
      <c r="I363" s="1701"/>
      <c r="J363" s="1701"/>
      <c r="K363" s="1701"/>
      <c r="L363" s="1701"/>
      <c r="M363" s="1701"/>
      <c r="N363" s="1701"/>
      <c r="O363" s="1740"/>
      <c r="P363" s="1742"/>
      <c r="Q363" s="1"/>
      <c r="R363" s="1"/>
      <c r="S363" s="1"/>
    </row>
    <row r="364" spans="1:19">
      <c r="A364" s="1"/>
      <c r="B364" s="56"/>
      <c r="C364" s="41"/>
      <c r="D364" s="1765"/>
      <c r="E364" s="1766"/>
      <c r="F364" s="1701"/>
      <c r="G364" s="1701"/>
      <c r="H364" s="1701"/>
      <c r="I364" s="1701"/>
      <c r="J364" s="1701"/>
      <c r="K364" s="1701"/>
      <c r="L364" s="1701"/>
      <c r="M364" s="1701"/>
      <c r="N364" s="1701"/>
      <c r="O364" s="1740"/>
      <c r="P364" s="1742"/>
      <c r="Q364" s="1"/>
      <c r="R364" s="1"/>
      <c r="S364" s="1"/>
    </row>
    <row r="365" spans="1:19">
      <c r="A365" s="1"/>
      <c r="B365" s="56"/>
      <c r="C365" s="41"/>
      <c r="D365" s="1765"/>
      <c r="E365" s="1766"/>
      <c r="F365" s="1701"/>
      <c r="G365" s="1701"/>
      <c r="H365" s="1701"/>
      <c r="I365" s="1701"/>
      <c r="J365" s="1701"/>
      <c r="K365" s="1701"/>
      <c r="L365" s="1701"/>
      <c r="M365" s="1701"/>
      <c r="N365" s="1701"/>
      <c r="O365" s="1740"/>
      <c r="P365" s="1742"/>
      <c r="Q365" s="1"/>
      <c r="R365" s="1"/>
      <c r="S365" s="1"/>
    </row>
    <row r="366" spans="1:19">
      <c r="A366" s="1"/>
      <c r="B366" s="56"/>
      <c r="C366" s="41"/>
      <c r="D366" s="1765"/>
      <c r="E366" s="1766"/>
      <c r="F366" s="1701"/>
      <c r="G366" s="1701"/>
      <c r="H366" s="1701"/>
      <c r="I366" s="1701"/>
      <c r="J366" s="1701"/>
      <c r="K366" s="1701"/>
      <c r="L366" s="1701"/>
      <c r="M366" s="1701"/>
      <c r="N366" s="1701"/>
      <c r="O366" s="1740"/>
      <c r="P366" s="1742"/>
      <c r="Q366" s="1"/>
      <c r="R366" s="1"/>
      <c r="S366" s="1"/>
    </row>
    <row r="367" spans="1:19" ht="15.75" thickBot="1">
      <c r="A367" s="1"/>
      <c r="B367" s="57"/>
      <c r="C367" s="44"/>
      <c r="D367" s="1761"/>
      <c r="E367" s="1762"/>
      <c r="F367" s="1749"/>
      <c r="G367" s="1749"/>
      <c r="H367" s="1749"/>
      <c r="I367" s="1749"/>
      <c r="J367" s="1749"/>
      <c r="K367" s="1749"/>
      <c r="L367" s="1749"/>
      <c r="M367" s="1749"/>
      <c r="N367" s="1749"/>
      <c r="O367" s="1746"/>
      <c r="P367" s="1748"/>
      <c r="Q367" s="1"/>
      <c r="R367" s="1"/>
      <c r="S367" s="1"/>
    </row>
    <row r="368" spans="1:19">
      <c r="A368" s="1"/>
      <c r="B368" s="1"/>
      <c r="C368" s="1"/>
      <c r="D368" s="1"/>
      <c r="E368" s="1"/>
      <c r="F368" s="1"/>
      <c r="G368" s="1"/>
      <c r="H368" s="1"/>
      <c r="I368" s="24"/>
      <c r="J368" s="24"/>
      <c r="K368" s="1"/>
      <c r="L368" s="1"/>
      <c r="M368" s="1"/>
      <c r="N368" s="1"/>
      <c r="O368" s="1"/>
      <c r="P368" s="1"/>
      <c r="Q368" s="1"/>
      <c r="R368" s="1"/>
    </row>
    <row r="369" spans="1:14">
      <c r="A369" s="8" t="s">
        <v>419</v>
      </c>
      <c r="B369" s="8" t="s">
        <v>421</v>
      </c>
    </row>
    <row r="370" spans="1:14" ht="15.75" thickBot="1"/>
    <row r="371" spans="1:14" ht="15.75" thickBot="1">
      <c r="B371" s="1" t="s">
        <v>306</v>
      </c>
      <c r="D371" s="92"/>
      <c r="E371" s="93"/>
      <c r="F371" s="93"/>
      <c r="G371" s="93"/>
      <c r="H371" s="93"/>
      <c r="I371" s="93"/>
      <c r="J371" s="93"/>
      <c r="K371" s="93"/>
      <c r="L371" s="93"/>
      <c r="M371" s="93"/>
      <c r="N371" s="94"/>
    </row>
    <row r="372" spans="1:14">
      <c r="B372" s="1"/>
      <c r="D372" s="29"/>
      <c r="E372" s="29"/>
      <c r="F372" s="29"/>
      <c r="G372" s="29"/>
      <c r="H372" s="29"/>
      <c r="I372" s="29"/>
    </row>
    <row r="373" spans="1:14">
      <c r="B373" s="1"/>
      <c r="D373" s="29"/>
      <c r="E373" s="29"/>
      <c r="F373" s="29"/>
      <c r="G373" s="29"/>
      <c r="H373" s="29"/>
      <c r="I373" s="8" t="s">
        <v>424</v>
      </c>
    </row>
    <row r="374" spans="1:14" s="1" customFormat="1" ht="13.5" thickBot="1"/>
    <row r="375" spans="1:14" s="1" customFormat="1" ht="13.5" thickBot="1">
      <c r="B375" s="1" t="s">
        <v>360</v>
      </c>
      <c r="E375" s="95"/>
      <c r="F375" s="96"/>
      <c r="G375" s="97"/>
      <c r="I375" s="1" t="s">
        <v>104</v>
      </c>
      <c r="L375" s="95"/>
      <c r="M375" s="96"/>
      <c r="N375" s="97"/>
    </row>
    <row r="376" spans="1:14" s="1" customFormat="1" ht="13.5" thickBot="1"/>
    <row r="377" spans="1:14" s="1" customFormat="1" ht="13.5" thickBot="1">
      <c r="B377" s="1" t="s">
        <v>422</v>
      </c>
      <c r="E377" s="95"/>
      <c r="F377" s="96"/>
      <c r="G377" s="97"/>
      <c r="I377" s="1" t="s">
        <v>425</v>
      </c>
      <c r="L377" s="95"/>
      <c r="M377" s="96"/>
      <c r="N377" s="97"/>
    </row>
    <row r="378" spans="1:14" s="1" customFormat="1" ht="13.5" thickBot="1"/>
    <row r="379" spans="1:14" s="1" customFormat="1" ht="13.5" thickBot="1">
      <c r="B379" s="1" t="s">
        <v>274</v>
      </c>
      <c r="E379" s="95"/>
      <c r="F379" s="96"/>
      <c r="G379" s="97"/>
      <c r="I379" s="1" t="s">
        <v>426</v>
      </c>
      <c r="L379" s="95"/>
      <c r="M379" s="96"/>
      <c r="N379" s="97"/>
    </row>
    <row r="380" spans="1:14" s="1" customFormat="1" ht="13.5" thickBot="1"/>
    <row r="381" spans="1:14" s="1" customFormat="1" ht="13.5" thickBot="1">
      <c r="B381" s="1" t="s">
        <v>423</v>
      </c>
      <c r="E381" s="95"/>
      <c r="F381" s="96"/>
      <c r="G381" s="96"/>
      <c r="H381" s="96"/>
      <c r="I381" s="96"/>
      <c r="J381" s="96"/>
      <c r="K381" s="96"/>
      <c r="L381" s="96"/>
      <c r="M381" s="96"/>
      <c r="N381" s="97"/>
    </row>
    <row r="382" spans="1:14" s="1" customFormat="1" ht="12.75"/>
    <row r="383" spans="1:14" s="1" customFormat="1" ht="12.75"/>
    <row r="384" spans="1:14" s="1" customFormat="1">
      <c r="A384" s="32" t="s">
        <v>2</v>
      </c>
      <c r="B384" s="13" t="s">
        <v>20</v>
      </c>
      <c r="C384" s="14"/>
      <c r="K384" s="24"/>
    </row>
    <row r="385" spans="1:19" s="1" customFormat="1">
      <c r="A385" s="6"/>
      <c r="B385" s="6"/>
      <c r="C385" s="14"/>
      <c r="I385" s="24"/>
      <c r="J385" s="24"/>
    </row>
    <row r="386" spans="1:19" s="1" customFormat="1" ht="12.75">
      <c r="A386" s="8" t="s">
        <v>384</v>
      </c>
      <c r="B386" s="8" t="s">
        <v>440</v>
      </c>
      <c r="C386" s="14"/>
      <c r="I386" s="24"/>
      <c r="J386" s="24"/>
    </row>
    <row r="387" spans="1:19" s="1" customFormat="1">
      <c r="A387" s="8"/>
      <c r="C387" s="25"/>
      <c r="D387" s="6"/>
      <c r="E387" s="6"/>
      <c r="F387" s="6"/>
      <c r="G387" s="6"/>
      <c r="H387" s="6"/>
      <c r="I387" s="28"/>
      <c r="J387" s="28"/>
      <c r="K387" s="6"/>
      <c r="L387" s="6"/>
      <c r="M387" s="6"/>
      <c r="N387" s="6"/>
      <c r="O387" s="6"/>
      <c r="P387" s="6"/>
      <c r="Q387" s="6"/>
      <c r="R387" s="6"/>
      <c r="S387" s="6"/>
    </row>
    <row r="388" spans="1:19" s="1" customFormat="1">
      <c r="A388" s="8" t="s">
        <v>385</v>
      </c>
      <c r="B388" s="8" t="s">
        <v>386</v>
      </c>
      <c r="C388" s="25"/>
      <c r="D388" s="6"/>
      <c r="E388" s="6"/>
      <c r="F388" s="6"/>
      <c r="G388" s="6"/>
      <c r="H388" s="6"/>
      <c r="I388" s="28"/>
      <c r="J388" s="28"/>
      <c r="K388" s="6"/>
      <c r="L388" s="6"/>
      <c r="M388" s="6"/>
      <c r="N388" s="6"/>
      <c r="O388" s="6"/>
      <c r="P388" s="6"/>
      <c r="Q388" s="6"/>
      <c r="R388" s="6"/>
      <c r="S388" s="6"/>
    </row>
    <row r="389" spans="1:19" ht="15.75" thickBot="1"/>
    <row r="390" spans="1:19">
      <c r="B390" s="1" t="s">
        <v>306</v>
      </c>
      <c r="C390" s="1"/>
      <c r="D390" s="1"/>
      <c r="E390" s="1789"/>
      <c r="F390" s="1790"/>
      <c r="G390" s="1791"/>
      <c r="H390" s="60"/>
      <c r="I390" s="2" t="s">
        <v>279</v>
      </c>
      <c r="J390" s="24"/>
      <c r="K390" s="1"/>
      <c r="L390" s="1781"/>
      <c r="M390" s="1783"/>
      <c r="N390" s="1"/>
    </row>
    <row r="391" spans="1:19">
      <c r="B391" s="1"/>
      <c r="C391" s="1"/>
      <c r="D391" s="1"/>
      <c r="E391" s="1792"/>
      <c r="F391" s="1793"/>
      <c r="G391" s="1794"/>
      <c r="H391" s="60"/>
      <c r="I391" s="2" t="s">
        <v>147</v>
      </c>
      <c r="J391" s="24"/>
      <c r="K391" s="1"/>
      <c r="L391" s="1763"/>
      <c r="M391" s="1779"/>
      <c r="N391" s="1"/>
    </row>
    <row r="392" spans="1:19">
      <c r="B392" s="1" t="s">
        <v>307</v>
      </c>
      <c r="C392" s="1"/>
      <c r="D392" s="1"/>
      <c r="E392" s="1763"/>
      <c r="F392" s="1795"/>
      <c r="G392" s="1779"/>
      <c r="H392" s="60"/>
      <c r="I392" s="2" t="s">
        <v>141</v>
      </c>
      <c r="L392" s="1763"/>
      <c r="M392" s="1779"/>
      <c r="N392" s="1"/>
    </row>
    <row r="393" spans="1:19">
      <c r="B393" s="1" t="s">
        <v>313</v>
      </c>
      <c r="C393" s="1"/>
      <c r="D393" s="1"/>
      <c r="E393" s="1763"/>
      <c r="F393" s="1795"/>
      <c r="G393" s="1779"/>
      <c r="H393" s="60"/>
      <c r="I393" s="2" t="s">
        <v>308</v>
      </c>
      <c r="J393" s="24"/>
      <c r="K393" s="1"/>
      <c r="L393" s="1763"/>
      <c r="M393" s="1779"/>
      <c r="N393" s="1"/>
    </row>
    <row r="394" spans="1:19">
      <c r="B394" s="1" t="s">
        <v>250</v>
      </c>
      <c r="C394" s="1"/>
      <c r="D394" s="1"/>
      <c r="E394" s="1763"/>
      <c r="F394" s="1795"/>
      <c r="G394" s="1779"/>
      <c r="H394" s="60"/>
      <c r="I394" s="2" t="s">
        <v>309</v>
      </c>
      <c r="J394" s="24"/>
      <c r="K394" s="1"/>
      <c r="L394" s="1763"/>
      <c r="M394" s="1779"/>
      <c r="N394" s="1"/>
    </row>
    <row r="395" spans="1:19">
      <c r="B395" s="1" t="s">
        <v>16</v>
      </c>
      <c r="C395" s="1"/>
      <c r="D395" s="1"/>
      <c r="E395" s="1763"/>
      <c r="F395" s="1795"/>
      <c r="G395" s="1779"/>
      <c r="H395" s="60"/>
      <c r="I395" s="2" t="s">
        <v>90</v>
      </c>
      <c r="J395" s="24"/>
      <c r="K395" s="1"/>
      <c r="L395" s="1763"/>
      <c r="M395" s="1779"/>
      <c r="N395" s="1"/>
    </row>
    <row r="396" spans="1:19">
      <c r="B396" s="1" t="s">
        <v>310</v>
      </c>
      <c r="C396" s="1"/>
      <c r="D396" s="1"/>
      <c r="E396" s="1763"/>
      <c r="F396" s="1795"/>
      <c r="G396" s="1779"/>
      <c r="H396" s="60"/>
      <c r="I396" s="2" t="s">
        <v>326</v>
      </c>
      <c r="J396" s="24"/>
      <c r="K396" s="1"/>
      <c r="L396" s="1763"/>
      <c r="M396" s="1779"/>
      <c r="N396" s="1"/>
    </row>
    <row r="397" spans="1:19">
      <c r="B397" s="1" t="s">
        <v>312</v>
      </c>
      <c r="C397" s="1"/>
      <c r="D397" s="1"/>
      <c r="E397" s="1859"/>
      <c r="F397" s="1795"/>
      <c r="G397" s="1834"/>
      <c r="H397" s="60"/>
      <c r="I397" s="2" t="s">
        <v>449</v>
      </c>
      <c r="J397" s="24"/>
      <c r="K397" s="1"/>
      <c r="L397" s="1859"/>
      <c r="M397" s="1834"/>
      <c r="N397" s="1"/>
    </row>
    <row r="398" spans="1:19" ht="15.75" thickBot="1">
      <c r="B398" s="1" t="s">
        <v>311</v>
      </c>
      <c r="C398" s="1"/>
      <c r="D398" s="1"/>
      <c r="E398" s="1759"/>
      <c r="F398" s="1836"/>
      <c r="G398" s="1780"/>
      <c r="H398" s="60"/>
      <c r="I398" s="2" t="s">
        <v>324</v>
      </c>
      <c r="J398" s="24"/>
      <c r="K398" s="1"/>
      <c r="L398" s="1763"/>
      <c r="M398" s="1779"/>
      <c r="N398" s="1"/>
    </row>
    <row r="399" spans="1:19">
      <c r="H399" s="60"/>
      <c r="I399" s="2" t="s">
        <v>325</v>
      </c>
      <c r="J399" s="24"/>
      <c r="K399" s="1"/>
      <c r="L399" s="1784"/>
      <c r="M399" s="1785"/>
      <c r="N399" s="1"/>
    </row>
    <row r="400" spans="1:19" ht="15.75" thickBot="1">
      <c r="B400" s="1"/>
      <c r="C400" s="1"/>
      <c r="D400" s="1"/>
      <c r="E400" s="1"/>
      <c r="F400" s="1"/>
      <c r="G400" s="1"/>
      <c r="H400" s="1"/>
      <c r="I400" s="24"/>
      <c r="J400" s="24"/>
      <c r="K400" s="1"/>
      <c r="L400" s="1786"/>
      <c r="M400" s="1787"/>
      <c r="N400" s="1"/>
    </row>
    <row r="401" spans="2:16">
      <c r="B401" s="1"/>
      <c r="C401" s="1"/>
      <c r="D401" s="1"/>
      <c r="E401" s="1"/>
      <c r="F401" s="1"/>
      <c r="G401" s="1"/>
      <c r="H401" s="1"/>
      <c r="I401" s="24"/>
      <c r="J401" s="24"/>
      <c r="K401" s="1"/>
      <c r="L401" s="1"/>
      <c r="M401" s="1"/>
      <c r="N401" s="1"/>
    </row>
    <row r="402" spans="2:16">
      <c r="B402" s="8" t="s">
        <v>314</v>
      </c>
      <c r="C402" s="8"/>
      <c r="D402" s="1"/>
      <c r="E402" s="1"/>
      <c r="F402" s="1"/>
      <c r="G402" s="1"/>
      <c r="H402" s="1"/>
      <c r="I402" s="3" t="s">
        <v>429</v>
      </c>
      <c r="J402" s="24"/>
      <c r="K402" s="1"/>
      <c r="L402" s="1"/>
      <c r="M402" s="1"/>
      <c r="N402" s="1"/>
      <c r="O402" s="1"/>
      <c r="P402" s="1"/>
    </row>
    <row r="403" spans="2:16" ht="15.75" thickBot="1">
      <c r="B403" s="1"/>
      <c r="C403" s="1"/>
      <c r="D403" s="1"/>
      <c r="E403" s="1"/>
      <c r="F403" s="1"/>
      <c r="G403" s="1"/>
      <c r="H403" s="1"/>
      <c r="I403" s="24"/>
      <c r="J403" s="24"/>
      <c r="K403" s="1"/>
      <c r="L403" s="1"/>
      <c r="M403" s="1"/>
      <c r="N403" s="1"/>
      <c r="O403" s="1"/>
      <c r="P403" s="1"/>
    </row>
    <row r="404" spans="2:16" ht="15.75" thickBot="1">
      <c r="B404" s="90" t="s">
        <v>45</v>
      </c>
      <c r="C404" s="136"/>
      <c r="D404" s="134" t="s">
        <v>427</v>
      </c>
      <c r="E404" s="135"/>
      <c r="F404" s="134" t="s">
        <v>428</v>
      </c>
      <c r="G404" s="77"/>
      <c r="H404" s="98"/>
      <c r="I404" s="9" t="s">
        <v>108</v>
      </c>
      <c r="J404" s="9"/>
      <c r="K404" s="9"/>
      <c r="L404" s="1781"/>
      <c r="M404" s="1783"/>
    </row>
    <row r="405" spans="2:16" ht="15.75" thickBot="1">
      <c r="B405" s="55"/>
      <c r="C405" s="62"/>
      <c r="D405" s="36"/>
      <c r="E405" s="37"/>
      <c r="F405" s="36"/>
      <c r="G405" s="78"/>
      <c r="H405" s="98"/>
      <c r="I405" s="9" t="s">
        <v>109</v>
      </c>
      <c r="J405" s="9"/>
      <c r="K405" s="9"/>
      <c r="L405" s="1759"/>
      <c r="M405" s="1780"/>
    </row>
    <row r="406" spans="2:16">
      <c r="B406" s="56"/>
      <c r="C406" s="67"/>
      <c r="D406" s="40"/>
      <c r="E406" s="41"/>
      <c r="F406" s="40"/>
      <c r="G406" s="79"/>
      <c r="H406" s="98"/>
      <c r="I406" s="9"/>
      <c r="J406" s="9"/>
      <c r="K406" s="9"/>
      <c r="L406" s="9"/>
      <c r="M406" s="9"/>
    </row>
    <row r="407" spans="2:16" ht="15.75" thickBot="1">
      <c r="B407" s="57"/>
      <c r="C407" s="68"/>
      <c r="D407" s="43"/>
      <c r="E407" s="44"/>
      <c r="F407" s="43"/>
      <c r="G407" s="80"/>
      <c r="H407" s="98"/>
      <c r="I407" s="9"/>
      <c r="J407" s="9"/>
      <c r="K407" s="9"/>
      <c r="L407" s="9"/>
      <c r="M407" s="9"/>
    </row>
    <row r="408" spans="2:16">
      <c r="B408" s="1"/>
      <c r="C408" s="1"/>
      <c r="D408" s="1"/>
      <c r="E408" s="1"/>
      <c r="F408" s="1"/>
      <c r="G408" s="1"/>
      <c r="H408" s="1"/>
      <c r="I408" s="24"/>
      <c r="J408" s="24"/>
      <c r="K408" s="1"/>
      <c r="L408" s="1"/>
      <c r="M408" s="1"/>
      <c r="N408" s="1"/>
      <c r="O408" s="1"/>
      <c r="P408" s="1"/>
    </row>
    <row r="409" spans="2:16">
      <c r="B409" s="8" t="s">
        <v>322</v>
      </c>
      <c r="C409" s="8"/>
      <c r="D409" s="1"/>
      <c r="E409" s="1"/>
      <c r="F409" s="1"/>
      <c r="G409" s="1"/>
      <c r="H409" s="1"/>
      <c r="I409" s="24"/>
      <c r="J409" s="24"/>
      <c r="K409" s="1"/>
      <c r="L409" s="1"/>
      <c r="M409" s="1"/>
      <c r="N409" s="1"/>
      <c r="O409" s="1"/>
      <c r="P409" s="1"/>
    </row>
    <row r="410" spans="2:16" ht="15.75" thickBot="1">
      <c r="B410" s="1"/>
      <c r="C410" s="1"/>
      <c r="D410" s="1"/>
      <c r="E410" s="1"/>
      <c r="F410" s="1"/>
      <c r="G410" s="1"/>
      <c r="H410" s="1"/>
      <c r="I410" s="24"/>
      <c r="J410" s="24"/>
      <c r="K410" s="1"/>
      <c r="L410" s="1"/>
      <c r="M410" s="1"/>
      <c r="N410" s="1"/>
      <c r="O410" s="1"/>
      <c r="P410" s="1"/>
    </row>
    <row r="411" spans="2:16" ht="15.75" thickBot="1">
      <c r="B411" s="1819" t="s">
        <v>45</v>
      </c>
      <c r="C411" s="1805"/>
      <c r="D411" s="1820"/>
      <c r="E411" s="134" t="s">
        <v>427</v>
      </c>
      <c r="F411" s="135"/>
      <c r="G411" s="134" t="s">
        <v>428</v>
      </c>
      <c r="H411" s="77"/>
      <c r="I411" s="24"/>
    </row>
    <row r="412" spans="2:16">
      <c r="B412" s="1796"/>
      <c r="C412" s="1797"/>
      <c r="D412" s="1798"/>
      <c r="E412" s="36"/>
      <c r="F412" s="37"/>
      <c r="G412" s="36"/>
      <c r="H412" s="78"/>
      <c r="I412" s="24"/>
    </row>
    <row r="413" spans="2:16">
      <c r="B413" s="1704"/>
      <c r="C413" s="1705"/>
      <c r="D413" s="1706"/>
      <c r="E413" s="40"/>
      <c r="F413" s="41"/>
      <c r="G413" s="40"/>
      <c r="H413" s="79"/>
      <c r="I413" s="24"/>
    </row>
    <row r="414" spans="2:16" ht="15.75" thickBot="1">
      <c r="B414" s="1671"/>
      <c r="C414" s="1672"/>
      <c r="D414" s="1673"/>
      <c r="E414" s="43"/>
      <c r="F414" s="44"/>
      <c r="G414" s="43"/>
      <c r="H414" s="80"/>
      <c r="I414" s="24"/>
    </row>
    <row r="415" spans="2:16">
      <c r="B415" s="1"/>
      <c r="C415" s="1"/>
      <c r="D415" s="1"/>
      <c r="E415" s="1"/>
      <c r="F415" s="1"/>
      <c r="G415" s="1"/>
      <c r="H415" s="1"/>
      <c r="I415" s="24"/>
      <c r="J415" s="24"/>
      <c r="K415" s="1"/>
      <c r="L415" s="1"/>
      <c r="M415" s="1"/>
      <c r="N415" s="1"/>
      <c r="O415" s="1"/>
      <c r="P415" s="1"/>
    </row>
    <row r="416" spans="2:16">
      <c r="B416" s="1"/>
      <c r="C416" s="1"/>
      <c r="D416" s="1"/>
      <c r="E416" s="1"/>
      <c r="F416" s="1"/>
      <c r="G416" s="1"/>
      <c r="H416" s="1"/>
      <c r="I416" s="24"/>
      <c r="J416" s="99"/>
      <c r="K416" s="99"/>
      <c r="L416" s="5"/>
      <c r="M416" s="5"/>
      <c r="N416" s="5"/>
      <c r="O416" s="5"/>
      <c r="P416" s="1"/>
    </row>
    <row r="417" spans="2:16">
      <c r="B417" s="8" t="s">
        <v>405</v>
      </c>
      <c r="H417" s="1"/>
      <c r="I417" s="24"/>
      <c r="J417" s="10"/>
      <c r="K417" s="29"/>
      <c r="L417" s="29"/>
      <c r="M417" s="29"/>
      <c r="N417" s="29"/>
      <c r="O417" s="29"/>
      <c r="P417" s="1"/>
    </row>
    <row r="418" spans="2:16" ht="15.75" thickBot="1">
      <c r="H418" s="1"/>
      <c r="I418" s="24"/>
      <c r="J418" s="10" t="s">
        <v>452</v>
      </c>
      <c r="K418" s="29"/>
      <c r="L418" s="29"/>
      <c r="M418" s="29"/>
      <c r="N418" s="29"/>
      <c r="O418" s="29"/>
      <c r="P418" s="1"/>
    </row>
    <row r="419" spans="2:16" ht="15.75" thickBot="1">
      <c r="B419" s="1" t="s">
        <v>442</v>
      </c>
      <c r="C419" s="1"/>
      <c r="D419" s="1"/>
      <c r="F419" s="1781"/>
      <c r="G419" s="1782"/>
      <c r="H419" s="1783"/>
      <c r="I419" s="24"/>
      <c r="J419" s="9"/>
      <c r="K419" s="29"/>
      <c r="L419" s="29"/>
      <c r="M419" s="1788"/>
      <c r="N419" s="1788"/>
      <c r="O419" s="1788"/>
      <c r="P419" s="1"/>
    </row>
    <row r="420" spans="2:16" ht="15.75" thickBot="1">
      <c r="B420" s="1" t="s">
        <v>406</v>
      </c>
      <c r="C420" s="8"/>
      <c r="D420" s="1"/>
      <c r="F420" s="1763"/>
      <c r="G420" s="1764"/>
      <c r="H420" s="1779"/>
      <c r="I420" s="24"/>
      <c r="J420" s="9" t="s">
        <v>453</v>
      </c>
      <c r="K420" s="29"/>
      <c r="L420" s="29"/>
      <c r="M420" s="1823"/>
      <c r="N420" s="1827"/>
      <c r="O420" s="1824"/>
      <c r="P420" s="1"/>
    </row>
    <row r="421" spans="2:16">
      <c r="B421" s="1" t="s">
        <v>432</v>
      </c>
      <c r="C421" s="1"/>
      <c r="D421" s="1"/>
      <c r="F421" s="1763"/>
      <c r="G421" s="1764"/>
      <c r="H421" s="1779"/>
      <c r="I421" s="24"/>
      <c r="J421" s="9"/>
      <c r="K421" s="5"/>
      <c r="L421" s="5"/>
      <c r="M421" s="1788"/>
      <c r="N421" s="1788"/>
      <c r="O421" s="1788"/>
      <c r="P421" s="1"/>
    </row>
    <row r="422" spans="2:16" ht="15.75" thickBot="1">
      <c r="B422" s="1" t="s">
        <v>408</v>
      </c>
      <c r="C422" s="1"/>
      <c r="D422" s="1"/>
      <c r="F422" s="1759"/>
      <c r="G422" s="1760"/>
      <c r="H422" s="1780"/>
      <c r="I422" s="24"/>
      <c r="J422" s="3" t="s">
        <v>404</v>
      </c>
      <c r="P422" s="1"/>
    </row>
    <row r="423" spans="2:16" ht="15.75" thickBot="1">
      <c r="B423" s="1"/>
      <c r="C423" s="1"/>
      <c r="D423" s="1"/>
      <c r="F423" s="1"/>
      <c r="G423" s="1"/>
      <c r="H423" s="1"/>
      <c r="I423" s="24"/>
      <c r="J423" s="81"/>
      <c r="P423" s="1"/>
    </row>
    <row r="424" spans="2:16">
      <c r="B424" s="1" t="s">
        <v>104</v>
      </c>
      <c r="F424" s="1781"/>
      <c r="G424" s="1782"/>
      <c r="H424" s="1783"/>
      <c r="I424" s="24"/>
      <c r="J424" s="2" t="s">
        <v>400</v>
      </c>
      <c r="M424" s="1781"/>
      <c r="N424" s="1782"/>
      <c r="O424" s="1783"/>
      <c r="P424" s="1"/>
    </row>
    <row r="425" spans="2:16" ht="15.75" thickBot="1">
      <c r="B425" s="1" t="s">
        <v>409</v>
      </c>
      <c r="F425" s="1763"/>
      <c r="G425" s="1764"/>
      <c r="H425" s="1779"/>
      <c r="I425" s="24"/>
      <c r="J425" s="2" t="s">
        <v>403</v>
      </c>
      <c r="M425" s="1759"/>
      <c r="N425" s="1760"/>
      <c r="O425" s="1780"/>
      <c r="P425" s="1"/>
    </row>
    <row r="426" spans="2:16" ht="15.75" thickBot="1">
      <c r="B426" s="1" t="s">
        <v>262</v>
      </c>
      <c r="F426" s="1759"/>
      <c r="G426" s="1760"/>
      <c r="H426" s="1780"/>
      <c r="I426" s="24"/>
      <c r="J426" s="81"/>
    </row>
    <row r="427" spans="2:16">
      <c r="H427" s="1"/>
      <c r="I427" s="24"/>
      <c r="J427" s="3" t="s">
        <v>397</v>
      </c>
    </row>
    <row r="428" spans="2:16" ht="15.75" thickBot="1">
      <c r="H428" s="1"/>
      <c r="I428" s="24"/>
      <c r="J428" s="81"/>
    </row>
    <row r="429" spans="2:16">
      <c r="B429" s="8" t="s">
        <v>154</v>
      </c>
      <c r="C429" s="8"/>
      <c r="D429" s="1"/>
      <c r="E429" s="1"/>
      <c r="F429" s="1"/>
      <c r="G429" s="1"/>
      <c r="H429" s="60"/>
      <c r="I429" s="24"/>
      <c r="J429" s="2" t="s">
        <v>454</v>
      </c>
      <c r="M429" s="1781"/>
      <c r="N429" s="1782"/>
      <c r="O429" s="1783"/>
    </row>
    <row r="430" spans="2:16" ht="15.75" thickBot="1">
      <c r="B430" s="8"/>
      <c r="C430" s="8"/>
      <c r="D430" s="1"/>
      <c r="E430" s="1"/>
      <c r="F430" s="1"/>
      <c r="G430" s="1"/>
      <c r="H430" s="60"/>
      <c r="I430" s="24"/>
      <c r="J430" s="2" t="s">
        <v>398</v>
      </c>
      <c r="K430" s="1"/>
      <c r="L430" s="1"/>
      <c r="M430" s="1763"/>
      <c r="N430" s="1764"/>
      <c r="O430" s="1779"/>
    </row>
    <row r="431" spans="2:16">
      <c r="B431" s="1" t="s">
        <v>417</v>
      </c>
      <c r="C431" s="1"/>
      <c r="D431" s="1"/>
      <c r="F431" s="1781"/>
      <c r="G431" s="1782"/>
      <c r="H431" s="1783"/>
      <c r="I431" s="24"/>
      <c r="J431" s="2" t="s">
        <v>399</v>
      </c>
      <c r="K431" s="1"/>
      <c r="L431" s="1"/>
      <c r="M431" s="1763"/>
      <c r="N431" s="1764"/>
      <c r="O431" s="1779"/>
    </row>
    <row r="432" spans="2:16" ht="15.75" thickBot="1">
      <c r="B432" s="1" t="s">
        <v>394</v>
      </c>
      <c r="C432" s="1"/>
      <c r="D432" s="1"/>
      <c r="F432" s="1763"/>
      <c r="G432" s="1764"/>
      <c r="H432" s="1779"/>
      <c r="I432" s="24"/>
      <c r="J432" s="2" t="s">
        <v>400</v>
      </c>
      <c r="K432" s="1"/>
      <c r="L432" s="1"/>
      <c r="M432" s="1759"/>
      <c r="N432" s="1760"/>
      <c r="O432" s="1780"/>
    </row>
    <row r="433" spans="1:20" ht="15.75" thickBot="1">
      <c r="B433" s="1" t="s">
        <v>395</v>
      </c>
      <c r="C433" s="1"/>
      <c r="D433" s="1"/>
      <c r="F433" s="1763"/>
      <c r="G433" s="1764"/>
      <c r="H433" s="1779"/>
      <c r="I433" s="24"/>
      <c r="J433" s="1"/>
      <c r="K433" s="1"/>
      <c r="L433" s="1"/>
      <c r="M433" s="1"/>
    </row>
    <row r="434" spans="1:20">
      <c r="B434" s="1" t="s">
        <v>430</v>
      </c>
      <c r="C434" s="1"/>
      <c r="D434" s="1"/>
      <c r="F434" s="1763"/>
      <c r="G434" s="1764"/>
      <c r="H434" s="1779"/>
      <c r="J434" s="1" t="s">
        <v>455</v>
      </c>
      <c r="M434" s="1781"/>
      <c r="N434" s="1782"/>
      <c r="O434" s="1783"/>
    </row>
    <row r="435" spans="1:20">
      <c r="B435" s="1" t="s">
        <v>431</v>
      </c>
      <c r="C435" s="1"/>
      <c r="D435" s="1"/>
      <c r="F435" s="1763"/>
      <c r="G435" s="1764"/>
      <c r="H435" s="1779"/>
      <c r="J435" s="2" t="s">
        <v>401</v>
      </c>
      <c r="K435" s="1"/>
      <c r="L435" s="1"/>
      <c r="M435" s="1763"/>
      <c r="N435" s="1764"/>
      <c r="O435" s="1779"/>
    </row>
    <row r="436" spans="1:20">
      <c r="B436" s="1" t="s">
        <v>456</v>
      </c>
      <c r="C436" s="1"/>
      <c r="D436" s="1"/>
      <c r="F436" s="1763"/>
      <c r="G436" s="1764"/>
      <c r="H436" s="1779"/>
      <c r="J436" s="2" t="s">
        <v>402</v>
      </c>
      <c r="K436" s="1"/>
      <c r="L436" s="1"/>
      <c r="M436" s="1763"/>
      <c r="N436" s="1764"/>
      <c r="O436" s="1779"/>
    </row>
    <row r="437" spans="1:20" ht="15.75" thickBot="1">
      <c r="B437" s="1" t="s">
        <v>457</v>
      </c>
      <c r="C437" s="1"/>
      <c r="D437" s="1"/>
      <c r="F437" s="1759"/>
      <c r="G437" s="1760"/>
      <c r="H437" s="1780"/>
      <c r="J437" s="2" t="s">
        <v>403</v>
      </c>
      <c r="K437" s="1"/>
      <c r="L437" s="1"/>
      <c r="M437" s="1759"/>
      <c r="N437" s="1760"/>
      <c r="O437" s="1780"/>
    </row>
    <row r="439" spans="1:20">
      <c r="A439" s="8" t="s">
        <v>387</v>
      </c>
      <c r="B439" s="8" t="s">
        <v>433</v>
      </c>
    </row>
    <row r="440" spans="1:20" ht="15.75" thickBot="1"/>
    <row r="441" spans="1:20" s="22" customFormat="1" ht="30" customHeight="1" thickBot="1">
      <c r="B441" s="91" t="s">
        <v>45</v>
      </c>
      <c r="C441" s="47"/>
      <c r="D441" s="1775" t="s">
        <v>427</v>
      </c>
      <c r="E441" s="1775"/>
      <c r="F441" s="1776" t="s">
        <v>434</v>
      </c>
      <c r="G441" s="1659"/>
      <c r="H441" s="1777" t="s">
        <v>377</v>
      </c>
      <c r="I441" s="1778"/>
      <c r="J441" s="1777" t="s">
        <v>435</v>
      </c>
      <c r="K441" s="1778"/>
      <c r="L441" s="1777" t="s">
        <v>436</v>
      </c>
      <c r="M441" s="1778"/>
      <c r="N441" s="83" t="s">
        <v>437</v>
      </c>
      <c r="O441" s="1773" t="s">
        <v>428</v>
      </c>
      <c r="P441" s="1773"/>
      <c r="Q441" s="1773" t="s">
        <v>416</v>
      </c>
      <c r="R441" s="1773"/>
      <c r="S441" s="1773" t="s">
        <v>417</v>
      </c>
      <c r="T441" s="1774"/>
    </row>
    <row r="442" spans="1:20">
      <c r="B442" s="1767"/>
      <c r="C442" s="1768"/>
      <c r="D442" s="1769"/>
      <c r="E442" s="1769"/>
      <c r="F442" s="1771"/>
      <c r="G442" s="1772"/>
      <c r="H442" s="1771"/>
      <c r="I442" s="1772"/>
      <c r="J442" s="129"/>
      <c r="K442" s="129"/>
      <c r="L442" s="1771"/>
      <c r="M442" s="1772"/>
      <c r="N442" s="36"/>
      <c r="O442" s="1769"/>
      <c r="P442" s="1769"/>
      <c r="Q442" s="1769"/>
      <c r="R442" s="1769"/>
      <c r="S442" s="1769"/>
      <c r="T442" s="1770"/>
    </row>
    <row r="443" spans="1:20">
      <c r="B443" s="1763"/>
      <c r="C443" s="1764"/>
      <c r="D443" s="1701"/>
      <c r="E443" s="1701"/>
      <c r="F443" s="1765"/>
      <c r="G443" s="1766"/>
      <c r="H443" s="1765"/>
      <c r="I443" s="1766"/>
      <c r="J443" s="131"/>
      <c r="K443" s="131"/>
      <c r="L443" s="1765"/>
      <c r="M443" s="1766"/>
      <c r="N443" s="40"/>
      <c r="O443" s="1701"/>
      <c r="P443" s="1701"/>
      <c r="Q443" s="1701"/>
      <c r="R443" s="1701"/>
      <c r="S443" s="1701"/>
      <c r="T443" s="1757"/>
    </row>
    <row r="444" spans="1:20">
      <c r="B444" s="1763"/>
      <c r="C444" s="1764"/>
      <c r="D444" s="1701"/>
      <c r="E444" s="1701"/>
      <c r="F444" s="1765"/>
      <c r="G444" s="1766"/>
      <c r="H444" s="1765"/>
      <c r="I444" s="1766"/>
      <c r="J444" s="131"/>
      <c r="K444" s="131"/>
      <c r="L444" s="1765"/>
      <c r="M444" s="1766"/>
      <c r="N444" s="40"/>
      <c r="O444" s="1701"/>
      <c r="P444" s="1701"/>
      <c r="Q444" s="1701"/>
      <c r="R444" s="1701"/>
      <c r="S444" s="1701"/>
      <c r="T444" s="1757"/>
    </row>
    <row r="445" spans="1:20">
      <c r="B445" s="1763"/>
      <c r="C445" s="1764"/>
      <c r="D445" s="1701"/>
      <c r="E445" s="1701"/>
      <c r="F445" s="1765"/>
      <c r="G445" s="1766"/>
      <c r="H445" s="1765"/>
      <c r="I445" s="1766"/>
      <c r="J445" s="131"/>
      <c r="K445" s="131"/>
      <c r="L445" s="1765"/>
      <c r="M445" s="1766"/>
      <c r="N445" s="40"/>
      <c r="O445" s="1701"/>
      <c r="P445" s="1701"/>
      <c r="Q445" s="1701"/>
      <c r="R445" s="1701"/>
      <c r="S445" s="1701"/>
      <c r="T445" s="1757"/>
    </row>
    <row r="446" spans="1:20">
      <c r="B446" s="1763"/>
      <c r="C446" s="1764"/>
      <c r="D446" s="1701"/>
      <c r="E446" s="1701"/>
      <c r="F446" s="1765"/>
      <c r="G446" s="1766"/>
      <c r="H446" s="1765"/>
      <c r="I446" s="1766"/>
      <c r="J446" s="131"/>
      <c r="K446" s="131"/>
      <c r="L446" s="1765"/>
      <c r="M446" s="1766"/>
      <c r="N446" s="40"/>
      <c r="O446" s="1701"/>
      <c r="P446" s="1701"/>
      <c r="Q446" s="1701"/>
      <c r="R446" s="1701"/>
      <c r="S446" s="1701"/>
      <c r="T446" s="1757"/>
    </row>
    <row r="447" spans="1:20" ht="15.75" thickBot="1">
      <c r="B447" s="1759"/>
      <c r="C447" s="1760"/>
      <c r="D447" s="1749"/>
      <c r="E447" s="1749"/>
      <c r="F447" s="1761"/>
      <c r="G447" s="1762"/>
      <c r="H447" s="1761"/>
      <c r="I447" s="1762"/>
      <c r="J447" s="130"/>
      <c r="K447" s="130"/>
      <c r="L447" s="1761"/>
      <c r="M447" s="1762"/>
      <c r="N447" s="43"/>
      <c r="O447" s="1749"/>
      <c r="P447" s="1749"/>
      <c r="Q447" s="1749"/>
      <c r="R447" s="1749"/>
      <c r="S447" s="1749"/>
      <c r="T447" s="1750"/>
    </row>
    <row r="449" spans="1:20">
      <c r="A449" s="8" t="s">
        <v>387</v>
      </c>
      <c r="B449" s="8" t="s">
        <v>438</v>
      </c>
    </row>
    <row r="450" spans="1:20" ht="15.75" thickBot="1"/>
    <row r="451" spans="1:20" s="22" customFormat="1" ht="29.25" customHeight="1" thickBot="1">
      <c r="B451" s="91" t="s">
        <v>45</v>
      </c>
      <c r="C451" s="47"/>
      <c r="D451" s="1775" t="s">
        <v>427</v>
      </c>
      <c r="E451" s="1775"/>
      <c r="F451" s="1776" t="s">
        <v>434</v>
      </c>
      <c r="G451" s="1659"/>
      <c r="H451" s="1777" t="s">
        <v>377</v>
      </c>
      <c r="I451" s="1778"/>
      <c r="J451" s="1777" t="s">
        <v>435</v>
      </c>
      <c r="K451" s="1778"/>
      <c r="L451" s="1777" t="s">
        <v>436</v>
      </c>
      <c r="M451" s="1778"/>
      <c r="N451" s="83" t="s">
        <v>437</v>
      </c>
      <c r="O451" s="1773" t="s">
        <v>428</v>
      </c>
      <c r="P451" s="1773"/>
      <c r="Q451" s="1773" t="s">
        <v>416</v>
      </c>
      <c r="R451" s="1773"/>
      <c r="S451" s="1773" t="s">
        <v>417</v>
      </c>
      <c r="T451" s="1774"/>
    </row>
    <row r="452" spans="1:20">
      <c r="B452" s="1767"/>
      <c r="C452" s="1768"/>
      <c r="D452" s="1769"/>
      <c r="E452" s="1769"/>
      <c r="F452" s="1771"/>
      <c r="G452" s="1772"/>
      <c r="H452" s="1771"/>
      <c r="I452" s="1772"/>
      <c r="J452" s="129"/>
      <c r="K452" s="129"/>
      <c r="L452" s="1771"/>
      <c r="M452" s="1772"/>
      <c r="N452" s="36"/>
      <c r="O452" s="1769"/>
      <c r="P452" s="1769"/>
      <c r="Q452" s="1769"/>
      <c r="R452" s="1769"/>
      <c r="S452" s="1769"/>
      <c r="T452" s="1770"/>
    </row>
    <row r="453" spans="1:20">
      <c r="B453" s="1763"/>
      <c r="C453" s="1764"/>
      <c r="D453" s="1701"/>
      <c r="E453" s="1701"/>
      <c r="F453" s="1765"/>
      <c r="G453" s="1766"/>
      <c r="H453" s="1765"/>
      <c r="I453" s="1766"/>
      <c r="J453" s="131"/>
      <c r="K453" s="131"/>
      <c r="L453" s="1765"/>
      <c r="M453" s="1766"/>
      <c r="N453" s="40"/>
      <c r="O453" s="1701"/>
      <c r="P453" s="1701"/>
      <c r="Q453" s="1701"/>
      <c r="R453" s="1701"/>
      <c r="S453" s="1701"/>
      <c r="T453" s="1757"/>
    </row>
    <row r="454" spans="1:20">
      <c r="B454" s="1763"/>
      <c r="C454" s="1764"/>
      <c r="D454" s="1701"/>
      <c r="E454" s="1701"/>
      <c r="F454" s="1765"/>
      <c r="G454" s="1766"/>
      <c r="H454" s="1765"/>
      <c r="I454" s="1766"/>
      <c r="J454" s="131"/>
      <c r="K454" s="131"/>
      <c r="L454" s="1765"/>
      <c r="M454" s="1766"/>
      <c r="N454" s="40"/>
      <c r="O454" s="1701"/>
      <c r="P454" s="1701"/>
      <c r="Q454" s="1701"/>
      <c r="R454" s="1701"/>
      <c r="S454" s="1701"/>
      <c r="T454" s="1757"/>
    </row>
    <row r="455" spans="1:20">
      <c r="B455" s="1763"/>
      <c r="C455" s="1764"/>
      <c r="D455" s="1701"/>
      <c r="E455" s="1701"/>
      <c r="F455" s="1765"/>
      <c r="G455" s="1766"/>
      <c r="H455" s="1765"/>
      <c r="I455" s="1766"/>
      <c r="J455" s="131"/>
      <c r="K455" s="131"/>
      <c r="L455" s="1765"/>
      <c r="M455" s="1766"/>
      <c r="N455" s="40"/>
      <c r="O455" s="1701"/>
      <c r="P455" s="1701"/>
      <c r="Q455" s="1701"/>
      <c r="R455" s="1701"/>
      <c r="S455" s="1701"/>
      <c r="T455" s="1757"/>
    </row>
    <row r="456" spans="1:20">
      <c r="B456" s="1763"/>
      <c r="C456" s="1764"/>
      <c r="D456" s="1701"/>
      <c r="E456" s="1701"/>
      <c r="F456" s="1765"/>
      <c r="G456" s="1766"/>
      <c r="H456" s="1765"/>
      <c r="I456" s="1766"/>
      <c r="J456" s="131"/>
      <c r="K456" s="131"/>
      <c r="L456" s="1765"/>
      <c r="M456" s="1766"/>
      <c r="N456" s="40"/>
      <c r="O456" s="1701"/>
      <c r="P456" s="1701"/>
      <c r="Q456" s="1701"/>
      <c r="R456" s="1701"/>
      <c r="S456" s="1701"/>
      <c r="T456" s="1757"/>
    </row>
    <row r="457" spans="1:20" ht="15.75" thickBot="1">
      <c r="B457" s="1759"/>
      <c r="C457" s="1760"/>
      <c r="D457" s="1749"/>
      <c r="E457" s="1749"/>
      <c r="F457" s="1761"/>
      <c r="G457" s="1762"/>
      <c r="H457" s="1761"/>
      <c r="I457" s="1762"/>
      <c r="J457" s="130"/>
      <c r="K457" s="130"/>
      <c r="L457" s="1761"/>
      <c r="M457" s="1762"/>
      <c r="N457" s="43"/>
      <c r="O457" s="1749"/>
      <c r="P457" s="1749"/>
      <c r="Q457" s="1749"/>
      <c r="R457" s="1749"/>
      <c r="S457" s="1749"/>
      <c r="T457" s="1750"/>
    </row>
    <row r="459" spans="1:20">
      <c r="B459" s="8" t="s">
        <v>439</v>
      </c>
    </row>
    <row r="460" spans="1:20" ht="15.75" thickBot="1"/>
    <row r="461" spans="1:20" ht="31.5" customHeight="1" thickBot="1">
      <c r="B461" s="91" t="s">
        <v>45</v>
      </c>
      <c r="C461" s="47"/>
      <c r="D461" s="1775" t="s">
        <v>427</v>
      </c>
      <c r="E461" s="1775"/>
      <c r="F461" s="1776" t="s">
        <v>434</v>
      </c>
      <c r="G461" s="1659"/>
      <c r="H461" s="1777" t="s">
        <v>377</v>
      </c>
      <c r="I461" s="1778"/>
      <c r="J461" s="1777" t="s">
        <v>435</v>
      </c>
      <c r="K461" s="1778"/>
      <c r="L461" s="1777" t="s">
        <v>436</v>
      </c>
      <c r="M461" s="1778"/>
      <c r="N461" s="83" t="s">
        <v>437</v>
      </c>
      <c r="O461" s="1773" t="s">
        <v>428</v>
      </c>
      <c r="P461" s="1773"/>
      <c r="Q461" s="1773" t="s">
        <v>416</v>
      </c>
      <c r="R461" s="1773"/>
      <c r="S461" s="1773" t="s">
        <v>417</v>
      </c>
      <c r="T461" s="1774"/>
    </row>
    <row r="462" spans="1:20">
      <c r="B462" s="1767"/>
      <c r="C462" s="1768"/>
      <c r="D462" s="1769"/>
      <c r="E462" s="1769"/>
      <c r="F462" s="1771"/>
      <c r="G462" s="1772"/>
      <c r="H462" s="1771"/>
      <c r="I462" s="1772"/>
      <c r="J462" s="129"/>
      <c r="K462" s="129"/>
      <c r="L462" s="1771"/>
      <c r="M462" s="1772"/>
      <c r="N462" s="36"/>
      <c r="O462" s="1769"/>
      <c r="P462" s="1769"/>
      <c r="Q462" s="1769"/>
      <c r="R462" s="1769"/>
      <c r="S462" s="1769"/>
      <c r="T462" s="1770"/>
    </row>
    <row r="463" spans="1:20">
      <c r="B463" s="1763"/>
      <c r="C463" s="1764"/>
      <c r="D463" s="1701"/>
      <c r="E463" s="1701"/>
      <c r="F463" s="1765"/>
      <c r="G463" s="1766"/>
      <c r="H463" s="1765"/>
      <c r="I463" s="1766"/>
      <c r="J463" s="131"/>
      <c r="K463" s="131"/>
      <c r="L463" s="1765"/>
      <c r="M463" s="1766"/>
      <c r="N463" s="40"/>
      <c r="O463" s="1701"/>
      <c r="P463" s="1701"/>
      <c r="Q463" s="1701"/>
      <c r="R463" s="1701"/>
      <c r="S463" s="1701"/>
      <c r="T463" s="1757"/>
    </row>
    <row r="464" spans="1:20">
      <c r="B464" s="1763"/>
      <c r="C464" s="1764"/>
      <c r="D464" s="1701"/>
      <c r="E464" s="1701"/>
      <c r="F464" s="1765"/>
      <c r="G464" s="1766"/>
      <c r="H464" s="1765"/>
      <c r="I464" s="1766"/>
      <c r="J464" s="131"/>
      <c r="K464" s="131"/>
      <c r="L464" s="1765"/>
      <c r="M464" s="1766"/>
      <c r="N464" s="40"/>
      <c r="O464" s="1701"/>
      <c r="P464" s="1701"/>
      <c r="Q464" s="1701"/>
      <c r="R464" s="1701"/>
      <c r="S464" s="1701"/>
      <c r="T464" s="1757"/>
    </row>
    <row r="465" spans="1:20">
      <c r="B465" s="1763"/>
      <c r="C465" s="1764"/>
      <c r="D465" s="1701"/>
      <c r="E465" s="1701"/>
      <c r="F465" s="1765"/>
      <c r="G465" s="1766"/>
      <c r="H465" s="1765"/>
      <c r="I465" s="1766"/>
      <c r="J465" s="131"/>
      <c r="K465" s="131"/>
      <c r="L465" s="1765"/>
      <c r="M465" s="1766"/>
      <c r="N465" s="40"/>
      <c r="O465" s="1701"/>
      <c r="P465" s="1701"/>
      <c r="Q465" s="1701"/>
      <c r="R465" s="1701"/>
      <c r="S465" s="1701"/>
      <c r="T465" s="1757"/>
    </row>
    <row r="466" spans="1:20">
      <c r="B466" s="1763"/>
      <c r="C466" s="1764"/>
      <c r="D466" s="1701"/>
      <c r="E466" s="1701"/>
      <c r="F466" s="1765"/>
      <c r="G466" s="1766"/>
      <c r="H466" s="1765"/>
      <c r="I466" s="1766"/>
      <c r="J466" s="131"/>
      <c r="K466" s="131"/>
      <c r="L466" s="1765"/>
      <c r="M466" s="1766"/>
      <c r="N466" s="40"/>
      <c r="O466" s="1701"/>
      <c r="P466" s="1701"/>
      <c r="Q466" s="1701"/>
      <c r="R466" s="1701"/>
      <c r="S466" s="1701"/>
      <c r="T466" s="1757"/>
    </row>
    <row r="467" spans="1:20" ht="15.75" thickBot="1">
      <c r="B467" s="1759"/>
      <c r="C467" s="1760"/>
      <c r="D467" s="1749"/>
      <c r="E467" s="1749"/>
      <c r="F467" s="1761"/>
      <c r="G467" s="1762"/>
      <c r="H467" s="1761"/>
      <c r="I467" s="1762"/>
      <c r="J467" s="130"/>
      <c r="K467" s="130"/>
      <c r="L467" s="1761"/>
      <c r="M467" s="1762"/>
      <c r="N467" s="43"/>
      <c r="O467" s="1749"/>
      <c r="P467" s="1749"/>
      <c r="Q467" s="1749"/>
      <c r="R467" s="1749"/>
      <c r="S467" s="1749"/>
      <c r="T467" s="1750"/>
    </row>
    <row r="469" spans="1:20">
      <c r="A469" s="8" t="s">
        <v>389</v>
      </c>
      <c r="B469" s="8" t="s">
        <v>376</v>
      </c>
      <c r="C469" s="8"/>
      <c r="D469" s="1"/>
      <c r="E469" s="1"/>
      <c r="F469" s="1"/>
      <c r="G469" s="1"/>
      <c r="H469" s="1"/>
      <c r="I469" s="24"/>
      <c r="J469" s="24"/>
      <c r="K469" s="1"/>
      <c r="L469" s="1"/>
      <c r="M469" s="1"/>
      <c r="N469" s="1"/>
      <c r="O469" s="1"/>
      <c r="P469" s="1"/>
      <c r="Q469" s="1"/>
      <c r="R469" s="1"/>
    </row>
    <row r="470" spans="1:20" ht="15.75" thickBot="1">
      <c r="A470" s="1"/>
      <c r="B470" s="1"/>
      <c r="C470" s="1"/>
      <c r="D470" s="1"/>
      <c r="E470" s="1"/>
      <c r="F470" s="1"/>
      <c r="G470" s="1"/>
      <c r="H470" s="1"/>
      <c r="I470" s="24"/>
      <c r="J470" s="24"/>
      <c r="K470" s="1"/>
      <c r="L470" s="1"/>
      <c r="M470" s="1"/>
      <c r="N470" s="1"/>
      <c r="O470" s="1"/>
      <c r="P470" s="1"/>
      <c r="Q470" s="1"/>
      <c r="R470" s="1"/>
    </row>
    <row r="471" spans="1:20" ht="39.75" thickBot="1">
      <c r="A471" s="1"/>
      <c r="B471" s="95" t="s">
        <v>371</v>
      </c>
      <c r="C471" s="58"/>
      <c r="D471" s="1816" t="s">
        <v>372</v>
      </c>
      <c r="E471" s="1816"/>
      <c r="F471" s="35" t="s">
        <v>373</v>
      </c>
      <c r="G471" s="35" t="s">
        <v>26</v>
      </c>
      <c r="H471" s="110" t="s">
        <v>346</v>
      </c>
      <c r="I471" s="66" t="s">
        <v>374</v>
      </c>
      <c r="J471" s="66" t="s">
        <v>375</v>
      </c>
      <c r="K471" s="66" t="s">
        <v>414</v>
      </c>
      <c r="L471" s="1816" t="s">
        <v>115</v>
      </c>
      <c r="M471" s="1816"/>
      <c r="N471" s="1754" t="s">
        <v>415</v>
      </c>
      <c r="O471" s="1754"/>
      <c r="P471" s="1754" t="s">
        <v>416</v>
      </c>
      <c r="Q471" s="1754"/>
      <c r="R471" s="1754" t="s">
        <v>417</v>
      </c>
      <c r="S471" s="1817"/>
    </row>
    <row r="472" spans="1:20">
      <c r="A472" s="1"/>
      <c r="B472" s="1767"/>
      <c r="C472" s="1768"/>
      <c r="D472" s="1769"/>
      <c r="E472" s="1769"/>
      <c r="F472" s="39"/>
      <c r="G472" s="39"/>
      <c r="H472" s="111"/>
      <c r="I472" s="39"/>
      <c r="J472" s="39"/>
      <c r="K472" s="39"/>
      <c r="L472" s="1769"/>
      <c r="M472" s="1769"/>
      <c r="N472" s="1769"/>
      <c r="O472" s="1769"/>
      <c r="P472" s="1769"/>
      <c r="Q472" s="1769"/>
      <c r="R472" s="1769"/>
      <c r="S472" s="1770"/>
    </row>
    <row r="473" spans="1:20">
      <c r="A473" s="1"/>
      <c r="B473" s="1763"/>
      <c r="C473" s="1764"/>
      <c r="D473" s="1701"/>
      <c r="E473" s="1701"/>
      <c r="F473" s="27"/>
      <c r="G473" s="27"/>
      <c r="H473" s="108"/>
      <c r="I473" s="27"/>
      <c r="J473" s="27"/>
      <c r="K473" s="27"/>
      <c r="L473" s="1701"/>
      <c r="M473" s="1701"/>
      <c r="N473" s="1701"/>
      <c r="O473" s="1701"/>
      <c r="P473" s="1701"/>
      <c r="Q473" s="1701"/>
      <c r="R473" s="1701"/>
      <c r="S473" s="1757"/>
    </row>
    <row r="474" spans="1:20">
      <c r="A474" s="1"/>
      <c r="B474" s="1763"/>
      <c r="C474" s="1764"/>
      <c r="D474" s="1701"/>
      <c r="E474" s="1701"/>
      <c r="F474" s="27"/>
      <c r="G474" s="27"/>
      <c r="H474" s="108"/>
      <c r="I474" s="27"/>
      <c r="J474" s="27"/>
      <c r="K474" s="27"/>
      <c r="L474" s="1701"/>
      <c r="M474" s="1701"/>
      <c r="N474" s="1701"/>
      <c r="O474" s="1701"/>
      <c r="P474" s="1701"/>
      <c r="Q474" s="1701"/>
      <c r="R474" s="1701"/>
      <c r="S474" s="1757"/>
    </row>
    <row r="475" spans="1:20">
      <c r="A475" s="1"/>
      <c r="B475" s="1763"/>
      <c r="C475" s="1764"/>
      <c r="D475" s="1701"/>
      <c r="E475" s="1701"/>
      <c r="F475" s="27"/>
      <c r="G475" s="27"/>
      <c r="H475" s="108"/>
      <c r="I475" s="27"/>
      <c r="J475" s="27"/>
      <c r="K475" s="27"/>
      <c r="L475" s="1701"/>
      <c r="M475" s="1701"/>
      <c r="N475" s="1701"/>
      <c r="O475" s="1701"/>
      <c r="P475" s="1701"/>
      <c r="Q475" s="1701"/>
      <c r="R475" s="1701"/>
      <c r="S475" s="1757"/>
    </row>
    <row r="476" spans="1:20">
      <c r="A476" s="1"/>
      <c r="B476" s="1763"/>
      <c r="C476" s="1764"/>
      <c r="D476" s="1701"/>
      <c r="E476" s="1701"/>
      <c r="F476" s="27"/>
      <c r="G476" s="27"/>
      <c r="H476" s="108"/>
      <c r="I476" s="27"/>
      <c r="J476" s="27"/>
      <c r="K476" s="27"/>
      <c r="L476" s="1701"/>
      <c r="M476" s="1701"/>
      <c r="N476" s="1701"/>
      <c r="O476" s="1701"/>
      <c r="P476" s="1701"/>
      <c r="Q476" s="1701"/>
      <c r="R476" s="1701"/>
      <c r="S476" s="1757"/>
    </row>
    <row r="477" spans="1:20" ht="15.75" thickBot="1">
      <c r="A477" s="1"/>
      <c r="B477" s="1759"/>
      <c r="C477" s="1760"/>
      <c r="D477" s="1749"/>
      <c r="E477" s="1749"/>
      <c r="F477" s="46"/>
      <c r="G477" s="46"/>
      <c r="H477" s="109"/>
      <c r="I477" s="46"/>
      <c r="J477" s="46"/>
      <c r="K477" s="46"/>
      <c r="L477" s="1749"/>
      <c r="M477" s="1749"/>
      <c r="N477" s="1749"/>
      <c r="O477" s="1749"/>
      <c r="P477" s="1749"/>
      <c r="Q477" s="1749"/>
      <c r="R477" s="1749"/>
      <c r="S477" s="1750"/>
    </row>
    <row r="478" spans="1:20">
      <c r="A478" s="1"/>
      <c r="B478" s="1"/>
      <c r="C478" s="1"/>
      <c r="D478" s="1"/>
      <c r="E478" s="1"/>
      <c r="F478" s="1"/>
      <c r="G478" s="1"/>
      <c r="H478" s="1"/>
      <c r="I478" s="24"/>
      <c r="J478" s="24"/>
      <c r="K478" s="1"/>
      <c r="L478" s="1"/>
      <c r="M478" s="1"/>
      <c r="N478" s="1"/>
      <c r="O478" s="1"/>
      <c r="P478" s="1"/>
      <c r="Q478" s="1"/>
      <c r="R478" s="1"/>
    </row>
    <row r="479" spans="1:20">
      <c r="A479" s="1"/>
      <c r="B479" s="8" t="s">
        <v>315</v>
      </c>
      <c r="C479" s="8"/>
      <c r="D479" s="1"/>
      <c r="E479" s="1"/>
      <c r="F479" s="1"/>
      <c r="G479" s="1"/>
      <c r="H479" s="1"/>
      <c r="I479" s="24"/>
      <c r="J479" s="24"/>
      <c r="K479" s="1"/>
      <c r="L479" s="1"/>
      <c r="M479" s="1"/>
      <c r="N479" s="1"/>
      <c r="O479" s="1"/>
      <c r="P479" s="1"/>
      <c r="Q479" s="1"/>
      <c r="R479" s="1"/>
    </row>
    <row r="480" spans="1:20" ht="15.75" thickBot="1">
      <c r="A480" s="1"/>
      <c r="B480" s="1"/>
      <c r="C480" s="1"/>
      <c r="D480" s="1"/>
      <c r="E480" s="1"/>
      <c r="F480" s="1"/>
      <c r="G480" s="1"/>
      <c r="H480" s="1"/>
      <c r="I480" s="24"/>
      <c r="J480" s="24"/>
      <c r="K480" s="1"/>
      <c r="L480" s="1"/>
      <c r="M480" s="1"/>
      <c r="N480" s="1"/>
      <c r="O480" s="1"/>
      <c r="P480" s="1"/>
      <c r="Q480" s="1"/>
      <c r="R480" s="1"/>
    </row>
    <row r="481" spans="1:20" ht="27" thickBot="1">
      <c r="A481" s="4"/>
      <c r="B481" s="1868" t="s">
        <v>45</v>
      </c>
      <c r="C481" s="1773"/>
      <c r="D481" s="1773"/>
      <c r="E481" s="1773" t="s">
        <v>371</v>
      </c>
      <c r="F481" s="1773"/>
      <c r="G481" s="1777" t="s">
        <v>115</v>
      </c>
      <c r="H481" s="1778"/>
      <c r="I481" s="64" t="s">
        <v>380</v>
      </c>
      <c r="J481" s="1773" t="s">
        <v>377</v>
      </c>
      <c r="K481" s="1773"/>
      <c r="L481" s="64" t="s">
        <v>378</v>
      </c>
      <c r="M481" s="1773" t="s">
        <v>379</v>
      </c>
      <c r="N481" s="1773"/>
      <c r="O481" s="1754" t="s">
        <v>415</v>
      </c>
      <c r="P481" s="1754"/>
      <c r="Q481" s="1754" t="s">
        <v>416</v>
      </c>
      <c r="R481" s="1754"/>
      <c r="S481" s="1754" t="s">
        <v>417</v>
      </c>
      <c r="T481" s="1817"/>
    </row>
    <row r="482" spans="1:20">
      <c r="A482" s="1"/>
      <c r="B482" s="1731"/>
      <c r="C482" s="1733"/>
      <c r="D482" s="1733"/>
      <c r="E482" s="1869"/>
      <c r="F482" s="1869"/>
      <c r="G482" s="1734"/>
      <c r="H482" s="1735"/>
      <c r="I482" s="86"/>
      <c r="J482" s="1733"/>
      <c r="K482" s="1733"/>
      <c r="L482" s="86"/>
      <c r="M482" s="1869"/>
      <c r="N482" s="1869"/>
      <c r="O482" s="1769"/>
      <c r="P482" s="1769"/>
      <c r="Q482" s="1769"/>
      <c r="R482" s="1769"/>
      <c r="S482" s="1769"/>
      <c r="T482" s="1770"/>
    </row>
    <row r="483" spans="1:20">
      <c r="A483" s="1"/>
      <c r="B483" s="1737"/>
      <c r="C483" s="1739"/>
      <c r="D483" s="1739"/>
      <c r="E483" s="1758"/>
      <c r="F483" s="1758"/>
      <c r="G483" s="1740"/>
      <c r="H483" s="1741"/>
      <c r="I483" s="84"/>
      <c r="J483" s="1739"/>
      <c r="K483" s="1739"/>
      <c r="L483" s="84"/>
      <c r="M483" s="1758"/>
      <c r="N483" s="1758"/>
      <c r="O483" s="1701"/>
      <c r="P483" s="1701"/>
      <c r="Q483" s="1701"/>
      <c r="R483" s="1701"/>
      <c r="S483" s="1701"/>
      <c r="T483" s="1757"/>
    </row>
    <row r="484" spans="1:20">
      <c r="A484" s="1"/>
      <c r="B484" s="1737"/>
      <c r="C484" s="1739"/>
      <c r="D484" s="1739"/>
      <c r="E484" s="1758"/>
      <c r="F484" s="1758"/>
      <c r="G484" s="1740"/>
      <c r="H484" s="1741"/>
      <c r="I484" s="84"/>
      <c r="J484" s="1739"/>
      <c r="K484" s="1739"/>
      <c r="L484" s="84"/>
      <c r="M484" s="1758"/>
      <c r="N484" s="1758"/>
      <c r="O484" s="1701"/>
      <c r="P484" s="1701"/>
      <c r="Q484" s="1701"/>
      <c r="R484" s="1701"/>
      <c r="S484" s="1701"/>
      <c r="T484" s="1757"/>
    </row>
    <row r="485" spans="1:20">
      <c r="A485" s="1"/>
      <c r="B485" s="1737"/>
      <c r="C485" s="1739"/>
      <c r="D485" s="1739"/>
      <c r="E485" s="1758"/>
      <c r="F485" s="1758"/>
      <c r="G485" s="1740"/>
      <c r="H485" s="1741"/>
      <c r="I485" s="84"/>
      <c r="J485" s="1739"/>
      <c r="K485" s="1739"/>
      <c r="L485" s="84"/>
      <c r="M485" s="1758"/>
      <c r="N485" s="1758"/>
      <c r="O485" s="1701"/>
      <c r="P485" s="1701"/>
      <c r="Q485" s="1701"/>
      <c r="R485" s="1701"/>
      <c r="S485" s="1701"/>
      <c r="T485" s="1757"/>
    </row>
    <row r="486" spans="1:20">
      <c r="A486" s="1"/>
      <c r="B486" s="1737"/>
      <c r="C486" s="1739"/>
      <c r="D486" s="1739"/>
      <c r="E486" s="1758"/>
      <c r="F486" s="1758"/>
      <c r="G486" s="1740"/>
      <c r="H486" s="1741"/>
      <c r="I486" s="84"/>
      <c r="J486" s="1739"/>
      <c r="K486" s="1739"/>
      <c r="L486" s="84"/>
      <c r="M486" s="1758"/>
      <c r="N486" s="1758"/>
      <c r="O486" s="1701"/>
      <c r="P486" s="1701"/>
      <c r="Q486" s="1701"/>
      <c r="R486" s="1701"/>
      <c r="S486" s="1701"/>
      <c r="T486" s="1757"/>
    </row>
    <row r="487" spans="1:20">
      <c r="A487" s="1"/>
      <c r="B487" s="1737"/>
      <c r="C487" s="1739"/>
      <c r="D487" s="1739"/>
      <c r="E487" s="1758"/>
      <c r="F487" s="1758"/>
      <c r="G487" s="1740"/>
      <c r="H487" s="1741"/>
      <c r="I487" s="84"/>
      <c r="J487" s="1739"/>
      <c r="K487" s="1739"/>
      <c r="L487" s="84"/>
      <c r="M487" s="1758"/>
      <c r="N487" s="1758"/>
      <c r="O487" s="1701"/>
      <c r="P487" s="1701"/>
      <c r="Q487" s="1701"/>
      <c r="R487" s="1701"/>
      <c r="S487" s="1701"/>
      <c r="T487" s="1757"/>
    </row>
    <row r="488" spans="1:20" ht="15.75" thickBot="1">
      <c r="A488" s="1"/>
      <c r="B488" s="1743"/>
      <c r="C488" s="1745"/>
      <c r="D488" s="1745"/>
      <c r="E488" s="1751"/>
      <c r="F488" s="1751"/>
      <c r="G488" s="1746"/>
      <c r="H488" s="1747"/>
      <c r="I488" s="85"/>
      <c r="J488" s="1745"/>
      <c r="K488" s="1745"/>
      <c r="L488" s="85"/>
      <c r="M488" s="1751"/>
      <c r="N488" s="1751"/>
      <c r="O488" s="1749"/>
      <c r="P488" s="1749"/>
      <c r="Q488" s="1749"/>
      <c r="R488" s="1749"/>
      <c r="S488" s="1749"/>
      <c r="T488" s="1750"/>
    </row>
    <row r="489" spans="1:20">
      <c r="A489" s="1"/>
      <c r="B489" s="1"/>
      <c r="C489" s="1"/>
      <c r="D489" s="1"/>
      <c r="E489" s="1"/>
      <c r="F489" s="1"/>
      <c r="G489" s="1"/>
      <c r="H489" s="1"/>
      <c r="I489" s="24"/>
      <c r="J489" s="24"/>
      <c r="K489" s="1"/>
      <c r="L489" s="1"/>
      <c r="M489" s="1"/>
      <c r="N489" s="1"/>
      <c r="O489" s="1"/>
      <c r="P489" s="1"/>
      <c r="Q489" s="1"/>
      <c r="R489" s="1"/>
    </row>
    <row r="490" spans="1:20">
      <c r="A490" s="1"/>
      <c r="B490" s="8" t="s">
        <v>383</v>
      </c>
      <c r="C490" s="8"/>
      <c r="D490" s="1"/>
      <c r="E490" s="1"/>
      <c r="F490" s="1"/>
      <c r="G490" s="1"/>
      <c r="H490" s="1"/>
      <c r="I490" s="24"/>
      <c r="J490" s="24"/>
      <c r="K490" s="1"/>
      <c r="L490" s="1"/>
      <c r="M490" s="1"/>
      <c r="N490" s="1"/>
      <c r="O490" s="1"/>
      <c r="P490" s="1"/>
      <c r="Q490" s="1"/>
      <c r="R490" s="1"/>
    </row>
    <row r="491" spans="1:20" ht="15.75" thickBot="1">
      <c r="A491" s="1"/>
      <c r="B491" s="1"/>
      <c r="C491" s="1"/>
      <c r="D491" s="1"/>
      <c r="E491" s="1"/>
      <c r="F491" s="1"/>
      <c r="G491" s="1"/>
      <c r="H491" s="1"/>
      <c r="I491" s="24"/>
      <c r="J491" s="24"/>
      <c r="K491" s="1"/>
      <c r="L491" s="1"/>
      <c r="M491" s="1"/>
      <c r="N491" s="1"/>
      <c r="O491" s="1"/>
      <c r="P491" s="1"/>
      <c r="Q491" s="1"/>
      <c r="R491" s="1"/>
    </row>
    <row r="492" spans="1:20" ht="15.75" thickBot="1">
      <c r="A492" s="1"/>
      <c r="B492" s="1752" t="s">
        <v>45</v>
      </c>
      <c r="C492" s="1753"/>
      <c r="D492" s="1754"/>
      <c r="E492" s="1755" t="s">
        <v>371</v>
      </c>
      <c r="F492" s="1753"/>
      <c r="G492" s="69" t="s">
        <v>115</v>
      </c>
      <c r="H492" s="70"/>
      <c r="I492" s="1754" t="s">
        <v>380</v>
      </c>
      <c r="J492" s="1754"/>
      <c r="K492" s="1754" t="s">
        <v>377</v>
      </c>
      <c r="L492" s="1754"/>
      <c r="M492" s="1754" t="s">
        <v>378</v>
      </c>
      <c r="N492" s="1754"/>
      <c r="O492" s="1755" t="s">
        <v>379</v>
      </c>
      <c r="P492" s="1756"/>
      <c r="Q492" s="7"/>
      <c r="R492" s="1"/>
    </row>
    <row r="493" spans="1:20">
      <c r="A493" s="1"/>
      <c r="B493" s="1731"/>
      <c r="C493" s="1732"/>
      <c r="D493" s="1733"/>
      <c r="E493" s="1734"/>
      <c r="F493" s="1735"/>
      <c r="G493" s="71"/>
      <c r="H493" s="72"/>
      <c r="I493" s="1733"/>
      <c r="J493" s="1733"/>
      <c r="K493" s="1733"/>
      <c r="L493" s="1733"/>
      <c r="M493" s="1733"/>
      <c r="N493" s="1733"/>
      <c r="O493" s="1734"/>
      <c r="P493" s="1736"/>
      <c r="Q493" s="1"/>
      <c r="R493" s="1"/>
    </row>
    <row r="494" spans="1:20">
      <c r="A494" s="1"/>
      <c r="B494" s="1737"/>
      <c r="C494" s="1738"/>
      <c r="D494" s="1739"/>
      <c r="E494" s="1740"/>
      <c r="F494" s="1741"/>
      <c r="G494" s="73"/>
      <c r="H494" s="74"/>
      <c r="I494" s="1739"/>
      <c r="J494" s="1739"/>
      <c r="K494" s="1739"/>
      <c r="L494" s="1739"/>
      <c r="M494" s="1739"/>
      <c r="N494" s="1739"/>
      <c r="O494" s="1740"/>
      <c r="P494" s="1742"/>
      <c r="Q494" s="1"/>
      <c r="R494" s="1"/>
    </row>
    <row r="495" spans="1:20">
      <c r="A495" s="1"/>
      <c r="B495" s="1737"/>
      <c r="C495" s="1738"/>
      <c r="D495" s="1739"/>
      <c r="E495" s="1740"/>
      <c r="F495" s="1741"/>
      <c r="G495" s="73"/>
      <c r="H495" s="74"/>
      <c r="I495" s="1739"/>
      <c r="J495" s="1739"/>
      <c r="K495" s="1739"/>
      <c r="L495" s="1739"/>
      <c r="M495" s="1739"/>
      <c r="N495" s="1739"/>
      <c r="O495" s="1740"/>
      <c r="P495" s="1742"/>
      <c r="Q495" s="1"/>
      <c r="R495" s="1"/>
    </row>
    <row r="496" spans="1:20">
      <c r="A496" s="1"/>
      <c r="B496" s="1737"/>
      <c r="C496" s="1738"/>
      <c r="D496" s="1739"/>
      <c r="E496" s="1740"/>
      <c r="F496" s="1741"/>
      <c r="G496" s="73"/>
      <c r="H496" s="74"/>
      <c r="I496" s="1739"/>
      <c r="J496" s="1739"/>
      <c r="K496" s="1739"/>
      <c r="L496" s="1739"/>
      <c r="M496" s="1739"/>
      <c r="N496" s="1739"/>
      <c r="O496" s="1740"/>
      <c r="P496" s="1742"/>
      <c r="Q496" s="1"/>
      <c r="R496" s="1"/>
    </row>
    <row r="497" spans="1:18">
      <c r="A497" s="1"/>
      <c r="B497" s="1737"/>
      <c r="C497" s="1738"/>
      <c r="D497" s="1739"/>
      <c r="E497" s="1740"/>
      <c r="F497" s="1741"/>
      <c r="G497" s="73"/>
      <c r="H497" s="74"/>
      <c r="I497" s="1739"/>
      <c r="J497" s="1739"/>
      <c r="K497" s="1739"/>
      <c r="L497" s="1739"/>
      <c r="M497" s="1739"/>
      <c r="N497" s="1739"/>
      <c r="O497" s="1740"/>
      <c r="P497" s="1742"/>
      <c r="Q497" s="1"/>
      <c r="R497" s="1"/>
    </row>
    <row r="498" spans="1:18">
      <c r="A498" s="1"/>
      <c r="B498" s="1737"/>
      <c r="C498" s="1738"/>
      <c r="D498" s="1739"/>
      <c r="E498" s="1740"/>
      <c r="F498" s="1741"/>
      <c r="G498" s="73"/>
      <c r="H498" s="74"/>
      <c r="I498" s="1739"/>
      <c r="J498" s="1739"/>
      <c r="K498" s="1739"/>
      <c r="L498" s="1739"/>
      <c r="M498" s="1739"/>
      <c r="N498" s="1739"/>
      <c r="O498" s="1740"/>
      <c r="P498" s="1742"/>
      <c r="Q498" s="1"/>
      <c r="R498" s="1"/>
    </row>
    <row r="499" spans="1:18" ht="15.75" thickBot="1">
      <c r="A499" s="1"/>
      <c r="B499" s="1743"/>
      <c r="C499" s="1744"/>
      <c r="D499" s="1745"/>
      <c r="E499" s="1746"/>
      <c r="F499" s="1747"/>
      <c r="G499" s="75"/>
      <c r="H499" s="76"/>
      <c r="I499" s="1745"/>
      <c r="J499" s="1745"/>
      <c r="K499" s="1745"/>
      <c r="L499" s="1745"/>
      <c r="M499" s="1745"/>
      <c r="N499" s="1745"/>
      <c r="O499" s="1746"/>
      <c r="P499" s="1748"/>
      <c r="Q499" s="1"/>
      <c r="R499" s="1"/>
    </row>
    <row r="501" spans="1:18">
      <c r="A501" s="8" t="s">
        <v>390</v>
      </c>
      <c r="B501" s="8" t="s">
        <v>421</v>
      </c>
    </row>
    <row r="502" spans="1:18" ht="15.75" thickBot="1"/>
    <row r="503" spans="1:18" ht="15.75" thickBot="1">
      <c r="B503" s="1" t="s">
        <v>306</v>
      </c>
      <c r="D503" s="92"/>
      <c r="E503" s="93"/>
      <c r="F503" s="93"/>
      <c r="G503" s="93"/>
      <c r="H503" s="93"/>
      <c r="I503" s="93"/>
      <c r="J503" s="93"/>
      <c r="K503" s="93"/>
      <c r="L503" s="93"/>
      <c r="M503" s="93"/>
      <c r="N503" s="94"/>
    </row>
    <row r="504" spans="1:18">
      <c r="B504" s="1"/>
      <c r="D504" s="29"/>
      <c r="E504" s="29"/>
      <c r="F504" s="29"/>
      <c r="G504" s="29"/>
      <c r="H504" s="29"/>
      <c r="I504" s="29"/>
    </row>
    <row r="505" spans="1:18">
      <c r="B505" s="1"/>
      <c r="D505" s="29"/>
      <c r="E505" s="29"/>
      <c r="F505" s="29"/>
      <c r="G505" s="29"/>
      <c r="H505" s="29"/>
      <c r="I505" s="8" t="s">
        <v>424</v>
      </c>
    </row>
    <row r="506" spans="1:18" ht="15.75" thickBot="1">
      <c r="A506" s="1"/>
      <c r="B506" s="1"/>
      <c r="C506" s="1"/>
      <c r="D506" s="1"/>
      <c r="E506" s="1"/>
      <c r="F506" s="1"/>
      <c r="G506" s="1"/>
      <c r="H506" s="1"/>
      <c r="I506" s="1"/>
      <c r="J506" s="1"/>
      <c r="K506" s="1"/>
      <c r="L506" s="1"/>
      <c r="M506" s="1"/>
      <c r="N506" s="1"/>
      <c r="O506" s="1"/>
      <c r="P506" s="1"/>
    </row>
    <row r="507" spans="1:18" ht="15.75" thickBot="1">
      <c r="A507" s="1"/>
      <c r="B507" s="1" t="s">
        <v>360</v>
      </c>
      <c r="C507" s="1"/>
      <c r="D507" s="1"/>
      <c r="E507" s="95"/>
      <c r="F507" s="96"/>
      <c r="G507" s="97"/>
      <c r="H507" s="1"/>
      <c r="I507" s="1" t="s">
        <v>104</v>
      </c>
      <c r="J507" s="1"/>
      <c r="K507" s="1"/>
      <c r="L507" s="95"/>
      <c r="M507" s="96"/>
      <c r="N507" s="97"/>
      <c r="O507" s="1"/>
      <c r="P507" s="1"/>
    </row>
    <row r="508" spans="1:18" ht="15.75" thickBot="1">
      <c r="A508" s="1"/>
      <c r="B508" s="1"/>
      <c r="C508" s="1"/>
      <c r="D508" s="1"/>
      <c r="E508" s="1"/>
      <c r="F508" s="1"/>
      <c r="G508" s="1"/>
      <c r="H508" s="1"/>
      <c r="I508" s="1"/>
      <c r="J508" s="1"/>
      <c r="K508" s="1"/>
      <c r="L508" s="1"/>
      <c r="M508" s="1"/>
      <c r="N508" s="1"/>
      <c r="O508" s="1"/>
      <c r="P508" s="1"/>
    </row>
    <row r="509" spans="1:18" ht="15.75" thickBot="1">
      <c r="A509" s="1"/>
      <c r="B509" s="1" t="s">
        <v>422</v>
      </c>
      <c r="C509" s="1"/>
      <c r="D509" s="1"/>
      <c r="E509" s="95"/>
      <c r="F509" s="96"/>
      <c r="G509" s="97"/>
      <c r="H509" s="1"/>
      <c r="I509" s="1" t="s">
        <v>425</v>
      </c>
      <c r="J509" s="1"/>
      <c r="K509" s="1"/>
      <c r="L509" s="95"/>
      <c r="M509" s="96"/>
      <c r="N509" s="97"/>
      <c r="O509" s="1"/>
      <c r="P509" s="1"/>
    </row>
    <row r="510" spans="1:18" ht="15.75" thickBot="1">
      <c r="A510" s="1"/>
      <c r="B510" s="1"/>
      <c r="C510" s="1"/>
      <c r="D510" s="1"/>
      <c r="E510" s="1"/>
      <c r="F510" s="1"/>
      <c r="G510" s="1"/>
      <c r="H510" s="1"/>
      <c r="I510" s="1"/>
      <c r="J510" s="1"/>
      <c r="K510" s="1"/>
      <c r="L510" s="1"/>
      <c r="M510" s="1"/>
      <c r="N510" s="1"/>
      <c r="O510" s="1"/>
      <c r="P510" s="1"/>
    </row>
    <row r="511" spans="1:18" ht="15.75" thickBot="1">
      <c r="A511" s="1"/>
      <c r="B511" s="1" t="s">
        <v>274</v>
      </c>
      <c r="C511" s="1"/>
      <c r="D511" s="1"/>
      <c r="E511" s="95"/>
      <c r="F511" s="96"/>
      <c r="G511" s="97"/>
      <c r="H511" s="1"/>
      <c r="I511" s="1" t="s">
        <v>426</v>
      </c>
      <c r="J511" s="1"/>
      <c r="K511" s="1"/>
      <c r="L511" s="95"/>
      <c r="M511" s="96"/>
      <c r="N511" s="97"/>
      <c r="O511" s="1"/>
      <c r="P511" s="1"/>
    </row>
    <row r="512" spans="1:18" ht="15.75" thickBot="1">
      <c r="A512" s="1"/>
      <c r="B512" s="1"/>
      <c r="C512" s="1"/>
      <c r="D512" s="1"/>
      <c r="E512" s="1"/>
      <c r="F512" s="1"/>
      <c r="G512" s="1"/>
      <c r="H512" s="1"/>
      <c r="I512" s="1"/>
      <c r="J512" s="1"/>
      <c r="K512" s="1"/>
      <c r="L512" s="1"/>
      <c r="M512" s="1"/>
      <c r="N512" s="1"/>
      <c r="O512" s="1"/>
      <c r="P512" s="1"/>
    </row>
    <row r="513" spans="1:16" ht="15.75" thickBot="1">
      <c r="A513" s="1"/>
      <c r="B513" s="1" t="s">
        <v>423</v>
      </c>
      <c r="C513" s="1"/>
      <c r="D513" s="1"/>
      <c r="E513" s="95"/>
      <c r="F513" s="96"/>
      <c r="G513" s="96"/>
      <c r="H513" s="96"/>
      <c r="I513" s="96"/>
      <c r="J513" s="96"/>
      <c r="K513" s="96"/>
      <c r="L513" s="96"/>
      <c r="M513" s="96"/>
      <c r="N513" s="97"/>
      <c r="O513" s="1"/>
      <c r="P513" s="1"/>
    </row>
  </sheetData>
  <sheetProtection password="83AF" sheet="1" objects="1" scenarios="1" formatCells="0" formatColumns="0" formatRows="0"/>
  <customSheetViews>
    <customSheetView guid="{B6007CFB-3D06-43CC-8EB0-042D40129E35}" state="hidden" topLeftCell="A169">
      <selection activeCell="O203" sqref="O203"/>
      <pageMargins left="0.7" right="0.7" top="0.75" bottom="0.75" header="0.3" footer="0.3"/>
      <pageSetup paperSize="9" orientation="portrait" r:id="rId1"/>
    </customSheetView>
  </customSheetViews>
  <mergeCells count="1157">
    <mergeCell ref="G481:H481"/>
    <mergeCell ref="J481:K481"/>
    <mergeCell ref="M481:N481"/>
    <mergeCell ref="O481:P481"/>
    <mergeCell ref="Q484:R484"/>
    <mergeCell ref="S484:T484"/>
    <mergeCell ref="O482:P482"/>
    <mergeCell ref="B484:D484"/>
    <mergeCell ref="E484:F484"/>
    <mergeCell ref="G484:H484"/>
    <mergeCell ref="J484:K484"/>
    <mergeCell ref="M484:N484"/>
    <mergeCell ref="O484:P484"/>
    <mergeCell ref="Q482:R482"/>
    <mergeCell ref="S482:T482"/>
    <mergeCell ref="B481:D481"/>
    <mergeCell ref="E481:F481"/>
    <mergeCell ref="B483:D483"/>
    <mergeCell ref="E483:F483"/>
    <mergeCell ref="G483:H483"/>
    <mergeCell ref="J483:K483"/>
    <mergeCell ref="M483:N483"/>
    <mergeCell ref="O483:P483"/>
    <mergeCell ref="Q483:R483"/>
    <mergeCell ref="S483:T483"/>
    <mergeCell ref="Q481:R481"/>
    <mergeCell ref="S481:T481"/>
    <mergeCell ref="B482:D482"/>
    <mergeCell ref="E482:F482"/>
    <mergeCell ref="G482:H482"/>
    <mergeCell ref="J482:K482"/>
    <mergeCell ref="M482:N482"/>
    <mergeCell ref="B463:C463"/>
    <mergeCell ref="D463:E463"/>
    <mergeCell ref="F463:G463"/>
    <mergeCell ref="H463:I463"/>
    <mergeCell ref="L463:M463"/>
    <mergeCell ref="O463:P463"/>
    <mergeCell ref="Q463:R463"/>
    <mergeCell ref="Q454:R454"/>
    <mergeCell ref="D471:E471"/>
    <mergeCell ref="L471:M471"/>
    <mergeCell ref="N471:O471"/>
    <mergeCell ref="P471:Q471"/>
    <mergeCell ref="R471:S471"/>
    <mergeCell ref="B474:C474"/>
    <mergeCell ref="D474:E474"/>
    <mergeCell ref="L474:M474"/>
    <mergeCell ref="N474:O474"/>
    <mergeCell ref="P474:Q474"/>
    <mergeCell ref="R474:S474"/>
    <mergeCell ref="S463:T463"/>
    <mergeCell ref="B464:C464"/>
    <mergeCell ref="D464:E464"/>
    <mergeCell ref="F464:G464"/>
    <mergeCell ref="H464:I464"/>
    <mergeCell ref="L464:M464"/>
    <mergeCell ref="O464:P464"/>
    <mergeCell ref="Q464:R464"/>
    <mergeCell ref="S464:T464"/>
    <mergeCell ref="B465:C465"/>
    <mergeCell ref="F465:G465"/>
    <mergeCell ref="Q466:R466"/>
    <mergeCell ref="S466:T466"/>
    <mergeCell ref="L395:M395"/>
    <mergeCell ref="E396:G396"/>
    <mergeCell ref="E397:G397"/>
    <mergeCell ref="E398:G398"/>
    <mergeCell ref="L398:M398"/>
    <mergeCell ref="L396:M396"/>
    <mergeCell ref="L397:M397"/>
    <mergeCell ref="B411:D411"/>
    <mergeCell ref="D454:E454"/>
    <mergeCell ref="F454:G454"/>
    <mergeCell ref="H454:I454"/>
    <mergeCell ref="L454:M454"/>
    <mergeCell ref="O454:P454"/>
    <mergeCell ref="F437:H437"/>
    <mergeCell ref="M437:O437"/>
    <mergeCell ref="D441:E441"/>
    <mergeCell ref="O441:P441"/>
    <mergeCell ref="J451:K451"/>
    <mergeCell ref="B452:C452"/>
    <mergeCell ref="D452:E452"/>
    <mergeCell ref="F452:G452"/>
    <mergeCell ref="H452:I452"/>
    <mergeCell ref="L452:M452"/>
    <mergeCell ref="O452:P452"/>
    <mergeCell ref="B453:C453"/>
    <mergeCell ref="F419:H419"/>
    <mergeCell ref="M419:O419"/>
    <mergeCell ref="F420:H420"/>
    <mergeCell ref="M420:O420"/>
    <mergeCell ref="F425:H425"/>
    <mergeCell ref="M425:O425"/>
    <mergeCell ref="F421:H421"/>
    <mergeCell ref="S328:T328"/>
    <mergeCell ref="B329:D329"/>
    <mergeCell ref="E329:F329"/>
    <mergeCell ref="G329:H329"/>
    <mergeCell ref="J329:K329"/>
    <mergeCell ref="M329:N329"/>
    <mergeCell ref="O329:P329"/>
    <mergeCell ref="Q329:R329"/>
    <mergeCell ref="S329:T329"/>
    <mergeCell ref="B330:D330"/>
    <mergeCell ref="E330:F330"/>
    <mergeCell ref="G330:H330"/>
    <mergeCell ref="J330:K330"/>
    <mergeCell ref="M330:N330"/>
    <mergeCell ref="O330:P330"/>
    <mergeCell ref="Q330:R330"/>
    <mergeCell ref="S330:T330"/>
    <mergeCell ref="Q331:R331"/>
    <mergeCell ref="B339:D339"/>
    <mergeCell ref="E339:F339"/>
    <mergeCell ref="I339:J339"/>
    <mergeCell ref="K339:L339"/>
    <mergeCell ref="M339:N339"/>
    <mergeCell ref="O339:P339"/>
    <mergeCell ref="B335:D335"/>
    <mergeCell ref="E335:F335"/>
    <mergeCell ref="M335:N335"/>
    <mergeCell ref="O335:P335"/>
    <mergeCell ref="B334:D334"/>
    <mergeCell ref="E334:F334"/>
    <mergeCell ref="M334:N334"/>
    <mergeCell ref="O334:P334"/>
    <mergeCell ref="G335:H335"/>
    <mergeCell ref="J335:K335"/>
    <mergeCell ref="B320:C320"/>
    <mergeCell ref="B333:D333"/>
    <mergeCell ref="E333:F333"/>
    <mergeCell ref="M333:N333"/>
    <mergeCell ref="O333:P333"/>
    <mergeCell ref="B332:D332"/>
    <mergeCell ref="E332:F332"/>
    <mergeCell ref="M332:N332"/>
    <mergeCell ref="O332:P332"/>
    <mergeCell ref="B328:D328"/>
    <mergeCell ref="E328:F328"/>
    <mergeCell ref="J328:K328"/>
    <mergeCell ref="M328:N328"/>
    <mergeCell ref="G328:H328"/>
    <mergeCell ref="B331:D331"/>
    <mergeCell ref="E331:F331"/>
    <mergeCell ref="G331:H331"/>
    <mergeCell ref="J331:K331"/>
    <mergeCell ref="M331:N331"/>
    <mergeCell ref="O328:P328"/>
    <mergeCell ref="Q308:R308"/>
    <mergeCell ref="I300:J300"/>
    <mergeCell ref="K300:L300"/>
    <mergeCell ref="M300:N300"/>
    <mergeCell ref="B290:D290"/>
    <mergeCell ref="L290:M290"/>
    <mergeCell ref="N290:O290"/>
    <mergeCell ref="B301:D301"/>
    <mergeCell ref="I301:J301"/>
    <mergeCell ref="K301:L301"/>
    <mergeCell ref="I309:J309"/>
    <mergeCell ref="K309:L309"/>
    <mergeCell ref="M309:N309"/>
    <mergeCell ref="O309:P309"/>
    <mergeCell ref="Q309:R309"/>
    <mergeCell ref="B308:D308"/>
    <mergeCell ref="I308:J308"/>
    <mergeCell ref="K308:L308"/>
    <mergeCell ref="M308:N308"/>
    <mergeCell ref="O308:P308"/>
    <mergeCell ref="M302:N302"/>
    <mergeCell ref="M303:N303"/>
    <mergeCell ref="K302:L302"/>
    <mergeCell ref="K303:L303"/>
    <mergeCell ref="K304:L304"/>
    <mergeCell ref="B309:D309"/>
    <mergeCell ref="I303:J303"/>
    <mergeCell ref="B304:D304"/>
    <mergeCell ref="I304:J304"/>
    <mergeCell ref="P290:Q290"/>
    <mergeCell ref="P291:Q291"/>
    <mergeCell ref="P292:Q292"/>
    <mergeCell ref="C284:D284"/>
    <mergeCell ref="F284:G284"/>
    <mergeCell ref="J286:K286"/>
    <mergeCell ref="B293:D293"/>
    <mergeCell ref="B294:D294"/>
    <mergeCell ref="B291:D291"/>
    <mergeCell ref="B292:D292"/>
    <mergeCell ref="M301:N301"/>
    <mergeCell ref="M304:N304"/>
    <mergeCell ref="B299:D299"/>
    <mergeCell ref="I299:J299"/>
    <mergeCell ref="K299:L299"/>
    <mergeCell ref="M299:N299"/>
    <mergeCell ref="B300:D300"/>
    <mergeCell ref="B302:D302"/>
    <mergeCell ref="I302:J302"/>
    <mergeCell ref="B303:D303"/>
    <mergeCell ref="L291:M291"/>
    <mergeCell ref="N291:O291"/>
    <mergeCell ref="L292:M292"/>
    <mergeCell ref="N292:O292"/>
    <mergeCell ref="L293:M293"/>
    <mergeCell ref="N293:O293"/>
    <mergeCell ref="C257:D257"/>
    <mergeCell ref="F257:G257"/>
    <mergeCell ref="C254:D254"/>
    <mergeCell ref="F254:G254"/>
    <mergeCell ref="C255:D255"/>
    <mergeCell ref="F255:G255"/>
    <mergeCell ref="C256:D256"/>
    <mergeCell ref="F256:G256"/>
    <mergeCell ref="C258:D258"/>
    <mergeCell ref="F258:G258"/>
    <mergeCell ref="C259:D259"/>
    <mergeCell ref="F259:G259"/>
    <mergeCell ref="C260:D260"/>
    <mergeCell ref="F260:G260"/>
    <mergeCell ref="C261:D261"/>
    <mergeCell ref="F261:G261"/>
    <mergeCell ref="C262:D262"/>
    <mergeCell ref="F262:G262"/>
    <mergeCell ref="M213:N213"/>
    <mergeCell ref="O213:P213"/>
    <mergeCell ref="E217:F217"/>
    <mergeCell ref="G217:H217"/>
    <mergeCell ref="M238:O238"/>
    <mergeCell ref="M229:O229"/>
    <mergeCell ref="M233:O233"/>
    <mergeCell ref="F235:H235"/>
    <mergeCell ref="F236:H236"/>
    <mergeCell ref="F237:H237"/>
    <mergeCell ref="F243:H243"/>
    <mergeCell ref="M243:O243"/>
    <mergeCell ref="F244:H244"/>
    <mergeCell ref="M244:O244"/>
    <mergeCell ref="M245:O245"/>
    <mergeCell ref="M246:O246"/>
    <mergeCell ref="E250:G250"/>
    <mergeCell ref="I250:M252"/>
    <mergeCell ref="E252:G252"/>
    <mergeCell ref="M224:O224"/>
    <mergeCell ref="M225:O225"/>
    <mergeCell ref="F230:H230"/>
    <mergeCell ref="F231:H231"/>
    <mergeCell ref="F232:H232"/>
    <mergeCell ref="F233:H233"/>
    <mergeCell ref="M234:O234"/>
    <mergeCell ref="M239:O239"/>
    <mergeCell ref="M240:O240"/>
    <mergeCell ref="M241:O241"/>
    <mergeCell ref="F242:H242"/>
    <mergeCell ref="K149:L149"/>
    <mergeCell ref="K145:L145"/>
    <mergeCell ref="D146:E146"/>
    <mergeCell ref="K146:L146"/>
    <mergeCell ref="D147:E147"/>
    <mergeCell ref="K147:L147"/>
    <mergeCell ref="D148:E148"/>
    <mergeCell ref="K148:L148"/>
    <mergeCell ref="B210:D210"/>
    <mergeCell ref="E210:G210"/>
    <mergeCell ref="H210:J210"/>
    <mergeCell ref="K210:L210"/>
    <mergeCell ref="E199:G199"/>
    <mergeCell ref="E200:G200"/>
    <mergeCell ref="B160:D160"/>
    <mergeCell ref="B218:D218"/>
    <mergeCell ref="B217:D217"/>
    <mergeCell ref="B211:D211"/>
    <mergeCell ref="E211:G211"/>
    <mergeCell ref="H211:J211"/>
    <mergeCell ref="K211:L211"/>
    <mergeCell ref="B213:D213"/>
    <mergeCell ref="E213:G213"/>
    <mergeCell ref="H213:J213"/>
    <mergeCell ref="K213:L213"/>
    <mergeCell ref="J159:K159"/>
    <mergeCell ref="L159:M159"/>
    <mergeCell ref="G156:I156"/>
    <mergeCell ref="J156:K156"/>
    <mergeCell ref="L156:M156"/>
    <mergeCell ref="L157:M157"/>
    <mergeCell ref="B165:D165"/>
    <mergeCell ref="F111:G111"/>
    <mergeCell ref="F112:G112"/>
    <mergeCell ref="F113:G113"/>
    <mergeCell ref="F114:G114"/>
    <mergeCell ref="F115:G115"/>
    <mergeCell ref="C107:D107"/>
    <mergeCell ref="C108:D108"/>
    <mergeCell ref="C109:D109"/>
    <mergeCell ref="C110:D110"/>
    <mergeCell ref="F116:G116"/>
    <mergeCell ref="F107:G107"/>
    <mergeCell ref="F108:G108"/>
    <mergeCell ref="F109:G109"/>
    <mergeCell ref="F110:G110"/>
    <mergeCell ref="E196:G196"/>
    <mergeCell ref="E195:G195"/>
    <mergeCell ref="D134:E134"/>
    <mergeCell ref="F134:G134"/>
    <mergeCell ref="D136:E136"/>
    <mergeCell ref="B145:C145"/>
    <mergeCell ref="B146:C146"/>
    <mergeCell ref="B147:C147"/>
    <mergeCell ref="B148:C148"/>
    <mergeCell ref="B149:C149"/>
    <mergeCell ref="D149:E149"/>
    <mergeCell ref="F136:G136"/>
    <mergeCell ref="B173:D173"/>
    <mergeCell ref="E154:F154"/>
    <mergeCell ref="E155:F155"/>
    <mergeCell ref="E156:F156"/>
    <mergeCell ref="B159:D159"/>
    <mergeCell ref="G159:I159"/>
    <mergeCell ref="E9:G10"/>
    <mergeCell ref="E11:G11"/>
    <mergeCell ref="L9:M9"/>
    <mergeCell ref="L10:M10"/>
    <mergeCell ref="L11:M11"/>
    <mergeCell ref="L12:M12"/>
    <mergeCell ref="L13:M13"/>
    <mergeCell ref="L14:M14"/>
    <mergeCell ref="K27:L27"/>
    <mergeCell ref="M27:N27"/>
    <mergeCell ref="O27:P27"/>
    <mergeCell ref="E12:G12"/>
    <mergeCell ref="E13:G13"/>
    <mergeCell ref="E14:G14"/>
    <mergeCell ref="E15:G15"/>
    <mergeCell ref="E16:G16"/>
    <mergeCell ref="E17:G17"/>
    <mergeCell ref="L15:M15"/>
    <mergeCell ref="E26:G26"/>
    <mergeCell ref="H26:J26"/>
    <mergeCell ref="K26:L26"/>
    <mergeCell ref="M26:N26"/>
    <mergeCell ref="O26:P26"/>
    <mergeCell ref="L16:M16"/>
    <mergeCell ref="L17:M18"/>
    <mergeCell ref="E22:G22"/>
    <mergeCell ref="L22:M22"/>
    <mergeCell ref="B57:D57"/>
    <mergeCell ref="L57:M57"/>
    <mergeCell ref="P57:Q57"/>
    <mergeCell ref="B58:D58"/>
    <mergeCell ref="L58:M58"/>
    <mergeCell ref="P58:Q58"/>
    <mergeCell ref="E35:G35"/>
    <mergeCell ref="B27:D27"/>
    <mergeCell ref="E27:G27"/>
    <mergeCell ref="H27:J27"/>
    <mergeCell ref="E40:G40"/>
    <mergeCell ref="B26:D26"/>
    <mergeCell ref="H28:J28"/>
    <mergeCell ref="H29:J29"/>
    <mergeCell ref="B28:D28"/>
    <mergeCell ref="E28:G28"/>
    <mergeCell ref="E33:G33"/>
    <mergeCell ref="E34:G34"/>
    <mergeCell ref="B29:D29"/>
    <mergeCell ref="E29:G29"/>
    <mergeCell ref="O29:P29"/>
    <mergeCell ref="B36:D36"/>
    <mergeCell ref="E36:G36"/>
    <mergeCell ref="E41:G41"/>
    <mergeCell ref="E46:G46"/>
    <mergeCell ref="E50:G50"/>
    <mergeCell ref="E45:G45"/>
    <mergeCell ref="B33:D33"/>
    <mergeCell ref="B35:D35"/>
    <mergeCell ref="B34:D34"/>
    <mergeCell ref="B65:D65"/>
    <mergeCell ref="B66:D66"/>
    <mergeCell ref="B67:D67"/>
    <mergeCell ref="I67:J67"/>
    <mergeCell ref="I63:J63"/>
    <mergeCell ref="I64:J64"/>
    <mergeCell ref="I65:J65"/>
    <mergeCell ref="K67:L67"/>
    <mergeCell ref="M67:N67"/>
    <mergeCell ref="I68:J68"/>
    <mergeCell ref="K68:L68"/>
    <mergeCell ref="M68:N68"/>
    <mergeCell ref="E63:F63"/>
    <mergeCell ref="K63:L63"/>
    <mergeCell ref="M63:N63"/>
    <mergeCell ref="K64:L64"/>
    <mergeCell ref="M64:N64"/>
    <mergeCell ref="O139:P139"/>
    <mergeCell ref="O137:P137"/>
    <mergeCell ref="D138:E138"/>
    <mergeCell ref="F138:G138"/>
    <mergeCell ref="H138:J138"/>
    <mergeCell ref="K138:L138"/>
    <mergeCell ref="K137:L137"/>
    <mergeCell ref="M137:N137"/>
    <mergeCell ref="H134:J134"/>
    <mergeCell ref="B171:D171"/>
    <mergeCell ref="K171:L171"/>
    <mergeCell ref="B172:D172"/>
    <mergeCell ref="K172:L172"/>
    <mergeCell ref="K166:L166"/>
    <mergeCell ref="E159:F159"/>
    <mergeCell ref="E160:F160"/>
    <mergeCell ref="D135:E135"/>
    <mergeCell ref="F135:G135"/>
    <mergeCell ref="H135:J135"/>
    <mergeCell ref="D137:E137"/>
    <mergeCell ref="F137:G137"/>
    <mergeCell ref="H137:J137"/>
    <mergeCell ref="K134:L134"/>
    <mergeCell ref="O138:P138"/>
    <mergeCell ref="K135:L135"/>
    <mergeCell ref="M135:N135"/>
    <mergeCell ref="O135:P135"/>
    <mergeCell ref="H136:J136"/>
    <mergeCell ref="K136:L136"/>
    <mergeCell ref="M136:N136"/>
    <mergeCell ref="O136:P136"/>
    <mergeCell ref="O134:P134"/>
    <mergeCell ref="B155:D155"/>
    <mergeCell ref="G155:I155"/>
    <mergeCell ref="J155:K155"/>
    <mergeCell ref="L155:M155"/>
    <mergeCell ref="B156:D156"/>
    <mergeCell ref="G160:I160"/>
    <mergeCell ref="J160:K160"/>
    <mergeCell ref="L160:M160"/>
    <mergeCell ref="N157:O157"/>
    <mergeCell ref="B158:D158"/>
    <mergeCell ref="G158:I158"/>
    <mergeCell ref="J158:K158"/>
    <mergeCell ref="L158:M158"/>
    <mergeCell ref="N160:O160"/>
    <mergeCell ref="N158:O158"/>
    <mergeCell ref="I180:J180"/>
    <mergeCell ref="K180:L180"/>
    <mergeCell ref="M180:N180"/>
    <mergeCell ref="B179:D179"/>
    <mergeCell ref="E179:F179"/>
    <mergeCell ref="I179:J179"/>
    <mergeCell ref="B178:D178"/>
    <mergeCell ref="E178:F178"/>
    <mergeCell ref="I178:J178"/>
    <mergeCell ref="K178:L178"/>
    <mergeCell ref="E157:F157"/>
    <mergeCell ref="E158:F158"/>
    <mergeCell ref="B168:D168"/>
    <mergeCell ref="K168:L168"/>
    <mergeCell ref="B169:D169"/>
    <mergeCell ref="K169:L169"/>
    <mergeCell ref="B167:D167"/>
    <mergeCell ref="B157:D157"/>
    <mergeCell ref="G157:I157"/>
    <mergeCell ref="J157:K157"/>
    <mergeCell ref="B170:D170"/>
    <mergeCell ref="K170:L170"/>
    <mergeCell ref="B166:D166"/>
    <mergeCell ref="K167:L167"/>
    <mergeCell ref="K183:L183"/>
    <mergeCell ref="M183:N183"/>
    <mergeCell ref="B182:D182"/>
    <mergeCell ref="E182:F182"/>
    <mergeCell ref="I182:J182"/>
    <mergeCell ref="K182:L182"/>
    <mergeCell ref="B181:D181"/>
    <mergeCell ref="E181:F181"/>
    <mergeCell ref="B180:D180"/>
    <mergeCell ref="E180:F180"/>
    <mergeCell ref="N159:O159"/>
    <mergeCell ref="O183:P183"/>
    <mergeCell ref="O182:P182"/>
    <mergeCell ref="P154:Q154"/>
    <mergeCell ref="P155:Q155"/>
    <mergeCell ref="P156:Q156"/>
    <mergeCell ref="P157:Q157"/>
    <mergeCell ref="P158:Q158"/>
    <mergeCell ref="P159:Q159"/>
    <mergeCell ref="P160:Q160"/>
    <mergeCell ref="O177:P177"/>
    <mergeCell ref="O178:P178"/>
    <mergeCell ref="O179:P179"/>
    <mergeCell ref="O180:P180"/>
    <mergeCell ref="O181:P181"/>
    <mergeCell ref="I177:J177"/>
    <mergeCell ref="K177:L177"/>
    <mergeCell ref="M177:N177"/>
    <mergeCell ref="I181:J181"/>
    <mergeCell ref="K181:L181"/>
    <mergeCell ref="M181:N181"/>
    <mergeCell ref="K179:L179"/>
    <mergeCell ref="M179:N179"/>
    <mergeCell ref="K165:L165"/>
    <mergeCell ref="L161:M161"/>
    <mergeCell ref="K173:L173"/>
    <mergeCell ref="B59:D59"/>
    <mergeCell ref="B74:D74"/>
    <mergeCell ref="B77:D77"/>
    <mergeCell ref="B78:D78"/>
    <mergeCell ref="B68:D68"/>
    <mergeCell ref="B69:D69"/>
    <mergeCell ref="L59:M59"/>
    <mergeCell ref="N59:O59"/>
    <mergeCell ref="P59:Q59"/>
    <mergeCell ref="K28:L28"/>
    <mergeCell ref="M28:N28"/>
    <mergeCell ref="O28:P28"/>
    <mergeCell ref="N57:O57"/>
    <mergeCell ref="N58:O58"/>
    <mergeCell ref="K29:L29"/>
    <mergeCell ref="M29:N29"/>
    <mergeCell ref="B55:D55"/>
    <mergeCell ref="L55:M55"/>
    <mergeCell ref="P55:Q55"/>
    <mergeCell ref="B56:D56"/>
    <mergeCell ref="L56:M56"/>
    <mergeCell ref="P56:Q56"/>
    <mergeCell ref="N55:O55"/>
    <mergeCell ref="N56:O56"/>
    <mergeCell ref="K65:L65"/>
    <mergeCell ref="M65:N65"/>
    <mergeCell ref="I66:J66"/>
    <mergeCell ref="K66:L66"/>
    <mergeCell ref="M66:N66"/>
    <mergeCell ref="I69:J69"/>
    <mergeCell ref="B63:D63"/>
    <mergeCell ref="B64:D64"/>
    <mergeCell ref="C117:D117"/>
    <mergeCell ref="F117:G117"/>
    <mergeCell ref="J119:K119"/>
    <mergeCell ref="B75:D75"/>
    <mergeCell ref="I75:J75"/>
    <mergeCell ref="B76:D76"/>
    <mergeCell ref="I76:J76"/>
    <mergeCell ref="F96:G96"/>
    <mergeCell ref="C112:D112"/>
    <mergeCell ref="L127:M127"/>
    <mergeCell ref="C113:D113"/>
    <mergeCell ref="C114:D114"/>
    <mergeCell ref="C115:D115"/>
    <mergeCell ref="C116:D116"/>
    <mergeCell ref="E123:G123"/>
    <mergeCell ref="E124:G124"/>
    <mergeCell ref="E125:G125"/>
    <mergeCell ref="E127:G127"/>
    <mergeCell ref="F91:G91"/>
    <mergeCell ref="F87:G87"/>
    <mergeCell ref="F88:G88"/>
    <mergeCell ref="F89:G89"/>
    <mergeCell ref="C87:D87"/>
    <mergeCell ref="C88:D88"/>
    <mergeCell ref="C89:D89"/>
    <mergeCell ref="C90:D90"/>
    <mergeCell ref="C91:D91"/>
    <mergeCell ref="F90:G90"/>
    <mergeCell ref="E83:G83"/>
    <mergeCell ref="I83:M85"/>
    <mergeCell ref="E85:G85"/>
    <mergeCell ref="C111:D111"/>
    <mergeCell ref="K69:L69"/>
    <mergeCell ref="M69:N69"/>
    <mergeCell ref="B79:D79"/>
    <mergeCell ref="I79:J79"/>
    <mergeCell ref="I73:J73"/>
    <mergeCell ref="I74:J74"/>
    <mergeCell ref="I77:J77"/>
    <mergeCell ref="I78:J78"/>
    <mergeCell ref="C97:D97"/>
    <mergeCell ref="F97:G97"/>
    <mergeCell ref="J99:K99"/>
    <mergeCell ref="F92:G92"/>
    <mergeCell ref="F93:G93"/>
    <mergeCell ref="F94:G94"/>
    <mergeCell ref="F95:G95"/>
    <mergeCell ref="E103:G103"/>
    <mergeCell ref="E105:G105"/>
    <mergeCell ref="B73:D73"/>
    <mergeCell ref="C92:D92"/>
    <mergeCell ref="C93:D93"/>
    <mergeCell ref="C94:D94"/>
    <mergeCell ref="C95:D95"/>
    <mergeCell ref="C96:D96"/>
    <mergeCell ref="O184:P184"/>
    <mergeCell ref="E193:G194"/>
    <mergeCell ref="L199:M199"/>
    <mergeCell ref="L200:M200"/>
    <mergeCell ref="E201:G201"/>
    <mergeCell ref="L201:M202"/>
    <mergeCell ref="L193:M193"/>
    <mergeCell ref="L194:M194"/>
    <mergeCell ref="L195:M195"/>
    <mergeCell ref="L128:M128"/>
    <mergeCell ref="E130:G130"/>
    <mergeCell ref="D140:E140"/>
    <mergeCell ref="F140:G140"/>
    <mergeCell ref="H140:J140"/>
    <mergeCell ref="K140:L140"/>
    <mergeCell ref="M140:N140"/>
    <mergeCell ref="M138:N138"/>
    <mergeCell ref="E129:G129"/>
    <mergeCell ref="M134:N134"/>
    <mergeCell ref="O140:P140"/>
    <mergeCell ref="D150:E150"/>
    <mergeCell ref="K150:L150"/>
    <mergeCell ref="B161:D161"/>
    <mergeCell ref="E161:F161"/>
    <mergeCell ref="G161:I161"/>
    <mergeCell ref="J161:K161"/>
    <mergeCell ref="N161:O161"/>
    <mergeCell ref="P161:Q161"/>
    <mergeCell ref="N156:O156"/>
    <mergeCell ref="D144:E144"/>
    <mergeCell ref="K144:L144"/>
    <mergeCell ref="D145:E145"/>
    <mergeCell ref="B220:D220"/>
    <mergeCell ref="E220:F220"/>
    <mergeCell ref="G220:H220"/>
    <mergeCell ref="E218:F218"/>
    <mergeCell ref="G218:H218"/>
    <mergeCell ref="B219:D219"/>
    <mergeCell ref="E219:F219"/>
    <mergeCell ref="G219:H219"/>
    <mergeCell ref="D139:E139"/>
    <mergeCell ref="F139:G139"/>
    <mergeCell ref="H139:J139"/>
    <mergeCell ref="K139:L139"/>
    <mergeCell ref="M139:N139"/>
    <mergeCell ref="B184:D184"/>
    <mergeCell ref="E184:F184"/>
    <mergeCell ref="I184:J184"/>
    <mergeCell ref="K184:L184"/>
    <mergeCell ref="M184:N184"/>
    <mergeCell ref="B150:C150"/>
    <mergeCell ref="N154:O154"/>
    <mergeCell ref="N155:O155"/>
    <mergeCell ref="B154:D154"/>
    <mergeCell ref="G154:I154"/>
    <mergeCell ref="J154:K154"/>
    <mergeCell ref="L154:M154"/>
    <mergeCell ref="M178:N178"/>
    <mergeCell ref="B177:D177"/>
    <mergeCell ref="E177:F177"/>
    <mergeCell ref="M182:N182"/>
    <mergeCell ref="B183:D183"/>
    <mergeCell ref="E183:F183"/>
    <mergeCell ref="I183:J183"/>
    <mergeCell ref="E206:G206"/>
    <mergeCell ref="L206:M206"/>
    <mergeCell ref="B212:D212"/>
    <mergeCell ref="E212:G212"/>
    <mergeCell ref="H212:J212"/>
    <mergeCell ref="K212:L212"/>
    <mergeCell ref="M212:N212"/>
    <mergeCell ref="O212:P212"/>
    <mergeCell ref="L196:M196"/>
    <mergeCell ref="E197:G197"/>
    <mergeCell ref="L197:M197"/>
    <mergeCell ref="E198:G198"/>
    <mergeCell ref="L198:M198"/>
    <mergeCell ref="M210:N210"/>
    <mergeCell ref="O210:P210"/>
    <mergeCell ref="M211:N211"/>
    <mergeCell ref="O211:P211"/>
    <mergeCell ref="F263:G263"/>
    <mergeCell ref="C264:D264"/>
    <mergeCell ref="F264:G264"/>
    <mergeCell ref="J266:K266"/>
    <mergeCell ref="E270:G270"/>
    <mergeCell ref="C278:D278"/>
    <mergeCell ref="F278:G278"/>
    <mergeCell ref="C279:D279"/>
    <mergeCell ref="F279:G279"/>
    <mergeCell ref="C280:D280"/>
    <mergeCell ref="F280:G280"/>
    <mergeCell ref="C281:D281"/>
    <mergeCell ref="F281:G281"/>
    <mergeCell ref="C282:D282"/>
    <mergeCell ref="F282:G282"/>
    <mergeCell ref="C283:D283"/>
    <mergeCell ref="F283:G283"/>
    <mergeCell ref="C263:D263"/>
    <mergeCell ref="C275:D275"/>
    <mergeCell ref="F275:G275"/>
    <mergeCell ref="C276:D276"/>
    <mergeCell ref="F276:G276"/>
    <mergeCell ref="C277:D277"/>
    <mergeCell ref="F277:G277"/>
    <mergeCell ref="C274:D274"/>
    <mergeCell ref="F274:G274"/>
    <mergeCell ref="E272:G272"/>
    <mergeCell ref="P293:Q293"/>
    <mergeCell ref="L294:M294"/>
    <mergeCell ref="N294:O294"/>
    <mergeCell ref="P294:Q294"/>
    <mergeCell ref="B298:D298"/>
    <mergeCell ref="E298:F298"/>
    <mergeCell ref="I298:J298"/>
    <mergeCell ref="K298:L298"/>
    <mergeCell ref="M298:N298"/>
    <mergeCell ref="B319:C319"/>
    <mergeCell ref="D319:E319"/>
    <mergeCell ref="L319:M319"/>
    <mergeCell ref="N319:O319"/>
    <mergeCell ref="P319:Q319"/>
    <mergeCell ref="B310:D310"/>
    <mergeCell ref="I310:J310"/>
    <mergeCell ref="K310:L310"/>
    <mergeCell ref="M310:N310"/>
    <mergeCell ref="O310:P310"/>
    <mergeCell ref="Q310:R310"/>
    <mergeCell ref="B311:D311"/>
    <mergeCell ref="I311:J311"/>
    <mergeCell ref="K311:L311"/>
    <mergeCell ref="M311:N311"/>
    <mergeCell ref="O311:P311"/>
    <mergeCell ref="Q311:R311"/>
    <mergeCell ref="B312:D312"/>
    <mergeCell ref="I312:J312"/>
    <mergeCell ref="K312:L312"/>
    <mergeCell ref="M312:N312"/>
    <mergeCell ref="O312:P312"/>
    <mergeCell ref="Q312:R312"/>
    <mergeCell ref="B313:D313"/>
    <mergeCell ref="I313:J313"/>
    <mergeCell ref="K313:L313"/>
    <mergeCell ref="M313:N313"/>
    <mergeCell ref="O313:P313"/>
    <mergeCell ref="Q313:R313"/>
    <mergeCell ref="L324:M324"/>
    <mergeCell ref="N324:O324"/>
    <mergeCell ref="P324:Q324"/>
    <mergeCell ref="R324:S324"/>
    <mergeCell ref="R319:S319"/>
    <mergeCell ref="K314:L314"/>
    <mergeCell ref="M314:N314"/>
    <mergeCell ref="O314:P314"/>
    <mergeCell ref="Q314:R314"/>
    <mergeCell ref="D318:E318"/>
    <mergeCell ref="L318:M318"/>
    <mergeCell ref="N318:O318"/>
    <mergeCell ref="P318:Q318"/>
    <mergeCell ref="R318:S318"/>
    <mergeCell ref="D320:E320"/>
    <mergeCell ref="L320:M320"/>
    <mergeCell ref="N320:O320"/>
    <mergeCell ref="P320:Q320"/>
    <mergeCell ref="R320:S320"/>
    <mergeCell ref="B323:C323"/>
    <mergeCell ref="D323:E323"/>
    <mergeCell ref="L323:M323"/>
    <mergeCell ref="N323:O323"/>
    <mergeCell ref="P323:Q323"/>
    <mergeCell ref="B314:D314"/>
    <mergeCell ref="I314:J314"/>
    <mergeCell ref="S331:T331"/>
    <mergeCell ref="G332:H332"/>
    <mergeCell ref="J332:K332"/>
    <mergeCell ref="Q332:R332"/>
    <mergeCell ref="S332:T332"/>
    <mergeCell ref="O331:P331"/>
    <mergeCell ref="Q333:R333"/>
    <mergeCell ref="S333:T333"/>
    <mergeCell ref="G334:H334"/>
    <mergeCell ref="J334:K334"/>
    <mergeCell ref="Q334:R334"/>
    <mergeCell ref="S334:T334"/>
    <mergeCell ref="Q335:R335"/>
    <mergeCell ref="S335:T335"/>
    <mergeCell ref="B321:C321"/>
    <mergeCell ref="D321:E321"/>
    <mergeCell ref="L321:M321"/>
    <mergeCell ref="N321:O321"/>
    <mergeCell ref="P321:Q321"/>
    <mergeCell ref="R321:S321"/>
    <mergeCell ref="G333:H333"/>
    <mergeCell ref="J333:K333"/>
    <mergeCell ref="B322:C322"/>
    <mergeCell ref="D322:E322"/>
    <mergeCell ref="L322:M322"/>
    <mergeCell ref="N322:O322"/>
    <mergeCell ref="P322:Q322"/>
    <mergeCell ref="R322:S322"/>
    <mergeCell ref="R323:S323"/>
    <mergeCell ref="B324:C324"/>
    <mergeCell ref="D324:E324"/>
    <mergeCell ref="Q328:R328"/>
    <mergeCell ref="B340:D340"/>
    <mergeCell ref="E340:F340"/>
    <mergeCell ref="I340:J340"/>
    <mergeCell ref="K340:L340"/>
    <mergeCell ref="M340:N340"/>
    <mergeCell ref="O340:P340"/>
    <mergeCell ref="B341:D341"/>
    <mergeCell ref="E341:F341"/>
    <mergeCell ref="I341:J341"/>
    <mergeCell ref="K341:L341"/>
    <mergeCell ref="M341:N341"/>
    <mergeCell ref="O341:P341"/>
    <mergeCell ref="B342:D342"/>
    <mergeCell ref="E342:F342"/>
    <mergeCell ref="I342:J342"/>
    <mergeCell ref="K342:L342"/>
    <mergeCell ref="M342:N342"/>
    <mergeCell ref="O342:P342"/>
    <mergeCell ref="B343:D343"/>
    <mergeCell ref="E343:F343"/>
    <mergeCell ref="I343:J343"/>
    <mergeCell ref="K343:L343"/>
    <mergeCell ref="M343:N343"/>
    <mergeCell ref="O343:P343"/>
    <mergeCell ref="B344:D344"/>
    <mergeCell ref="E344:F344"/>
    <mergeCell ref="I344:J344"/>
    <mergeCell ref="K344:L344"/>
    <mergeCell ref="M344:N344"/>
    <mergeCell ref="O344:P344"/>
    <mergeCell ref="B345:D345"/>
    <mergeCell ref="E345:F345"/>
    <mergeCell ref="I345:J345"/>
    <mergeCell ref="K345:L345"/>
    <mergeCell ref="M345:N345"/>
    <mergeCell ref="O345:P345"/>
    <mergeCell ref="B346:D346"/>
    <mergeCell ref="E346:F346"/>
    <mergeCell ref="I346:J346"/>
    <mergeCell ref="K346:L346"/>
    <mergeCell ref="M346:N346"/>
    <mergeCell ref="O346:P346"/>
    <mergeCell ref="E351:G351"/>
    <mergeCell ref="E352:G352"/>
    <mergeCell ref="E354:G354"/>
    <mergeCell ref="L354:M354"/>
    <mergeCell ref="L355:M355"/>
    <mergeCell ref="E356:G356"/>
    <mergeCell ref="E357:G357"/>
    <mergeCell ref="D361:E361"/>
    <mergeCell ref="F361:G361"/>
    <mergeCell ref="H361:J361"/>
    <mergeCell ref="K361:L361"/>
    <mergeCell ref="M361:N361"/>
    <mergeCell ref="O361:P361"/>
    <mergeCell ref="E350:G350"/>
    <mergeCell ref="L391:M391"/>
    <mergeCell ref="L392:M392"/>
    <mergeCell ref="M421:O421"/>
    <mergeCell ref="L390:M390"/>
    <mergeCell ref="E390:G391"/>
    <mergeCell ref="E392:G392"/>
    <mergeCell ref="E393:G393"/>
    <mergeCell ref="L393:M393"/>
    <mergeCell ref="E394:G394"/>
    <mergeCell ref="L394:M394"/>
    <mergeCell ref="B412:D412"/>
    <mergeCell ref="B413:D413"/>
    <mergeCell ref="B414:D414"/>
    <mergeCell ref="D362:E362"/>
    <mergeCell ref="F362:G362"/>
    <mergeCell ref="H362:J362"/>
    <mergeCell ref="K362:L362"/>
    <mergeCell ref="M362:N362"/>
    <mergeCell ref="O362:P362"/>
    <mergeCell ref="D363:E363"/>
    <mergeCell ref="F363:G363"/>
    <mergeCell ref="H363:J363"/>
    <mergeCell ref="K363:L363"/>
    <mergeCell ref="M363:N363"/>
    <mergeCell ref="O363:P363"/>
    <mergeCell ref="D364:E364"/>
    <mergeCell ref="F364:G364"/>
    <mergeCell ref="H364:J364"/>
    <mergeCell ref="K364:L364"/>
    <mergeCell ref="M364:N364"/>
    <mergeCell ref="O364:P364"/>
    <mergeCell ref="E395:G395"/>
    <mergeCell ref="D365:E365"/>
    <mergeCell ref="F365:G365"/>
    <mergeCell ref="H365:J365"/>
    <mergeCell ref="K365:L365"/>
    <mergeCell ref="M365:N365"/>
    <mergeCell ref="O365:P365"/>
    <mergeCell ref="D366:E366"/>
    <mergeCell ref="F366:G366"/>
    <mergeCell ref="H366:J366"/>
    <mergeCell ref="K366:L366"/>
    <mergeCell ref="M366:N366"/>
    <mergeCell ref="O366:P366"/>
    <mergeCell ref="D367:E367"/>
    <mergeCell ref="F367:G367"/>
    <mergeCell ref="H367:J367"/>
    <mergeCell ref="K367:L367"/>
    <mergeCell ref="M367:N367"/>
    <mergeCell ref="O367:P367"/>
    <mergeCell ref="F422:H422"/>
    <mergeCell ref="F424:H424"/>
    <mergeCell ref="M424:O424"/>
    <mergeCell ref="L399:M400"/>
    <mergeCell ref="L404:M404"/>
    <mergeCell ref="L405:M405"/>
    <mergeCell ref="F426:H426"/>
    <mergeCell ref="M430:O430"/>
    <mergeCell ref="F431:H431"/>
    <mergeCell ref="M431:O431"/>
    <mergeCell ref="M429:O429"/>
    <mergeCell ref="F432:H432"/>
    <mergeCell ref="M432:O432"/>
    <mergeCell ref="F433:H433"/>
    <mergeCell ref="F434:H434"/>
    <mergeCell ref="M434:O434"/>
    <mergeCell ref="F435:H435"/>
    <mergeCell ref="M435:O435"/>
    <mergeCell ref="B442:C442"/>
    <mergeCell ref="D442:E442"/>
    <mergeCell ref="F442:G442"/>
    <mergeCell ref="H442:I442"/>
    <mergeCell ref="L442:M442"/>
    <mergeCell ref="O442:P442"/>
    <mergeCell ref="F436:H436"/>
    <mergeCell ref="M436:O436"/>
    <mergeCell ref="S442:T442"/>
    <mergeCell ref="B443:C443"/>
    <mergeCell ref="D443:E443"/>
    <mergeCell ref="F443:G443"/>
    <mergeCell ref="H443:I443"/>
    <mergeCell ref="L443:M443"/>
    <mergeCell ref="O443:P443"/>
    <mergeCell ref="Q443:R443"/>
    <mergeCell ref="S443:T443"/>
    <mergeCell ref="Q441:R441"/>
    <mergeCell ref="S441:T441"/>
    <mergeCell ref="F441:G441"/>
    <mergeCell ref="H441:I441"/>
    <mergeCell ref="L441:M441"/>
    <mergeCell ref="J441:K441"/>
    <mergeCell ref="B444:C444"/>
    <mergeCell ref="D444:E444"/>
    <mergeCell ref="F444:G444"/>
    <mergeCell ref="H444:I444"/>
    <mergeCell ref="L444:M444"/>
    <mergeCell ref="O444:P444"/>
    <mergeCell ref="Q444:R444"/>
    <mergeCell ref="S444:T444"/>
    <mergeCell ref="Q442:R442"/>
    <mergeCell ref="Q445:R445"/>
    <mergeCell ref="Q447:R447"/>
    <mergeCell ref="S447:T447"/>
    <mergeCell ref="B447:C447"/>
    <mergeCell ref="D447:E447"/>
    <mergeCell ref="F447:G447"/>
    <mergeCell ref="H447:I447"/>
    <mergeCell ref="F451:G451"/>
    <mergeCell ref="S445:T445"/>
    <mergeCell ref="B446:C446"/>
    <mergeCell ref="D446:E446"/>
    <mergeCell ref="F446:G446"/>
    <mergeCell ref="H446:I446"/>
    <mergeCell ref="L446:M446"/>
    <mergeCell ref="O446:P446"/>
    <mergeCell ref="Q446:R446"/>
    <mergeCell ref="S446:T446"/>
    <mergeCell ref="D445:E445"/>
    <mergeCell ref="F445:G445"/>
    <mergeCell ref="H445:I445"/>
    <mergeCell ref="L445:M445"/>
    <mergeCell ref="O445:P445"/>
    <mergeCell ref="O447:P447"/>
    <mergeCell ref="L447:M447"/>
    <mergeCell ref="B445:C445"/>
    <mergeCell ref="B455:C455"/>
    <mergeCell ref="Q455:R455"/>
    <mergeCell ref="S455:T455"/>
    <mergeCell ref="J461:K461"/>
    <mergeCell ref="B456:C456"/>
    <mergeCell ref="D456:E456"/>
    <mergeCell ref="F456:G456"/>
    <mergeCell ref="H456:I456"/>
    <mergeCell ref="L456:M456"/>
    <mergeCell ref="O456:P456"/>
    <mergeCell ref="Q456:R456"/>
    <mergeCell ref="S456:T456"/>
    <mergeCell ref="Q451:R451"/>
    <mergeCell ref="S451:T451"/>
    <mergeCell ref="D455:E455"/>
    <mergeCell ref="F455:G455"/>
    <mergeCell ref="H455:I455"/>
    <mergeCell ref="L455:M455"/>
    <mergeCell ref="O455:P455"/>
    <mergeCell ref="D451:E451"/>
    <mergeCell ref="H451:I451"/>
    <mergeCell ref="L451:M451"/>
    <mergeCell ref="O451:P451"/>
    <mergeCell ref="D453:E453"/>
    <mergeCell ref="F453:G453"/>
    <mergeCell ref="H453:I453"/>
    <mergeCell ref="L453:M453"/>
    <mergeCell ref="O453:P453"/>
    <mergeCell ref="S453:T453"/>
    <mergeCell ref="B454:C454"/>
    <mergeCell ref="Q452:R452"/>
    <mergeCell ref="Q453:R453"/>
    <mergeCell ref="B462:C462"/>
    <mergeCell ref="D462:E462"/>
    <mergeCell ref="F462:G462"/>
    <mergeCell ref="H462:I462"/>
    <mergeCell ref="L462:M462"/>
    <mergeCell ref="O462:P462"/>
    <mergeCell ref="Q462:R462"/>
    <mergeCell ref="S462:T462"/>
    <mergeCell ref="Q457:R457"/>
    <mergeCell ref="S457:T457"/>
    <mergeCell ref="B457:C457"/>
    <mergeCell ref="D457:E457"/>
    <mergeCell ref="F457:G457"/>
    <mergeCell ref="H457:I457"/>
    <mergeCell ref="L457:M457"/>
    <mergeCell ref="O457:P457"/>
    <mergeCell ref="Q461:R461"/>
    <mergeCell ref="S461:T461"/>
    <mergeCell ref="D461:E461"/>
    <mergeCell ref="F461:G461"/>
    <mergeCell ref="H461:I461"/>
    <mergeCell ref="L461:M461"/>
    <mergeCell ref="O461:P461"/>
    <mergeCell ref="S454:T454"/>
    <mergeCell ref="S452:T452"/>
    <mergeCell ref="B466:C466"/>
    <mergeCell ref="D466:E466"/>
    <mergeCell ref="L466:M466"/>
    <mergeCell ref="B476:C476"/>
    <mergeCell ref="D476:E476"/>
    <mergeCell ref="L476:M476"/>
    <mergeCell ref="N476:O476"/>
    <mergeCell ref="P476:Q476"/>
    <mergeCell ref="D465:E465"/>
    <mergeCell ref="L465:M465"/>
    <mergeCell ref="F467:G467"/>
    <mergeCell ref="H467:I467"/>
    <mergeCell ref="O467:P467"/>
    <mergeCell ref="Q467:R467"/>
    <mergeCell ref="O465:P465"/>
    <mergeCell ref="F466:G466"/>
    <mergeCell ref="H466:I466"/>
    <mergeCell ref="O466:P466"/>
    <mergeCell ref="B472:C472"/>
    <mergeCell ref="D472:E472"/>
    <mergeCell ref="L472:M472"/>
    <mergeCell ref="N472:O472"/>
    <mergeCell ref="P472:Q472"/>
    <mergeCell ref="R472:S472"/>
    <mergeCell ref="H465:I465"/>
    <mergeCell ref="Q465:R465"/>
    <mergeCell ref="S465:T465"/>
    <mergeCell ref="S467:T467"/>
    <mergeCell ref="B473:C473"/>
    <mergeCell ref="D473:E473"/>
    <mergeCell ref="L473:M473"/>
    <mergeCell ref="N473:O473"/>
    <mergeCell ref="P473:Q473"/>
    <mergeCell ref="R476:S476"/>
    <mergeCell ref="B467:C467"/>
    <mergeCell ref="D467:E467"/>
    <mergeCell ref="L467:M467"/>
    <mergeCell ref="P475:Q475"/>
    <mergeCell ref="R475:S475"/>
    <mergeCell ref="B475:C475"/>
    <mergeCell ref="D475:E475"/>
    <mergeCell ref="L475:M475"/>
    <mergeCell ref="N475:O475"/>
    <mergeCell ref="B477:C477"/>
    <mergeCell ref="D477:E477"/>
    <mergeCell ref="L477:M477"/>
    <mergeCell ref="N477:O477"/>
    <mergeCell ref="P477:Q477"/>
    <mergeCell ref="R477:S477"/>
    <mergeCell ref="R473:S473"/>
    <mergeCell ref="Q486:R486"/>
    <mergeCell ref="S486:T486"/>
    <mergeCell ref="G487:H487"/>
    <mergeCell ref="J487:K487"/>
    <mergeCell ref="Q487:R487"/>
    <mergeCell ref="S487:T487"/>
    <mergeCell ref="B487:D487"/>
    <mergeCell ref="E487:F487"/>
    <mergeCell ref="M487:N487"/>
    <mergeCell ref="O487:P487"/>
    <mergeCell ref="B486:D486"/>
    <mergeCell ref="E486:F486"/>
    <mergeCell ref="M486:N486"/>
    <mergeCell ref="O486:P486"/>
    <mergeCell ref="G486:H486"/>
    <mergeCell ref="J486:K486"/>
    <mergeCell ref="B485:D485"/>
    <mergeCell ref="E485:F485"/>
    <mergeCell ref="G485:H485"/>
    <mergeCell ref="J485:K485"/>
    <mergeCell ref="M485:N485"/>
    <mergeCell ref="O485:P485"/>
    <mergeCell ref="Q485:R485"/>
    <mergeCell ref="S485:T485"/>
    <mergeCell ref="B499:D499"/>
    <mergeCell ref="E499:F499"/>
    <mergeCell ref="I499:J499"/>
    <mergeCell ref="K499:L499"/>
    <mergeCell ref="M499:N499"/>
    <mergeCell ref="O499:P499"/>
    <mergeCell ref="Q488:R488"/>
    <mergeCell ref="S488:T488"/>
    <mergeCell ref="B488:D488"/>
    <mergeCell ref="E488:F488"/>
    <mergeCell ref="M488:N488"/>
    <mergeCell ref="O488:P488"/>
    <mergeCell ref="G488:H488"/>
    <mergeCell ref="J488:K488"/>
    <mergeCell ref="B492:D492"/>
    <mergeCell ref="E492:F492"/>
    <mergeCell ref="I492:J492"/>
    <mergeCell ref="K492:L492"/>
    <mergeCell ref="M492:N492"/>
    <mergeCell ref="O492:P492"/>
    <mergeCell ref="B497:D497"/>
    <mergeCell ref="E497:F497"/>
    <mergeCell ref="I497:J497"/>
    <mergeCell ref="K497:L497"/>
    <mergeCell ref="M497:N497"/>
    <mergeCell ref="O497:P497"/>
    <mergeCell ref="B494:D494"/>
    <mergeCell ref="E494:F494"/>
    <mergeCell ref="I494:J494"/>
    <mergeCell ref="K494:L494"/>
    <mergeCell ref="M494:N494"/>
    <mergeCell ref="O494:P494"/>
    <mergeCell ref="B493:D493"/>
    <mergeCell ref="E493:F493"/>
    <mergeCell ref="I493:J493"/>
    <mergeCell ref="K493:L493"/>
    <mergeCell ref="M493:N493"/>
    <mergeCell ref="O493:P493"/>
    <mergeCell ref="B496:D496"/>
    <mergeCell ref="E496:F496"/>
    <mergeCell ref="I496:J496"/>
    <mergeCell ref="K496:L496"/>
    <mergeCell ref="M496:N496"/>
    <mergeCell ref="O496:P496"/>
    <mergeCell ref="B498:D498"/>
    <mergeCell ref="E498:F498"/>
    <mergeCell ref="I498:J498"/>
    <mergeCell ref="K498:L498"/>
    <mergeCell ref="M498:N498"/>
    <mergeCell ref="O498:P498"/>
    <mergeCell ref="B495:D495"/>
    <mergeCell ref="E495:F495"/>
    <mergeCell ref="I495:J495"/>
    <mergeCell ref="K495:L495"/>
    <mergeCell ref="M495:N495"/>
    <mergeCell ref="O495:P495"/>
  </mergeCells>
  <pageMargins left="0.7" right="0.7" top="0.75" bottom="0.75" header="0.3" footer="0.3"/>
  <pageSetup paperSize="9" orientation="portrait" r:id="rId2"/>
</worksheet>
</file>

<file path=xl/worksheets/sheet14.xml><?xml version="1.0" encoding="utf-8"?>
<worksheet xmlns="http://schemas.openxmlformats.org/spreadsheetml/2006/main" xmlns:r="http://schemas.openxmlformats.org/officeDocument/2006/relationships">
  <sheetPr codeName="Sheet14"/>
  <dimension ref="A1:C100"/>
  <sheetViews>
    <sheetView workbookViewId="0">
      <selection activeCell="D5" sqref="D5"/>
    </sheetView>
  </sheetViews>
  <sheetFormatPr defaultRowHeight="15"/>
  <cols>
    <col min="1" max="1" width="36.140625" style="29" customWidth="1"/>
    <col min="3" max="3" width="32.5703125" customWidth="1"/>
  </cols>
  <sheetData>
    <row r="1" spans="1:3">
      <c r="A1" s="17" t="str">
        <f>IF('[3]Salary Type'!$A2="","",'[3]Salary Type'!$A2)</f>
        <v>Abated</v>
      </c>
      <c r="C1" s="17"/>
    </row>
    <row r="2" spans="1:3">
      <c r="A2" s="17" t="str">
        <f>IF('[3]Salary Type'!$A3="","",'[3]Salary Type'!$A3)</f>
        <v>Bank Account Value</v>
      </c>
      <c r="C2" s="17"/>
    </row>
    <row r="3" spans="1:3">
      <c r="A3" s="17" t="str">
        <f>IF('[3]Salary Type'!$A4="","",'[3]Salary Type'!$A4)</f>
        <v>Basic</v>
      </c>
      <c r="C3" s="17"/>
    </row>
    <row r="4" spans="1:3">
      <c r="A4" s="17" t="str">
        <f>IF('[3]Salary Type'!$A5="","",'[3]Salary Type'!$A5)</f>
        <v>Basic (FTE)</v>
      </c>
      <c r="C4" s="17"/>
    </row>
    <row r="5" spans="1:3">
      <c r="A5" s="17" t="str">
        <f>IF('[3]Salary Type'!$A6="","",'[3]Salary Type'!$A6)</f>
        <v>Basic (PTE)</v>
      </c>
      <c r="C5" s="17"/>
    </row>
    <row r="6" spans="1:3">
      <c r="A6" s="17" t="str">
        <f>IF('[3]Salary Type'!$A7="","",'[3]Salary Type'!$A7)</f>
        <v>Basic plus P11D</v>
      </c>
      <c r="C6" s="17"/>
    </row>
    <row r="7" spans="1:3">
      <c r="A7" s="17" t="str">
        <f>IF('[3]Salary Type'!$A8="","",'[3]Salary Type'!$A8)</f>
        <v>Basic+ave 3yrs P11D</v>
      </c>
      <c r="C7" s="17"/>
    </row>
    <row r="8" spans="1:3">
      <c r="A8" s="17" t="str">
        <f>IF('[3]Salary Type'!$A9="","",'[3]Salary Type'!$A9)</f>
        <v>Basic12mth+av3YBonus</v>
      </c>
      <c r="C8" s="17"/>
    </row>
    <row r="9" spans="1:3">
      <c r="A9" s="17" t="str">
        <f>IF('[3]Salary Type'!$A10="","",'[3]Salary Type'!$A10)</f>
        <v>Basic12mths</v>
      </c>
      <c r="C9" s="17"/>
    </row>
    <row r="10" spans="1:3">
      <c r="A10" s="17" t="str">
        <f>IF('[3]Salary Type'!$A11="","",'[3]Salary Type'!$A11)</f>
        <v>BasicTaxYr</v>
      </c>
      <c r="C10" s="17"/>
    </row>
    <row r="11" spans="1:3">
      <c r="A11" s="17" t="str">
        <f>IF('[3]Salary Type'!$A12="","",'[3]Salary Type'!$A12)</f>
        <v>Bonus</v>
      </c>
      <c r="C11" s="17"/>
    </row>
    <row r="12" spans="1:3">
      <c r="A12" s="17" t="str">
        <f>IF('[3]Salary Type'!$A13="","",'[3]Salary Type'!$A13)</f>
        <v>Capped Exc Bonus</v>
      </c>
      <c r="C12" s="17"/>
    </row>
    <row r="13" spans="1:3">
      <c r="A13" s="17" t="str">
        <f>IF('[3]Salary Type'!$A14="","",'[3]Salary Type'!$A14)</f>
        <v>CARE Earnings</v>
      </c>
      <c r="C13" s="17"/>
    </row>
    <row r="14" spans="1:3">
      <c r="A14" s="17" t="str">
        <f>IF('[3]Salary Type'!$A15="","",'[3]Salary Type'!$A15)</f>
        <v>CARE Salary</v>
      </c>
      <c r="C14" s="17"/>
    </row>
    <row r="15" spans="1:3">
      <c r="A15" s="17" t="str">
        <f>IF('[3]Salary Type'!$A16="","",'[3]Salary Type'!$A16)</f>
        <v>Commission</v>
      </c>
      <c r="C15" s="17"/>
    </row>
    <row r="16" spans="1:3">
      <c r="A16" s="17" t="str">
        <f>IF('[3]Salary Type'!$A17="","",'[3]Salary Type'!$A17)</f>
        <v>Crystallised Salary</v>
      </c>
      <c r="C16" s="17"/>
    </row>
    <row r="17" spans="1:3">
      <c r="A17" s="17" t="str">
        <f>IF('[3]Salary Type'!$A18="","",'[3]Salary Type'!$A18)</f>
        <v>EARNINGS</v>
      </c>
      <c r="C17" s="17"/>
    </row>
    <row r="18" spans="1:3">
      <c r="A18" s="17" t="str">
        <f>IF('[3]Salary Type'!$A19="","",'[3]Salary Type'!$A19)</f>
        <v>Earnings Adjustment</v>
      </c>
      <c r="C18" s="17"/>
    </row>
    <row r="19" spans="1:3">
      <c r="A19" s="17" t="str">
        <f>IF('[3]Salary Type'!$A20="","",'[3]Salary Type'!$A20)</f>
        <v>Employee Expenses</v>
      </c>
      <c r="C19" s="17"/>
    </row>
    <row r="20" spans="1:3">
      <c r="A20" s="17" t="str">
        <f>IF('[3]Salary Type'!$A21="","",'[3]Salary Type'!$A21)</f>
        <v>Employer Expenses</v>
      </c>
      <c r="C20" s="17"/>
    </row>
    <row r="21" spans="1:3">
      <c r="A21" s="17" t="str">
        <f>IF('[3]Salary Type'!$A22="","",'[3]Salary Type'!$A22)</f>
        <v>Fluctuating Emols</v>
      </c>
      <c r="C21" s="17"/>
    </row>
    <row r="22" spans="1:3">
      <c r="A22" s="17" t="str">
        <f>IF('[3]Salary Type'!$A23="","",'[3]Salary Type'!$A23)</f>
        <v>FPS</v>
      </c>
      <c r="C22" s="17"/>
    </row>
    <row r="23" spans="1:3">
      <c r="A23" s="17" t="str">
        <f>IF('[3]Salary Type'!$A24="","",'[3]Salary Type'!$A24)</f>
        <v>Fuel Allowance</v>
      </c>
      <c r="C23" s="17"/>
    </row>
    <row r="24" spans="1:3">
      <c r="A24" s="17" t="str">
        <f>IF('[3]Salary Type'!$A25="","",'[3]Salary Type'!$A25)</f>
        <v>Gross</v>
      </c>
      <c r="C24" s="17"/>
    </row>
    <row r="25" spans="1:3">
      <c r="A25" s="17" t="str">
        <f>IF('[3]Salary Type'!$A26="","",'[3]Salary Type'!$A26)</f>
        <v>Gross excl overtime</v>
      </c>
      <c r="C25" s="17"/>
    </row>
    <row r="26" spans="1:3">
      <c r="A26" s="17" t="str">
        <f>IF('[3]Salary Type'!$A27="","",'[3]Salary Type'!$A27)</f>
        <v>Gross (FTE)</v>
      </c>
      <c r="C26" s="17"/>
    </row>
    <row r="27" spans="1:3">
      <c r="A27" s="17" t="str">
        <f>IF('[3]Salary Type'!$A28="","",'[3]Salary Type'!$A28)</f>
        <v>Higher Band Earnings</v>
      </c>
      <c r="C27" s="17"/>
    </row>
    <row r="28" spans="1:3">
      <c r="A28" s="17" t="str">
        <f>IF('[3]Salary Type'!$A29="","",'[3]Salary Type'!$A29)</f>
        <v>LA Bonus</v>
      </c>
      <c r="C28" s="17"/>
    </row>
    <row r="29" spans="1:3">
      <c r="A29" s="17" t="str">
        <f>IF('[3]Salary Type'!$A30="","",'[3]Salary Type'!$A30)</f>
        <v>LASalary</v>
      </c>
      <c r="C29" s="17"/>
    </row>
    <row r="30" spans="1:3">
      <c r="A30" s="17" t="str">
        <f>IF('[3]Salary Type'!$A31="","",'[3]Salary Type'!$A31)</f>
        <v>LSDB Earnings</v>
      </c>
      <c r="C30" s="17"/>
    </row>
    <row r="31" spans="1:3">
      <c r="A31" s="17" t="str">
        <f>IF('[3]Salary Type'!$A32="","",'[3]Salary Type'!$A32)</f>
        <v>Market</v>
      </c>
      <c r="C31" s="17"/>
    </row>
    <row r="32" spans="1:3">
      <c r="A32" s="17" t="str">
        <f>IF('[3]Salary Type'!$A33="","",'[3]Salary Type'!$A33)</f>
        <v>Middle Band Earnings</v>
      </c>
      <c r="C32" s="17"/>
    </row>
    <row r="33" spans="1:3">
      <c r="A33" s="17" t="str">
        <f>IF('[3]Salary Type'!$A34="","",'[3]Salary Type'!$A34)</f>
        <v>Monthly Basic</v>
      </c>
      <c r="C33" s="17"/>
    </row>
    <row r="34" spans="1:3">
      <c r="A34" s="17" t="str">
        <f>IF('[3]Salary Type'!$A35="","",'[3]Salary Type'!$A35)</f>
        <v>Monthly Gross</v>
      </c>
      <c r="C34" s="17"/>
    </row>
    <row r="35" spans="1:3">
      <c r="A35" s="17" t="str">
        <f>IF('[3]Salary Type'!$A36="","",'[3]Salary Type'!$A36)</f>
        <v>Monthly Pensionable</v>
      </c>
      <c r="C35" s="17"/>
    </row>
    <row r="36" spans="1:3">
      <c r="A36" s="17" t="str">
        <f>IF('[3]Salary Type'!$A37="","",'[3]Salary Type'!$A37)</f>
        <v>Mthly Fluct Emols</v>
      </c>
      <c r="C36" s="17"/>
    </row>
    <row r="37" spans="1:3">
      <c r="A37" s="17" t="str">
        <f>IF('[3]Salary Type'!$A38="","",'[3]Salary Type'!$A38)</f>
        <v>Old Basic</v>
      </c>
      <c r="C37" s="17"/>
    </row>
    <row r="38" spans="1:3">
      <c r="A38" s="17" t="str">
        <f>IF('[3]Salary Type'!$A39="","",'[3]Salary Type'!$A39)</f>
        <v>On Target Earnings</v>
      </c>
      <c r="C38" s="17"/>
    </row>
    <row r="39" spans="1:3">
      <c r="A39" s="17" t="str">
        <f>IF('[3]Salary Type'!$A40="","",'[3]Salary Type'!$A40)</f>
        <v>Other Pay</v>
      </c>
      <c r="C39" s="17"/>
    </row>
    <row r="40" spans="1:3">
      <c r="A40" s="17" t="str">
        <f>IF('[3]Salary Type'!$A41="","",'[3]Salary Type'!$A41)</f>
        <v>PAYE</v>
      </c>
      <c r="C40" s="17"/>
    </row>
    <row r="41" spans="1:3">
      <c r="A41" s="17" t="str">
        <f>IF('[3]Salary Type'!$A42="","",'[3]Salary Type'!$A42)</f>
        <v>PDI</v>
      </c>
      <c r="C41" s="17"/>
    </row>
    <row r="42" spans="1:3">
      <c r="A42" s="17" t="str">
        <f>IF('[3]Salary Type'!$A43="","",'[3]Salary Type'!$A43)</f>
        <v>Pensionable</v>
      </c>
      <c r="C42" s="17"/>
    </row>
    <row r="43" spans="1:3">
      <c r="A43" s="17" t="str">
        <f>IF('[3]Salary Type'!$A44="","",'[3]Salary Type'!$A44)</f>
        <v>Pensionable (capped)</v>
      </c>
      <c r="C43" s="17"/>
    </row>
    <row r="44" spans="1:3">
      <c r="A44" s="17" t="str">
        <f>IF('[3]Salary Type'!$A45="","",'[3]Salary Type'!$A45)</f>
        <v>Pensionable (FTE)</v>
      </c>
      <c r="C44" s="17"/>
    </row>
    <row r="45" spans="1:3">
      <c r="A45" s="17" t="str">
        <f>IF('[3]Salary Type'!$A46="","",'[3]Salary Type'!$A46)</f>
        <v>Pensionable Bonus</v>
      </c>
      <c r="C45" s="17"/>
    </row>
    <row r="46" spans="1:3">
      <c r="A46" s="17" t="str">
        <f>IF('[3]Salary Type'!$A47="","",'[3]Salary Type'!$A47)</f>
        <v>Pensionable ExcBonus</v>
      </c>
      <c r="C46" s="17"/>
    </row>
    <row r="47" spans="1:3">
      <c r="A47" s="17" t="str">
        <f>IF('[3]Salary Type'!$A48="","",'[3]Salary Type'!$A48)</f>
        <v>Pensionable IncBonus</v>
      </c>
      <c r="C47" s="17"/>
    </row>
    <row r="48" spans="1:3">
      <c r="A48" s="17" t="str">
        <f>IF('[3]Salary Type'!$A49="","",'[3]Salary Type'!$A49)</f>
        <v>Reckonable Pay</v>
      </c>
      <c r="C48" s="17"/>
    </row>
    <row r="49" spans="1:3">
      <c r="A49" s="17" t="str">
        <f>IF('[3]Salary Type'!$A50="","",'[3]Salary Type'!$A50)</f>
        <v>Ref Pen Pay (no LEL)</v>
      </c>
      <c r="C49" s="17"/>
    </row>
    <row r="50" spans="1:3">
      <c r="A50" s="17" t="str">
        <f>IF('[3]Salary Type'!$A51="","",'[3]Salary Type'!$A51)</f>
        <v>Reference Pen Pay</v>
      </c>
      <c r="C50" s="17"/>
    </row>
    <row r="51" spans="1:3">
      <c r="A51" s="17" t="str">
        <f>IF('[3]Salary Type'!$A52="","",'[3]Salary Type'!$A52)</f>
        <v>Salary</v>
      </c>
      <c r="C51" s="17"/>
    </row>
    <row r="52" spans="1:3">
      <c r="A52" s="17" t="str">
        <f>IF('[3]Salary Type'!$A53="","",'[3]Salary Type'!$A53)</f>
        <v>Salary (PTE)</v>
      </c>
      <c r="C52" s="17"/>
    </row>
    <row r="53" spans="1:3">
      <c r="A53" s="17" t="str">
        <f>IF('[3]Salary Type'!$A54="","",'[3]Salary Type'!$A54)</f>
        <v>Salary Sacrifice</v>
      </c>
    </row>
    <row r="54" spans="1:3">
      <c r="A54" s="17" t="str">
        <f>IF('[3]Salary Type'!$A55="","",'[3]Salary Type'!$A55)</f>
        <v>Uncapped Exc Bonus</v>
      </c>
    </row>
    <row r="55" spans="1:3">
      <c r="A55" s="17" t="str">
        <f>IF('[3]Salary Type'!$A56="","",'[3]Salary Type'!$A56)</f>
        <v>Weekly Basic</v>
      </c>
    </row>
    <row r="56" spans="1:3">
      <c r="A56" s="17"/>
    </row>
    <row r="57" spans="1:3">
      <c r="A57" s="17">
        <f>IF('[3]Salary Type'!$A58="","",'[3]Salary Type'!$A58)</f>
        <v>0</v>
      </c>
    </row>
    <row r="58" spans="1:3">
      <c r="A58" s="17" t="str">
        <f>IF('[3]Salary Type'!$A59="","",'[3]Salary Type'!$A59)</f>
        <v/>
      </c>
    </row>
    <row r="59" spans="1:3">
      <c r="A59" s="17" t="str">
        <f>IF('[3]Salary Type'!$A60="","",'[3]Salary Type'!$A60)</f>
        <v/>
      </c>
    </row>
    <row r="60" spans="1:3">
      <c r="A60" s="17" t="str">
        <f>IF('[3]Salary Type'!$A61="","",'[3]Salary Type'!$A61)</f>
        <v/>
      </c>
    </row>
    <row r="61" spans="1:3">
      <c r="A61" s="17" t="str">
        <f>IF('[3]Salary Type'!$A62="","",'[3]Salary Type'!$A62)</f>
        <v/>
      </c>
    </row>
    <row r="62" spans="1:3">
      <c r="A62" s="17" t="str">
        <f>IF('[3]Salary Type'!$A63="","",'[3]Salary Type'!$A63)</f>
        <v/>
      </c>
    </row>
    <row r="63" spans="1:3">
      <c r="A63" s="17" t="str">
        <f>IF('[3]Salary Type'!$A64="","",'[3]Salary Type'!$A64)</f>
        <v/>
      </c>
    </row>
    <row r="64" spans="1:3">
      <c r="A64" s="17" t="str">
        <f>IF('[3]Salary Type'!$A65="","",'[3]Salary Type'!$A65)</f>
        <v/>
      </c>
    </row>
    <row r="65" spans="1:1">
      <c r="A65" s="17" t="str">
        <f>IF('[3]Salary Type'!$A66="","",'[3]Salary Type'!$A66)</f>
        <v/>
      </c>
    </row>
    <row r="66" spans="1:1">
      <c r="A66" s="17" t="str">
        <f>IF('[3]Salary Type'!$A67="","",'[3]Salary Type'!$A67)</f>
        <v/>
      </c>
    </row>
    <row r="67" spans="1:1">
      <c r="A67" s="17" t="str">
        <f>IF('[3]Salary Type'!$A68="","",'[3]Salary Type'!$A68)</f>
        <v/>
      </c>
    </row>
    <row r="68" spans="1:1">
      <c r="A68" s="17" t="str">
        <f>IF('[3]Salary Type'!$A69="","",'[3]Salary Type'!$A69)</f>
        <v/>
      </c>
    </row>
    <row r="69" spans="1:1">
      <c r="A69" s="17" t="str">
        <f>IF('[3]Salary Type'!$A70="","",'[3]Salary Type'!$A70)</f>
        <v/>
      </c>
    </row>
    <row r="70" spans="1:1">
      <c r="A70" s="17" t="str">
        <f>IF('[3]Salary Type'!$A71="","",'[3]Salary Type'!$A71)</f>
        <v/>
      </c>
    </row>
    <row r="71" spans="1:1">
      <c r="A71" s="17" t="str">
        <f>IF('[3]Salary Type'!$A72="","",'[3]Salary Type'!$A72)</f>
        <v/>
      </c>
    </row>
    <row r="72" spans="1:1">
      <c r="A72" s="17" t="str">
        <f>IF('[3]Salary Type'!$A73="","",'[3]Salary Type'!$A73)</f>
        <v/>
      </c>
    </row>
    <row r="73" spans="1:1">
      <c r="A73" s="17" t="str">
        <f>IF('[3]Salary Type'!$A74="","",'[3]Salary Type'!$A74)</f>
        <v/>
      </c>
    </row>
    <row r="74" spans="1:1">
      <c r="A74" s="17" t="str">
        <f>IF('[3]Salary Type'!$A75="","",'[3]Salary Type'!$A75)</f>
        <v/>
      </c>
    </row>
    <row r="75" spans="1:1">
      <c r="A75" s="17" t="str">
        <f>IF('[3]Salary Type'!$A76="","",'[3]Salary Type'!$A76)</f>
        <v/>
      </c>
    </row>
    <row r="76" spans="1:1">
      <c r="A76" s="17" t="str">
        <f>IF('[3]Salary Type'!$A77="","",'[3]Salary Type'!$A77)</f>
        <v/>
      </c>
    </row>
    <row r="77" spans="1:1">
      <c r="A77" s="17" t="str">
        <f>IF('[3]Salary Type'!$A78="","",'[3]Salary Type'!$A78)</f>
        <v/>
      </c>
    </row>
    <row r="78" spans="1:1">
      <c r="A78" s="17" t="str">
        <f>IF('[3]Salary Type'!$A79="","",'[3]Salary Type'!$A79)</f>
        <v/>
      </c>
    </row>
    <row r="79" spans="1:1">
      <c r="A79" s="17" t="str">
        <f>IF('[3]Salary Type'!$A80="","",'[3]Salary Type'!$A80)</f>
        <v/>
      </c>
    </row>
    <row r="80" spans="1:1">
      <c r="A80" s="17" t="str">
        <f>IF('[3]Salary Type'!$A81="","",'[3]Salary Type'!$A81)</f>
        <v/>
      </c>
    </row>
    <row r="81" spans="1:1">
      <c r="A81" s="17" t="str">
        <f>IF('[3]Salary Type'!$A82="","",'[3]Salary Type'!$A82)</f>
        <v/>
      </c>
    </row>
    <row r="82" spans="1:1">
      <c r="A82" s="17" t="str">
        <f>IF('[3]Salary Type'!$A83="","",'[3]Salary Type'!$A83)</f>
        <v/>
      </c>
    </row>
    <row r="83" spans="1:1">
      <c r="A83" s="17" t="str">
        <f>IF('[3]Salary Type'!$A84="","",'[3]Salary Type'!$A84)</f>
        <v/>
      </c>
    </row>
    <row r="84" spans="1:1">
      <c r="A84" s="17" t="str">
        <f>IF('[3]Salary Type'!$A85="","",'[3]Salary Type'!$A85)</f>
        <v/>
      </c>
    </row>
    <row r="85" spans="1:1">
      <c r="A85" s="17" t="str">
        <f>IF('[3]Salary Type'!$A86="","",'[3]Salary Type'!$A86)</f>
        <v/>
      </c>
    </row>
    <row r="86" spans="1:1">
      <c r="A86" s="17" t="str">
        <f>IF('[3]Salary Type'!$A87="","",'[3]Salary Type'!$A87)</f>
        <v/>
      </c>
    </row>
    <row r="87" spans="1:1">
      <c r="A87" s="17" t="str">
        <f>IF('[3]Salary Type'!$A88="","",'[3]Salary Type'!$A88)</f>
        <v/>
      </c>
    </row>
    <row r="88" spans="1:1">
      <c r="A88" s="17" t="str">
        <f>IF('[3]Salary Type'!$A89="","",'[3]Salary Type'!$A89)</f>
        <v/>
      </c>
    </row>
    <row r="89" spans="1:1">
      <c r="A89" s="17" t="str">
        <f>IF('[3]Salary Type'!$A90="","",'[3]Salary Type'!$A90)</f>
        <v/>
      </c>
    </row>
    <row r="90" spans="1:1">
      <c r="A90" s="17" t="str">
        <f>IF('[3]Salary Type'!$A91="","",'[3]Salary Type'!$A91)</f>
        <v/>
      </c>
    </row>
    <row r="91" spans="1:1">
      <c r="A91" s="17" t="str">
        <f>IF('[3]Salary Type'!$A92="","",'[3]Salary Type'!$A92)</f>
        <v/>
      </c>
    </row>
    <row r="92" spans="1:1">
      <c r="A92" s="17" t="str">
        <f>IF('[3]Salary Type'!$A93="","",'[3]Salary Type'!$A93)</f>
        <v/>
      </c>
    </row>
    <row r="93" spans="1:1">
      <c r="A93" s="17" t="str">
        <f>IF('[3]Salary Type'!$A94="","",'[3]Salary Type'!$A94)</f>
        <v/>
      </c>
    </row>
    <row r="94" spans="1:1">
      <c r="A94" s="17" t="str">
        <f>IF('[3]Salary Type'!$A95="","",'[3]Salary Type'!$A95)</f>
        <v/>
      </c>
    </row>
    <row r="95" spans="1:1">
      <c r="A95" s="17" t="str">
        <f>IF('[3]Salary Type'!$A96="","",'[3]Salary Type'!$A96)</f>
        <v/>
      </c>
    </row>
    <row r="96" spans="1:1">
      <c r="A96" s="17" t="str">
        <f>IF('[3]Salary Type'!$A97="","",'[3]Salary Type'!$A97)</f>
        <v/>
      </c>
    </row>
    <row r="97" spans="1:1">
      <c r="A97" s="17" t="str">
        <f>IF('[3]Salary Type'!$A98="","",'[3]Salary Type'!$A98)</f>
        <v/>
      </c>
    </row>
    <row r="98" spans="1:1">
      <c r="A98" s="17" t="str">
        <f>IF('[3]Salary Type'!$A99="","",'[3]Salary Type'!$A99)</f>
        <v/>
      </c>
    </row>
    <row r="99" spans="1:1">
      <c r="A99" s="17" t="str">
        <f>IF('[3]Salary Type'!$A100="","",'[3]Salary Type'!$A100)</f>
        <v/>
      </c>
    </row>
    <row r="100" spans="1:1">
      <c r="A100" s="17" t="str">
        <f>IF('[3]Salary Type'!$A101="","",'[3]Salary Type'!$A101)</f>
        <v/>
      </c>
    </row>
  </sheetData>
  <sheetProtection password="83AF" sheet="1" objects="1" scenarios="1" formatCells="0" formatColumns="0" formatRows="0"/>
  <customSheetViews>
    <customSheetView guid="{B6007CFB-3D06-43CC-8EB0-042D40129E35}" state="hidden">
      <selection activeCell="O203" sqref="O203"/>
      <pageMargins left="0.7" right="0.7" top="0.75" bottom="0.75" header="0.3" footer="0.3"/>
    </customSheetView>
  </customSheetView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sheetPr codeName="Sheet15"/>
  <dimension ref="A1:B100"/>
  <sheetViews>
    <sheetView workbookViewId="0">
      <selection sqref="A1:A1048576"/>
    </sheetView>
  </sheetViews>
  <sheetFormatPr defaultRowHeight="15"/>
  <cols>
    <col min="1" max="1" width="9.140625" style="139"/>
    <col min="2" max="2" width="118.7109375" style="17" customWidth="1"/>
    <col min="3" max="16384" width="9.140625" style="139"/>
  </cols>
  <sheetData>
    <row r="1" spans="1:2">
      <c r="A1" s="139">
        <f>IF([3]FPS!$A2="","",[3]FPS!$A2)</f>
        <v>1</v>
      </c>
      <c r="B1" s="142" t="str">
        <f>IF([3]FPS!$B2="","",[3]FPS!$B2)</f>
        <v>The average of the highest three consecutive figures in the previous 10 years, minimum 3 tax years</v>
      </c>
    </row>
    <row r="2" spans="1:2">
      <c r="A2" s="139">
        <f>IF([3]FPS!$A3="","",[3]FPS!$A3)</f>
        <v>2</v>
      </c>
      <c r="B2" s="142" t="str">
        <f>IF([3]FPS!$B3="","",[3]FPS!$B3)</f>
        <v>The best figure in 3 years with a maximum of 3 years</v>
      </c>
    </row>
    <row r="3" spans="1:2">
      <c r="A3" s="139">
        <f>IF([3]FPS!$A4="","",[3]FPS!$A4)</f>
        <v>3</v>
      </c>
      <c r="B3" s="142" t="str">
        <f>IF([3]FPS!$B4="","",[3]FPS!$B4)</f>
        <v>The average of the highest three consecutive figures in the previous 10 years, minimum 3 years</v>
      </c>
    </row>
    <row r="4" spans="1:2">
      <c r="A4" s="139">
        <f>IF([3]FPS!$A5="","",[3]FPS!$A5)</f>
        <v>4</v>
      </c>
      <c r="B4" s="142" t="str">
        <f>IF([3]FPS!$B5="","",[3]FPS!$B5)</f>
        <v>The average of the highest three tax years consecutive figures in the previous 10 years, minimum 3 tax years</v>
      </c>
    </row>
    <row r="5" spans="1:2">
      <c r="A5" s="139">
        <f>IF([3]FPS!$A6="","",[3]FPS!$A6)</f>
        <v>5</v>
      </c>
      <c r="B5" s="142" t="str">
        <f>IF([3]FPS!$B6="","",[3]FPS!$B6)</f>
        <v>The average of the highest three DOL anniversary years in the previous 10 years, minimum 4 years</v>
      </c>
    </row>
    <row r="6" spans="1:2">
      <c r="A6" s="139">
        <f>IF([3]FPS!$A7="","",[3]FPS!$A7)</f>
        <v>6</v>
      </c>
      <c r="B6" s="142" t="str">
        <f>IF([3]FPS!$B7="","",[3]FPS!$B7)</f>
        <v>The average of the highest 36 months in the previous 360 months, minimum 3 years</v>
      </c>
    </row>
    <row r="7" spans="1:2">
      <c r="A7" s="139">
        <f>IF([3]FPS!$A8="","",[3]FPS!$A8)</f>
        <v>7</v>
      </c>
      <c r="B7" s="142" t="str">
        <f>IF([3]FPS!$B8="","",[3]FPS!$B8)</f>
        <v>The best figure in the last five years, minimum of 1 year</v>
      </c>
    </row>
    <row r="8" spans="1:2">
      <c r="A8" s="139">
        <f>IF([3]FPS!$A9="","",[3]FPS!$A9)</f>
        <v>8</v>
      </c>
      <c r="B8" s="142" t="str">
        <f>IF([3]FPS!$B9="","",[3]FPS!$B9)</f>
        <v>The last figure, minimum 1 salary</v>
      </c>
    </row>
    <row r="9" spans="1:2">
      <c r="A9" s="139">
        <f>IF([3]FPS!$A10="","",[3]FPS!$A10)</f>
        <v>9</v>
      </c>
      <c r="B9" s="142" t="str">
        <f>IF([3]FPS!$B10="","",[3]FPS!$B10)</f>
        <v>The current salary</v>
      </c>
    </row>
    <row r="10" spans="1:2">
      <c r="A10" s="139">
        <f>IF([3]FPS!$A11="","",[3]FPS!$A11)</f>
        <v>10</v>
      </c>
      <c r="B10" s="142" t="str">
        <f>IF([3]FPS!$B11="","",[3]FPS!$B11)</f>
        <v>The average of the highest three consecutive figures in the previous 13 years, minimum of 3 salaries</v>
      </c>
    </row>
    <row r="11" spans="1:2">
      <c r="A11" s="139">
        <f>IF([3]FPS!$A12="","",[3]FPS!$A12)</f>
        <v>11</v>
      </c>
      <c r="B11" s="142" t="str">
        <f>IF([3]FPS!$B12="","",[3]FPS!$B12)</f>
        <v>The average of the figures in the previous 2 years, minimum of 2 salaries, maximum of 3 salaries</v>
      </c>
    </row>
    <row r="12" spans="1:2">
      <c r="A12" s="139">
        <f>IF([3]FPS!$A13="","",[3]FPS!$A13)</f>
        <v>12</v>
      </c>
      <c r="B12" s="142" t="str">
        <f>IF([3]FPS!$B13="","",[3]FPS!$B13)</f>
        <v>The best 12 months in the last 36 months, miminum of 12 months</v>
      </c>
    </row>
    <row r="13" spans="1:2">
      <c r="A13" s="139">
        <f>IF([3]FPS!$A14="","",[3]FPS!$A14)</f>
        <v>13</v>
      </c>
      <c r="B13" s="142" t="str">
        <f>IF([3]FPS!$B14="","",[3]FPS!$B14)</f>
        <v>The best years figure in last 3 years, pro rated with no fixed review date, minimum 1 year</v>
      </c>
    </row>
    <row r="14" spans="1:2" ht="30">
      <c r="A14" s="139">
        <f>IF([3]FPS!$A15="","",[3]FPS!$A15)</f>
        <v>14</v>
      </c>
      <c r="B14" s="142" t="str">
        <f>IF([3]FPS!$B15="","",[3]FPS!$B15)</f>
        <v>The best figure (excluding emoluments) in the last five years plus the average emoluments over the previous 3 years, minimum of 12 months</v>
      </c>
    </row>
    <row r="15" spans="1:2">
      <c r="A15" s="139">
        <f>IF([3]FPS!$A16="","",[3]FPS!$A16)</f>
        <v>15</v>
      </c>
      <c r="B15" s="142" t="str">
        <f>IF([3]FPS!$B16="","",[3]FPS!$B16)</f>
        <v>The average three figures including emoluments in the last ten years, minimum of 12 months</v>
      </c>
    </row>
    <row r="16" spans="1:2">
      <c r="A16" s="139">
        <f>IF([3]FPS!$A17="","",[3]FPS!$A17)</f>
        <v>16</v>
      </c>
      <c r="B16" s="142" t="str">
        <f>IF([3]FPS!$B17="","",[3]FPS!$B17)</f>
        <v>The best figure in the last three years</v>
      </c>
    </row>
    <row r="17" spans="1:2">
      <c r="A17" s="139">
        <f>IF([3]FPS!$A18="","",[3]FPS!$A18)</f>
        <v>17</v>
      </c>
      <c r="B17" s="142" t="str">
        <f>IF([3]FPS!$B18="","",[3]FPS!$B18)</f>
        <v>Last 12 months earnings, pro rated by days, with no review date, miminum 12 months</v>
      </c>
    </row>
    <row r="18" spans="1:2">
      <c r="A18" s="139">
        <f>IF([3]FPS!$A19="","",[3]FPS!$A19)</f>
        <v>18</v>
      </c>
      <c r="B18" s="142" t="str">
        <f>IF([3]FPS!$B19="","",[3]FPS!$B19)</f>
        <v>Last 12 months, minimum of 12 months</v>
      </c>
    </row>
    <row r="19" spans="1:2">
      <c r="A19" s="139">
        <f>IF([3]FPS!$A20="","",[3]FPS!$A20)</f>
        <v>19</v>
      </c>
      <c r="B19" s="142" t="str">
        <f>IF([3]FPS!$B20="","",[3]FPS!$B20)</f>
        <v>Last 12 months, pro rated by months, with no review date, minimum 12 months</v>
      </c>
    </row>
    <row r="20" spans="1:2">
      <c r="A20" s="139">
        <f>IF([3]FPS!$A21="","",[3]FPS!$A21)</f>
        <v>20</v>
      </c>
      <c r="B20" s="142" t="str">
        <f>IF([3]FPS!$B21="","",[3]FPS!$B21)</f>
        <v>Last 12 months, pro rated by weeks, with no review date, minimum of 52 weeks</v>
      </c>
    </row>
    <row r="21" spans="1:2">
      <c r="A21" s="139">
        <f>IF([3]FPS!$A22="","",[3]FPS!$A22)</f>
        <v>21</v>
      </c>
      <c r="B21" s="142" t="str">
        <f>IF([3]FPS!$B22="","",[3]FPS!$B22)</f>
        <v>The average of the figures in the previous 3 years</v>
      </c>
    </row>
    <row r="22" spans="1:2">
      <c r="A22" s="139">
        <f>IF([3]FPS!$A23="","",[3]FPS!$A23)</f>
        <v>22</v>
      </c>
      <c r="B22" s="142" t="str">
        <f>IF([3]FPS!$B23="","",[3]FPS!$B23)</f>
        <v>The best 12 months in the previous 36 months, minimum of 12 months, maximum of 36</v>
      </c>
    </row>
    <row r="23" spans="1:2">
      <c r="A23" s="139">
        <f>IF([3]FPS!$A24="","",[3]FPS!$A24)</f>
        <v>23</v>
      </c>
      <c r="B23" s="142" t="str">
        <f>IF([3]FPS!$B24="","",[3]FPS!$B24)</f>
        <v>The best figure in the last 5 years, minimum of 1 year</v>
      </c>
    </row>
    <row r="24" spans="1:2">
      <c r="A24" s="139">
        <f>IF([3]FPS!$A25="","",[3]FPS!$A25)</f>
        <v>24</v>
      </c>
      <c r="B24" s="142" t="str">
        <f>IF([3]FPS!$B25="","",[3]FPS!$B25)</f>
        <v>The best figure in the last 5 years</v>
      </c>
    </row>
    <row r="25" spans="1:2">
      <c r="A25" s="139">
        <f>IF([3]FPS!$A26="","",[3]FPS!$A26)</f>
        <v>25</v>
      </c>
      <c r="B25" s="142" t="str">
        <f>IF([3]FPS!$B26="","",[3]FPS!$B26)</f>
        <v>The best figure in the last 5 years plus the average bonus over the previous 3 years, minimum of 1 year</v>
      </c>
    </row>
    <row r="26" spans="1:2">
      <c r="A26" s="139">
        <f>IF([3]FPS!$A27="","",[3]FPS!$A27)</f>
        <v>26</v>
      </c>
      <c r="B26" s="142" t="str">
        <f>IF([3]FPS!$B27="","",[3]FPS!$B27)</f>
        <v>The best figure in the last four years</v>
      </c>
    </row>
    <row r="27" spans="1:2">
      <c r="A27" s="139">
        <f>IF([3]FPS!$A28="","",[3]FPS!$A28)</f>
        <v>27</v>
      </c>
      <c r="B27" s="142" t="str">
        <f>IF([3]FPS!$B28="","",[3]FPS!$B28)</f>
        <v>The best figure in the last four salaries</v>
      </c>
    </row>
    <row r="28" spans="1:2">
      <c r="A28" s="139">
        <f>IF([3]FPS!$A29="","",[3]FPS!$A29)</f>
        <v>28</v>
      </c>
      <c r="B28" s="142" t="str">
        <f>IF([3]FPS!$B29="","",[3]FPS!$B29)</f>
        <v>The last 12 months pro rated by days up to 1 year where the members service is less than 1 year</v>
      </c>
    </row>
    <row r="29" spans="1:2">
      <c r="A29" s="139">
        <f>IF([3]FPS!$A30="","",[3]FPS!$A30)</f>
        <v>29</v>
      </c>
      <c r="B29" s="142" t="str">
        <f>IF([3]FPS!$B30="","",[3]FPS!$B30)</f>
        <v>The last 12 months pro rated by months up to 1 year where the members service is less than 1 year</v>
      </c>
    </row>
    <row r="30" spans="1:2">
      <c r="A30" s="139">
        <f>IF([3]FPS!$A31="","",[3]FPS!$A31)</f>
        <v>30</v>
      </c>
      <c r="B30" s="142" t="str">
        <f>IF([3]FPS!$B31="","",[3]FPS!$B31)</f>
        <v>The last 12 months pro rated by weeks up to 1 year where the members service is less than 1 year</v>
      </c>
    </row>
    <row r="31" spans="1:2">
      <c r="A31" s="139">
        <f>IF([3]FPS!$A32="","",[3]FPS!$A32)</f>
        <v>31</v>
      </c>
      <c r="B31" s="142" t="str">
        <f>IF([3]FPS!$B32="","",[3]FPS!$B32)</f>
        <v>The average of the highest 2 consecutive figures in the previous 10 years, minimum 2 years</v>
      </c>
    </row>
    <row r="32" spans="1:2">
      <c r="A32" s="139">
        <f>IF([3]FPS!$A33="","",[3]FPS!$A33)</f>
        <v>32</v>
      </c>
      <c r="B32" s="142" t="str">
        <f>IF([3]FPS!$B33="","",[3]FPS!$B33)</f>
        <v>The average of the highest 3 non-consecutive figures in the previous 10 years, minimum 3 years</v>
      </c>
    </row>
    <row r="33" spans="1:2">
      <c r="A33" s="139">
        <f>IF([3]FPS!$A34="","",[3]FPS!$A34)</f>
        <v>33</v>
      </c>
      <c r="B33" s="142" t="str">
        <f>IF([3]FPS!$B34="","",[3]FPS!$B34)</f>
        <v>The best figure in the last ten years, minimum 1 year</v>
      </c>
    </row>
    <row r="34" spans="1:2">
      <c r="A34" s="139">
        <f>IF([3]FPS!$A35="","",[3]FPS!$A35)</f>
        <v>34</v>
      </c>
      <c r="B34" s="142" t="str">
        <f>IF([3]FPS!$B35="","",[3]FPS!$B35)</f>
        <v>Average of the highest 36 months in last 120 months, pro rated by months, with no review date, minimum of 36 months</v>
      </c>
    </row>
    <row r="35" spans="1:2">
      <c r="A35" s="139">
        <f>IF([3]FPS!$A36="","",[3]FPS!$A36)</f>
        <v>35</v>
      </c>
      <c r="B35" s="142" t="str">
        <f>IF([3]FPS!$B36="","",[3]FPS!$B36)</f>
        <v>The average of the figures in the previous 36 months, minimum of 36 months</v>
      </c>
    </row>
    <row r="36" spans="1:2">
      <c r="A36" s="139">
        <f>IF([3]FPS!$A37="","",[3]FPS!$A37)</f>
        <v>36</v>
      </c>
      <c r="B36" s="142" t="str">
        <f>IF([3]FPS!$B37="","",[3]FPS!$B37)</f>
        <v>The highest figure, minimum of 12 months</v>
      </c>
    </row>
    <row r="37" spans="1:2">
      <c r="A37" s="139">
        <f>IF([3]FPS!$A38="","",[3]FPS!$A38)</f>
        <v>37</v>
      </c>
      <c r="B37" s="142" t="str">
        <f>IF([3]FPS!$B38="","",[3]FPS!$B38)</f>
        <v>The average figure over a period less than 3 years of service, plus the average of bonuses paid in that period</v>
      </c>
    </row>
    <row r="38" spans="1:2">
      <c r="A38" s="139">
        <f>IF([3]FPS!$A39="","",[3]FPS!$A39)</f>
        <v>38</v>
      </c>
      <c r="B38" s="142" t="str">
        <f>IF([3]FPS!$B39="","",[3]FPS!$B39)</f>
        <v>The figure 1 year before, minimum of 2 years</v>
      </c>
    </row>
    <row r="39" spans="1:2">
      <c r="A39" s="139">
        <f>IF([3]FPS!$A40="","",[3]FPS!$A40)</f>
        <v>39</v>
      </c>
      <c r="B39" s="142" t="str">
        <f>IF([3]FPS!$B40="","",[3]FPS!$B40)</f>
        <v>The highest 365 days in the last 5 years, minimum of 1 years</v>
      </c>
    </row>
    <row r="40" spans="1:2">
      <c r="A40" s="139">
        <f>IF([3]FPS!$A41="","",[3]FPS!$A41)</f>
        <v>40</v>
      </c>
      <c r="B40" s="142" t="str">
        <f>IF([3]FPS!$B41="","",[3]FPS!$B41)</f>
        <v>The highest average figure over 3 consecutive years of service during 10 years, minimum of 3 years</v>
      </c>
    </row>
    <row r="41" spans="1:2">
      <c r="A41" s="139">
        <f>IF([3]FPS!$A42="","",[3]FPS!$A42)</f>
        <v>41</v>
      </c>
      <c r="B41" s="142" t="str">
        <f>IF([3]FPS!$B42="","",[3]FPS!$B42)</f>
        <v>The last figure, minimum 1 salary, maximum 2 salaries</v>
      </c>
    </row>
    <row r="42" spans="1:2">
      <c r="A42" s="139">
        <f>IF([3]FPS!$A43="","",[3]FPS!$A43)</f>
        <v>42</v>
      </c>
      <c r="B42" s="142" t="str">
        <f>IF([3]FPS!$B43="","",[3]FPS!$B43)</f>
        <v>The average three figures including emoluments in the last ten years, minimum of 3 tax years</v>
      </c>
    </row>
    <row r="43" spans="1:2">
      <c r="A43" s="139">
        <f>IF([3]FPS!$A44="","",[3]FPS!$A44)</f>
        <v>43</v>
      </c>
      <c r="B43" s="142" t="str">
        <f>IF([3]FPS!$B44="","",[3]FPS!$B44)</f>
        <v>The average of the pensionable salaries in the previous 3 years</v>
      </c>
    </row>
    <row r="44" spans="1:2">
      <c r="A44" s="139">
        <f>IF([3]FPS!$A45="","",[3]FPS!$A45)</f>
        <v>44</v>
      </c>
      <c r="B44" s="142" t="str">
        <f>IF([3]FPS!$B45="","",[3]FPS!$B45)</f>
        <v>The average of the highest three consecutive pensionable salaries in the previous 13 years with earnings cap</v>
      </c>
    </row>
    <row r="45" spans="1:2">
      <c r="A45" s="139">
        <f>IF([3]FPS!$A46="","",[3]FPS!$A46)</f>
        <v>45</v>
      </c>
      <c r="B45" s="142" t="str">
        <f>IF([3]FPS!$B46="","",[3]FPS!$B46)</f>
        <v>The average of the highest three consecutive pensionable salaries in the previous 13 years with fixed cap of £50000</v>
      </c>
    </row>
    <row r="46" spans="1:2">
      <c r="A46" s="139" t="str">
        <f>IF([3]FPS!$A47="","",[3]FPS!$A47)</f>
        <v/>
      </c>
      <c r="B46" s="142" t="str">
        <f>IF([3]FPS!$B47="","",[3]FPS!$B47)</f>
        <v/>
      </c>
    </row>
    <row r="47" spans="1:2">
      <c r="A47" s="139" t="str">
        <f>IF([3]FPS!$A48="","",[3]FPS!$A48)</f>
        <v/>
      </c>
      <c r="B47" s="142" t="str">
        <f>IF([3]FPS!$B48="","",[3]FPS!$B48)</f>
        <v/>
      </c>
    </row>
    <row r="48" spans="1:2">
      <c r="A48" s="139" t="str">
        <f>IF([3]FPS!$A49="","",[3]FPS!$A49)</f>
        <v/>
      </c>
      <c r="B48" s="142" t="str">
        <f>IF([3]FPS!$B49="","",[3]FPS!$B49)</f>
        <v/>
      </c>
    </row>
    <row r="49" spans="1:2">
      <c r="A49" s="139" t="str">
        <f>IF([3]FPS!$A50="","",[3]FPS!$A50)</f>
        <v/>
      </c>
      <c r="B49" s="142" t="str">
        <f>IF([3]FPS!$B50="","",[3]FPS!$B50)</f>
        <v/>
      </c>
    </row>
    <row r="50" spans="1:2">
      <c r="A50" s="139" t="str">
        <f>IF([3]FPS!$A51="","",[3]FPS!$A51)</f>
        <v/>
      </c>
      <c r="B50" s="142" t="str">
        <f>IF([3]FPS!$B51="","",[3]FPS!$B51)</f>
        <v/>
      </c>
    </row>
    <row r="51" spans="1:2">
      <c r="A51" s="139" t="str">
        <f>IF([3]FPS!$A52="","",[3]FPS!$A52)</f>
        <v/>
      </c>
      <c r="B51" s="142" t="str">
        <f>IF([3]FPS!$B52="","",[3]FPS!$B52)</f>
        <v/>
      </c>
    </row>
    <row r="52" spans="1:2">
      <c r="A52" s="139" t="str">
        <f>IF([3]FPS!$A53="","",[3]FPS!$A53)</f>
        <v/>
      </c>
      <c r="B52" s="142" t="str">
        <f>IF([3]FPS!$B53="","",[3]FPS!$B53)</f>
        <v/>
      </c>
    </row>
    <row r="53" spans="1:2">
      <c r="A53" s="139" t="str">
        <f>IF([3]FPS!$A54="","",[3]FPS!$A54)</f>
        <v/>
      </c>
      <c r="B53" s="142" t="str">
        <f>IF([3]FPS!$B54="","",[3]FPS!$B54)</f>
        <v/>
      </c>
    </row>
    <row r="54" spans="1:2">
      <c r="A54" s="139" t="str">
        <f>IF([3]FPS!$A55="","",[3]FPS!$A55)</f>
        <v/>
      </c>
      <c r="B54" s="142" t="str">
        <f>IF([3]FPS!$B55="","",[3]FPS!$B55)</f>
        <v/>
      </c>
    </row>
    <row r="55" spans="1:2">
      <c r="A55" s="139" t="str">
        <f>IF([3]FPS!$A56="","",[3]FPS!$A56)</f>
        <v/>
      </c>
      <c r="B55" s="142" t="str">
        <f>IF([3]FPS!$B56="","",[3]FPS!$B56)</f>
        <v/>
      </c>
    </row>
    <row r="56" spans="1:2">
      <c r="A56" s="139" t="str">
        <f>IF([3]FPS!$A57="","",[3]FPS!$A57)</f>
        <v/>
      </c>
      <c r="B56" s="142" t="str">
        <f>IF([3]FPS!$B57="","",[3]FPS!$B57)</f>
        <v/>
      </c>
    </row>
    <row r="57" spans="1:2">
      <c r="A57" s="139" t="str">
        <f>IF([3]FPS!$A58="","",[3]FPS!$A58)</f>
        <v/>
      </c>
      <c r="B57" s="142" t="str">
        <f>IF([3]FPS!$B58="","",[3]FPS!$B58)</f>
        <v/>
      </c>
    </row>
    <row r="58" spans="1:2">
      <c r="A58" s="139" t="str">
        <f>IF([3]FPS!$A59="","",[3]FPS!$A59)</f>
        <v/>
      </c>
      <c r="B58" s="142" t="str">
        <f>IF([3]FPS!$B59="","",[3]FPS!$B59)</f>
        <v/>
      </c>
    </row>
    <row r="59" spans="1:2">
      <c r="A59" s="139" t="str">
        <f>IF([3]FPS!$A60="","",[3]FPS!$A60)</f>
        <v/>
      </c>
      <c r="B59" s="142" t="str">
        <f>IF([3]FPS!$B60="","",[3]FPS!$B60)</f>
        <v/>
      </c>
    </row>
    <row r="60" spans="1:2">
      <c r="A60" s="139" t="str">
        <f>IF([3]FPS!$A61="","",[3]FPS!$A61)</f>
        <v/>
      </c>
      <c r="B60" s="142" t="str">
        <f>IF([3]FPS!$B61="","",[3]FPS!$B61)</f>
        <v/>
      </c>
    </row>
    <row r="61" spans="1:2">
      <c r="A61" s="139" t="str">
        <f>IF([3]FPS!$A62="","",[3]FPS!$A62)</f>
        <v/>
      </c>
      <c r="B61" s="142" t="str">
        <f>IF([3]FPS!$B62="","",[3]FPS!$B62)</f>
        <v/>
      </c>
    </row>
    <row r="62" spans="1:2">
      <c r="A62" s="139" t="str">
        <f>IF([3]FPS!$A63="","",[3]FPS!$A63)</f>
        <v/>
      </c>
      <c r="B62" s="142" t="str">
        <f>IF([3]FPS!$B63="","",[3]FPS!$B63)</f>
        <v/>
      </c>
    </row>
    <row r="63" spans="1:2">
      <c r="A63" s="139" t="str">
        <f>IF([3]FPS!$A64="","",[3]FPS!$A64)</f>
        <v/>
      </c>
      <c r="B63" s="142" t="str">
        <f>IF([3]FPS!$B64="","",[3]FPS!$B64)</f>
        <v/>
      </c>
    </row>
    <row r="64" spans="1:2">
      <c r="A64" s="139" t="str">
        <f>IF([3]FPS!$A65="","",[3]FPS!$A65)</f>
        <v/>
      </c>
      <c r="B64" s="142" t="str">
        <f>IF([3]FPS!$B65="","",[3]FPS!$B65)</f>
        <v/>
      </c>
    </row>
    <row r="65" spans="1:2">
      <c r="A65" s="139" t="str">
        <f>IF([3]FPS!$A66="","",[3]FPS!$A66)</f>
        <v/>
      </c>
      <c r="B65" s="142" t="str">
        <f>IF([3]FPS!$B66="","",[3]FPS!$B66)</f>
        <v/>
      </c>
    </row>
    <row r="66" spans="1:2">
      <c r="A66" s="139" t="str">
        <f>IF([3]FPS!$A67="","",[3]FPS!$A67)</f>
        <v/>
      </c>
      <c r="B66" s="142" t="str">
        <f>IF([3]FPS!$B67="","",[3]FPS!$B67)</f>
        <v/>
      </c>
    </row>
    <row r="67" spans="1:2">
      <c r="A67" s="139" t="str">
        <f>IF([3]FPS!$A68="","",[3]FPS!$A68)</f>
        <v/>
      </c>
      <c r="B67" s="142" t="str">
        <f>IF([3]FPS!$B68="","",[3]FPS!$B68)</f>
        <v/>
      </c>
    </row>
    <row r="68" spans="1:2">
      <c r="A68" s="139" t="str">
        <f>IF([3]FPS!$A69="","",[3]FPS!$A69)</f>
        <v/>
      </c>
      <c r="B68" s="142" t="str">
        <f>IF([3]FPS!$B69="","",[3]FPS!$B69)</f>
        <v/>
      </c>
    </row>
    <row r="69" spans="1:2">
      <c r="A69" s="139" t="str">
        <f>IF([3]FPS!$A70="","",[3]FPS!$A70)</f>
        <v/>
      </c>
      <c r="B69" s="142" t="str">
        <f>IF([3]FPS!$B70="","",[3]FPS!$B70)</f>
        <v/>
      </c>
    </row>
    <row r="70" spans="1:2">
      <c r="A70" s="139" t="str">
        <f>IF([3]FPS!$A71="","",[3]FPS!$A71)</f>
        <v/>
      </c>
      <c r="B70" s="142" t="str">
        <f>IF([3]FPS!$B71="","",[3]FPS!$B71)</f>
        <v/>
      </c>
    </row>
    <row r="71" spans="1:2">
      <c r="A71" s="139" t="str">
        <f>IF([3]FPS!$A72="","",[3]FPS!$A72)</f>
        <v/>
      </c>
      <c r="B71" s="142" t="str">
        <f>IF([3]FPS!$B72="","",[3]FPS!$B72)</f>
        <v/>
      </c>
    </row>
    <row r="72" spans="1:2">
      <c r="A72" s="139" t="str">
        <f>IF([3]FPS!$A73="","",[3]FPS!$A73)</f>
        <v/>
      </c>
      <c r="B72" s="142" t="str">
        <f>IF([3]FPS!$B73="","",[3]FPS!$B73)</f>
        <v/>
      </c>
    </row>
    <row r="73" spans="1:2">
      <c r="A73" s="139" t="str">
        <f>IF([3]FPS!$A74="","",[3]FPS!$A74)</f>
        <v/>
      </c>
      <c r="B73" s="142" t="str">
        <f>IF([3]FPS!$B74="","",[3]FPS!$B74)</f>
        <v/>
      </c>
    </row>
    <row r="74" spans="1:2">
      <c r="A74" s="139" t="str">
        <f>IF([3]FPS!$A75="","",[3]FPS!$A75)</f>
        <v/>
      </c>
      <c r="B74" s="142" t="str">
        <f>IF([3]FPS!$B75="","",[3]FPS!$B75)</f>
        <v/>
      </c>
    </row>
    <row r="75" spans="1:2">
      <c r="A75" s="139" t="str">
        <f>IF([3]FPS!$A76="","",[3]FPS!$A76)</f>
        <v/>
      </c>
      <c r="B75" s="142" t="str">
        <f>IF([3]FPS!$B76="","",[3]FPS!$B76)</f>
        <v/>
      </c>
    </row>
    <row r="76" spans="1:2">
      <c r="A76" s="139" t="str">
        <f>IF([3]FPS!$A77="","",[3]FPS!$A77)</f>
        <v/>
      </c>
      <c r="B76" s="142" t="str">
        <f>IF([3]FPS!$B77="","",[3]FPS!$B77)</f>
        <v/>
      </c>
    </row>
    <row r="77" spans="1:2">
      <c r="A77" s="139" t="str">
        <f>IF([3]FPS!$A78="","",[3]FPS!$A78)</f>
        <v/>
      </c>
      <c r="B77" s="142" t="str">
        <f>IF([3]FPS!$B78="","",[3]FPS!$B78)</f>
        <v/>
      </c>
    </row>
    <row r="78" spans="1:2">
      <c r="A78" s="139" t="str">
        <f>IF([3]FPS!$A79="","",[3]FPS!$A79)</f>
        <v/>
      </c>
      <c r="B78" s="142" t="str">
        <f>IF([3]FPS!$B79="","",[3]FPS!$B79)</f>
        <v/>
      </c>
    </row>
    <row r="79" spans="1:2">
      <c r="A79" s="139" t="str">
        <f>IF([3]FPS!$A80="","",[3]FPS!$A80)</f>
        <v/>
      </c>
      <c r="B79" s="142" t="str">
        <f>IF([3]FPS!$B80="","",[3]FPS!$B80)</f>
        <v/>
      </c>
    </row>
    <row r="80" spans="1:2">
      <c r="A80" s="139" t="str">
        <f>IF([3]FPS!$A81="","",[3]FPS!$A81)</f>
        <v/>
      </c>
      <c r="B80" s="142" t="str">
        <f>IF([3]FPS!$B81="","",[3]FPS!$B81)</f>
        <v/>
      </c>
    </row>
    <row r="81" spans="1:2">
      <c r="A81" s="139" t="str">
        <f>IF([3]FPS!$A82="","",[3]FPS!$A82)</f>
        <v/>
      </c>
      <c r="B81" s="142" t="str">
        <f>IF([3]FPS!$B82="","",[3]FPS!$B82)</f>
        <v/>
      </c>
    </row>
    <row r="82" spans="1:2">
      <c r="A82" s="139" t="str">
        <f>IF([3]FPS!$A83="","",[3]FPS!$A83)</f>
        <v/>
      </c>
      <c r="B82" s="142" t="str">
        <f>IF([3]FPS!$B83="","",[3]FPS!$B83)</f>
        <v/>
      </c>
    </row>
    <row r="83" spans="1:2">
      <c r="A83" s="139" t="str">
        <f>IF([3]FPS!$A84="","",[3]FPS!$A84)</f>
        <v/>
      </c>
      <c r="B83" s="142" t="str">
        <f>IF([3]FPS!$B84="","",[3]FPS!$B84)</f>
        <v/>
      </c>
    </row>
    <row r="84" spans="1:2">
      <c r="A84" s="139" t="str">
        <f>IF([3]FPS!$A85="","",[3]FPS!$A85)</f>
        <v/>
      </c>
      <c r="B84" s="142" t="str">
        <f>IF([3]FPS!$B85="","",[3]FPS!$B85)</f>
        <v/>
      </c>
    </row>
    <row r="85" spans="1:2">
      <c r="A85" s="139" t="str">
        <f>IF([3]FPS!$A86="","",[3]FPS!$A86)</f>
        <v/>
      </c>
      <c r="B85" s="142" t="str">
        <f>IF([3]FPS!$B86="","",[3]FPS!$B86)</f>
        <v/>
      </c>
    </row>
    <row r="86" spans="1:2">
      <c r="A86" s="139" t="str">
        <f>IF([3]FPS!$A87="","",[3]FPS!$A87)</f>
        <v/>
      </c>
      <c r="B86" s="142" t="str">
        <f>IF([3]FPS!$B87="","",[3]FPS!$B87)</f>
        <v/>
      </c>
    </row>
    <row r="87" spans="1:2">
      <c r="A87" s="139" t="str">
        <f>IF([3]FPS!$A88="","",[3]FPS!$A88)</f>
        <v/>
      </c>
      <c r="B87" s="142" t="str">
        <f>IF([3]FPS!$B88="","",[3]FPS!$B88)</f>
        <v/>
      </c>
    </row>
    <row r="88" spans="1:2">
      <c r="A88" s="139" t="str">
        <f>IF([3]FPS!$A89="","",[3]FPS!$A89)</f>
        <v/>
      </c>
      <c r="B88" s="142" t="str">
        <f>IF([3]FPS!$B89="","",[3]FPS!$B89)</f>
        <v/>
      </c>
    </row>
    <row r="89" spans="1:2">
      <c r="A89" s="139" t="str">
        <f>IF([3]FPS!$A90="","",[3]FPS!$A90)</f>
        <v/>
      </c>
      <c r="B89" s="142" t="str">
        <f>IF([3]FPS!$B90="","",[3]FPS!$B90)</f>
        <v/>
      </c>
    </row>
    <row r="90" spans="1:2">
      <c r="A90" s="139" t="str">
        <f>IF([3]FPS!$A91="","",[3]FPS!$A91)</f>
        <v/>
      </c>
      <c r="B90" s="142" t="str">
        <f>IF([3]FPS!$B91="","",[3]FPS!$B91)</f>
        <v/>
      </c>
    </row>
    <row r="91" spans="1:2">
      <c r="A91" s="139" t="str">
        <f>IF([3]FPS!$A92="","",[3]FPS!$A92)</f>
        <v/>
      </c>
      <c r="B91" s="142" t="str">
        <f>IF([3]FPS!$B92="","",[3]FPS!$B92)</f>
        <v/>
      </c>
    </row>
    <row r="92" spans="1:2">
      <c r="A92" s="139" t="str">
        <f>IF([3]FPS!$A93="","",[3]FPS!$A93)</f>
        <v/>
      </c>
      <c r="B92" s="142" t="str">
        <f>IF([3]FPS!$B93="","",[3]FPS!$B93)</f>
        <v/>
      </c>
    </row>
    <row r="93" spans="1:2">
      <c r="A93" s="139" t="str">
        <f>IF([3]FPS!$A94="","",[3]FPS!$A94)</f>
        <v/>
      </c>
      <c r="B93" s="142" t="str">
        <f>IF([3]FPS!$B94="","",[3]FPS!$B94)</f>
        <v/>
      </c>
    </row>
    <row r="94" spans="1:2">
      <c r="A94" s="139" t="str">
        <f>IF([3]FPS!$A95="","",[3]FPS!$A95)</f>
        <v/>
      </c>
      <c r="B94" s="142" t="str">
        <f>IF([3]FPS!$B95="","",[3]FPS!$B95)</f>
        <v/>
      </c>
    </row>
    <row r="95" spans="1:2">
      <c r="A95" s="139" t="str">
        <f>IF([3]FPS!$A96="","",[3]FPS!$A96)</f>
        <v/>
      </c>
      <c r="B95" s="142" t="str">
        <f>IF([3]FPS!$B96="","",[3]FPS!$B96)</f>
        <v/>
      </c>
    </row>
    <row r="96" spans="1:2">
      <c r="A96" s="139" t="str">
        <f>IF([3]FPS!$A97="","",[3]FPS!$A97)</f>
        <v/>
      </c>
      <c r="B96" s="142" t="str">
        <f>IF([3]FPS!$B97="","",[3]FPS!$B97)</f>
        <v/>
      </c>
    </row>
    <row r="97" spans="1:2">
      <c r="A97" s="139" t="str">
        <f>IF([3]FPS!$A98="","",[3]FPS!$A98)</f>
        <v/>
      </c>
      <c r="B97" s="142" t="str">
        <f>IF([3]FPS!$B98="","",[3]FPS!$B98)</f>
        <v/>
      </c>
    </row>
    <row r="98" spans="1:2">
      <c r="A98" s="139" t="str">
        <f>IF([3]FPS!$A99="","",[3]FPS!$A99)</f>
        <v/>
      </c>
      <c r="B98" s="142" t="str">
        <f>IF([3]FPS!$B99="","",[3]FPS!$B99)</f>
        <v/>
      </c>
    </row>
    <row r="99" spans="1:2">
      <c r="A99" s="139" t="str">
        <f>IF([3]FPS!$A100="","",[3]FPS!$A100)</f>
        <v/>
      </c>
      <c r="B99" s="142" t="str">
        <f>IF([3]FPS!$B100="","",[3]FPS!$B100)</f>
        <v/>
      </c>
    </row>
    <row r="100" spans="1:2">
      <c r="A100" s="139" t="str">
        <f>IF([3]FPS!$A101="","",[3]FPS!$A101)</f>
        <v/>
      </c>
      <c r="B100" s="142" t="str">
        <f>IF([3]FPS!$B101="","",[3]FPS!$B101)</f>
        <v/>
      </c>
    </row>
  </sheetData>
  <sheetProtection password="83AF" sheet="1" objects="1" scenarios="1" formatCells="0" formatColumns="0" formatRows="0"/>
  <customSheetViews>
    <customSheetView guid="{B6007CFB-3D06-43CC-8EB0-042D40129E35}" state="hidden" topLeftCell="A13">
      <selection activeCell="O203" sqref="O203"/>
      <pageMargins left="0.7" right="0.7" top="0.75" bottom="0.75" header="0.3" footer="0.3"/>
    </customSheetView>
  </customSheetView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sheetPr codeName="Sheet16"/>
  <dimension ref="A1:D150"/>
  <sheetViews>
    <sheetView workbookViewId="0">
      <selection activeCell="C20" sqref="C20"/>
    </sheetView>
  </sheetViews>
  <sheetFormatPr defaultRowHeight="15"/>
  <cols>
    <col min="1" max="1" width="44.85546875" customWidth="1"/>
    <col min="2" max="3" width="25.5703125" bestFit="1" customWidth="1"/>
    <col min="4" max="4" width="43.85546875" customWidth="1"/>
  </cols>
  <sheetData>
    <row r="1" spans="1:4">
      <c r="A1" s="139" t="str">
        <f>IF('[3]Deferred Elements'!$A2="","",'[3]Deferred Elements'!$A2)</f>
        <v>2000 to 2003 Increasing Pension</v>
      </c>
      <c r="B1" s="139" t="str">
        <f>IF('[3]Deferred Elements'!$B2="","",'[3]Deferred Elements'!$B2)</f>
        <v>Pre 88 Barber GMP</v>
      </c>
      <c r="C1" s="139" t="str">
        <f>IF('[3]Deferred Elements'!$C2="","",'[3]Deferred Elements'!$C2)</f>
        <v>88 to Barber GMP</v>
      </c>
      <c r="D1" s="139" t="str">
        <f>IF('[3]Deferred Elements'!$D2="","",'[3]Deferred Elements'!$D2)</f>
        <v>2000 to 2003 Increasing Pension</v>
      </c>
    </row>
    <row r="2" spans="1:4">
      <c r="A2" s="139" t="str">
        <f>IF('[3]Deferred Elements'!$A3="","",'[3]Deferred Elements'!$A3)</f>
        <v>2001 to 2007 Increasing Pension</v>
      </c>
      <c r="B2" s="139" t="str">
        <f>IF('[3]Deferred Elements'!$B3="","",'[3]Deferred Elements'!$B3)</f>
        <v>Pre 88 GMP</v>
      </c>
      <c r="C2" s="139" t="str">
        <f>IF('[3]Deferred Elements'!$C3="","",'[3]Deferred Elements'!$C3)</f>
        <v>Barber to Equalisation GMP</v>
      </c>
      <c r="D2" s="139" t="str">
        <f>IF('[3]Deferred Elements'!$D3="","",'[3]Deferred Elements'!$D3)</f>
        <v>2001 to 2007 Increasing Pension</v>
      </c>
    </row>
    <row r="3" spans="1:4">
      <c r="A3" s="139" t="str">
        <f>IF('[3]Deferred Elements'!$A4="","",'[3]Deferred Elements'!$A4)</f>
        <v>2002 to 2006 Increasing Pension</v>
      </c>
      <c r="B3" s="139" t="str">
        <f>IF('[3]Deferred Elements'!$B4="","",'[3]Deferred Elements'!$B4)</f>
        <v>Pre 88 GMP at SPA</v>
      </c>
      <c r="C3" s="139" t="str">
        <f>IF('[3]Deferred Elements'!$C4="","",'[3]Deferred Elements'!$C4)</f>
        <v>Equalisation to 97 GMP</v>
      </c>
      <c r="D3" s="139" t="str">
        <f>IF('[3]Deferred Elements'!$D4="","",'[3]Deferred Elements'!$D4)</f>
        <v>2002 to 2006 Increasing Pension</v>
      </c>
    </row>
    <row r="4" spans="1:4">
      <c r="A4" s="139" t="str">
        <f>IF('[3]Deferred Elements'!$A5="","",'[3]Deferred Elements'!$A5)</f>
        <v>2003 to 2005 Increasing Pension</v>
      </c>
      <c r="B4" s="139" t="str">
        <f>IF('[3]Deferred Elements'!$B5="","",'[3]Deferred Elements'!$B5)</f>
        <v>Pre 88 Non Barber GMP</v>
      </c>
      <c r="C4" s="139" t="str">
        <f>IF('[3]Deferred Elements'!$C5="","",'[3]Deferred Elements'!$C5)</f>
        <v>Post 88 Barber GMP</v>
      </c>
      <c r="D4" s="139" t="str">
        <f>IF('[3]Deferred Elements'!$D5="","",'[3]Deferred Elements'!$D5)</f>
        <v>2003 to 2005 Increasing Pension</v>
      </c>
    </row>
    <row r="5" spans="1:4">
      <c r="A5" s="139" t="str">
        <f>IF('[3]Deferred Elements'!$A6="","",'[3]Deferred Elements'!$A6)</f>
        <v>2003 to 2006 Increasing Pension</v>
      </c>
      <c r="B5" s="139" t="str">
        <f>IF('[3]Deferred Elements'!$B6="","",'[3]Deferred Elements'!$B6)</f>
        <v/>
      </c>
      <c r="C5" s="139" t="str">
        <f>IF('[3]Deferred Elements'!$C6="","",'[3]Deferred Elements'!$C6)</f>
        <v>Post 88 GMP</v>
      </c>
      <c r="D5" s="139" t="str">
        <f>IF('[3]Deferred Elements'!$D6="","",'[3]Deferred Elements'!$D6)</f>
        <v>2003 to 2006 Increasing Pension</v>
      </c>
    </row>
    <row r="6" spans="1:4">
      <c r="A6" s="139" t="str">
        <f>IF('[3]Deferred Elements'!$A7="","",'[3]Deferred Elements'!$A7)</f>
        <v>2003 to 2009 Increasing Pension</v>
      </c>
      <c r="B6" s="139" t="str">
        <f>IF('[3]Deferred Elements'!$B7="","",'[3]Deferred Elements'!$B7)</f>
        <v/>
      </c>
      <c r="C6" s="139" t="str">
        <f>IF('[3]Deferred Elements'!$C7="","",'[3]Deferred Elements'!$C7)</f>
        <v>Post 88 GMP at SPA</v>
      </c>
      <c r="D6" s="139" t="str">
        <f>IF('[3]Deferred Elements'!$D7="","",'[3]Deferred Elements'!$D7)</f>
        <v>2003 to 2009 Increasing Pension</v>
      </c>
    </row>
    <row r="7" spans="1:4">
      <c r="A7" s="139" t="str">
        <f>IF('[3]Deferred Elements'!$A8="","",'[3]Deferred Elements'!$A8)</f>
        <v>2004 to 2005 Increasing Pension</v>
      </c>
      <c r="B7" s="139" t="str">
        <f>IF('[3]Deferred Elements'!$B8="","",'[3]Deferred Elements'!$B8)</f>
        <v/>
      </c>
      <c r="C7" s="139" t="str">
        <f>IF('[3]Deferred Elements'!$C8="","",'[3]Deferred Elements'!$C8)</f>
        <v>Post 88 Non Barber GMP</v>
      </c>
      <c r="D7" s="139" t="str">
        <f>IF('[3]Deferred Elements'!$D8="","",'[3]Deferred Elements'!$D8)</f>
        <v>2004 to 2005 Increasing Pension</v>
      </c>
    </row>
    <row r="8" spans="1:4">
      <c r="A8" s="139" t="str">
        <f>IF('[3]Deferred Elements'!$A9="","",'[3]Deferred Elements'!$A9)</f>
        <v>2005 to 2006 Increasing Pension</v>
      </c>
      <c r="B8" s="139" t="str">
        <f>IF('[3]Deferred Elements'!$B9="","",'[3]Deferred Elements'!$B9)</f>
        <v/>
      </c>
      <c r="C8" s="139" t="str">
        <f>IF('[3]Deferred Elements'!$C9="","",'[3]Deferred Elements'!$C9)</f>
        <v/>
      </c>
      <c r="D8" s="139" t="str">
        <f>IF('[3]Deferred Elements'!$D9="","",'[3]Deferred Elements'!$D9)</f>
        <v>2005 to 2006 Increasing Pension</v>
      </c>
    </row>
    <row r="9" spans="1:4">
      <c r="A9" s="139" t="str">
        <f>IF('[3]Deferred Elements'!$A10="","",'[3]Deferred Elements'!$A10)</f>
        <v>2005 to 2008 Increasing Pension</v>
      </c>
      <c r="B9" s="139" t="str">
        <f>IF('[3]Deferred Elements'!$B10="","",'[3]Deferred Elements'!$B10)</f>
        <v/>
      </c>
      <c r="C9" s="139" t="str">
        <f>IF('[3]Deferred Elements'!$C10="","",'[3]Deferred Elements'!$C10)</f>
        <v/>
      </c>
      <c r="D9" s="139" t="str">
        <f>IF('[3]Deferred Elements'!$D10="","",'[3]Deferred Elements'!$D10)</f>
        <v>2005 to 2008 Increasing Pension</v>
      </c>
    </row>
    <row r="10" spans="1:4">
      <c r="A10" s="139" t="str">
        <f>IF('[3]Deferred Elements'!$A11="","",'[3]Deferred Elements'!$A11)</f>
        <v>2005 to 2009 Increasing Pension</v>
      </c>
      <c r="B10" s="139" t="str">
        <f>IF('[3]Deferred Elements'!$B11="","",'[3]Deferred Elements'!$B11)</f>
        <v/>
      </c>
      <c r="C10" s="139" t="str">
        <f>IF('[3]Deferred Elements'!$C11="","",'[3]Deferred Elements'!$C11)</f>
        <v/>
      </c>
      <c r="D10" s="139" t="str">
        <f>IF('[3]Deferred Elements'!$D11="","",'[3]Deferred Elements'!$D11)</f>
        <v>2005 to 2009 Increasing Pension</v>
      </c>
    </row>
    <row r="11" spans="1:4">
      <c r="A11" s="139" t="str">
        <f>IF('[3]Deferred Elements'!$A12="","",'[3]Deferred Elements'!$A12)</f>
        <v>2006 to 2007 Increasing Pension</v>
      </c>
      <c r="B11" s="139" t="str">
        <f>IF('[3]Deferred Elements'!$B12="","",'[3]Deferred Elements'!$B12)</f>
        <v/>
      </c>
      <c r="C11" s="139" t="str">
        <f>IF('[3]Deferred Elements'!$C12="","",'[3]Deferred Elements'!$C12)</f>
        <v/>
      </c>
      <c r="D11" s="139" t="str">
        <f>IF('[3]Deferred Elements'!$D12="","",'[3]Deferred Elements'!$D12)</f>
        <v>2006 to 2007 Increasing Pension</v>
      </c>
    </row>
    <row r="12" spans="1:4">
      <c r="A12" s="139" t="str">
        <f>IF('[3]Deferred Elements'!$A13="","",'[3]Deferred Elements'!$A13)</f>
        <v>2006 to 2008 Increasing Pension</v>
      </c>
      <c r="B12" s="139" t="str">
        <f>IF('[3]Deferred Elements'!$B13="","",'[3]Deferred Elements'!$B13)</f>
        <v/>
      </c>
      <c r="C12" s="139" t="str">
        <f>IF('[3]Deferred Elements'!$C13="","",'[3]Deferred Elements'!$C13)</f>
        <v/>
      </c>
      <c r="D12" s="139" t="str">
        <f>IF('[3]Deferred Elements'!$D13="","",'[3]Deferred Elements'!$D13)</f>
        <v>2006 to 2008 Increasing Pension</v>
      </c>
    </row>
    <row r="13" spans="1:4">
      <c r="A13" s="139" t="str">
        <f>IF('[3]Deferred Elements'!$A14="","",'[3]Deferred Elements'!$A14)</f>
        <v>2006 to 2009 Increasing Pension</v>
      </c>
      <c r="B13" s="139" t="str">
        <f>IF('[3]Deferred Elements'!$B14="","",'[3]Deferred Elements'!$B14)</f>
        <v/>
      </c>
      <c r="C13" s="139" t="str">
        <f>IF('[3]Deferred Elements'!$C14="","",'[3]Deferred Elements'!$C14)</f>
        <v/>
      </c>
      <c r="D13" s="139" t="str">
        <f>IF('[3]Deferred Elements'!$D14="","",'[3]Deferred Elements'!$D14)</f>
        <v>2006 to 2009 Increasing Pension</v>
      </c>
    </row>
    <row r="14" spans="1:4">
      <c r="A14" s="139" t="str">
        <f>IF('[3]Deferred Elements'!$A15="","",'[3]Deferred Elements'!$A15)</f>
        <v>2007 to 2009 Increasing Pension</v>
      </c>
      <c r="B14" s="139" t="str">
        <f>IF('[3]Deferred Elements'!$B15="","",'[3]Deferred Elements'!$B15)</f>
        <v/>
      </c>
      <c r="C14" s="139" t="str">
        <f>IF('[3]Deferred Elements'!$C15="","",'[3]Deferred Elements'!$C15)</f>
        <v/>
      </c>
      <c r="D14" s="139" t="str">
        <f>IF('[3]Deferred Elements'!$D15="","",'[3]Deferred Elements'!$D15)</f>
        <v>2007 to 2009 Increasing Pension</v>
      </c>
    </row>
    <row r="15" spans="1:4">
      <c r="A15" s="139" t="str">
        <f>IF('[3]Deferred Elements'!$A16="","",'[3]Deferred Elements'!$A16)</f>
        <v>2008 to 2009 Increasing Pension</v>
      </c>
      <c r="B15" s="139" t="str">
        <f>IF('[3]Deferred Elements'!$B16="","",'[3]Deferred Elements'!$B16)</f>
        <v/>
      </c>
      <c r="C15" s="139" t="str">
        <f>IF('[3]Deferred Elements'!$C16="","",'[3]Deferred Elements'!$C16)</f>
        <v/>
      </c>
      <c r="D15" s="139" t="str">
        <f>IF('[3]Deferred Elements'!$D16="","",'[3]Deferred Elements'!$D16)</f>
        <v>2008 to 2009 Increasing Pension</v>
      </c>
    </row>
    <row r="16" spans="1:4">
      <c r="A16" s="139" t="str">
        <f>IF('[3]Deferred Elements'!$A17="","",'[3]Deferred Elements'!$A17)</f>
        <v>85 to 89 Increasing Excess</v>
      </c>
      <c r="B16" s="139" t="str">
        <f>IF('[3]Deferred Elements'!$B17="","",'[3]Deferred Elements'!$B17)</f>
        <v/>
      </c>
      <c r="C16" s="139" t="str">
        <f>IF('[3]Deferred Elements'!$C17="","",'[3]Deferred Elements'!$C17)</f>
        <v/>
      </c>
      <c r="D16" s="139" t="str">
        <f>IF('[3]Deferred Elements'!$D17="","",'[3]Deferred Elements'!$D17)</f>
        <v>85 to 89 Increasing Excess</v>
      </c>
    </row>
    <row r="17" spans="1:4">
      <c r="A17" s="139" t="str">
        <f>IF('[3]Deferred Elements'!$A18="","",'[3]Deferred Elements'!$A18)</f>
        <v>85 to 91 Increasing Excess</v>
      </c>
      <c r="B17" s="139" t="str">
        <f>IF('[3]Deferred Elements'!$B18="","",'[3]Deferred Elements'!$B18)</f>
        <v/>
      </c>
      <c r="C17" s="139" t="str">
        <f>IF('[3]Deferred Elements'!$C18="","",'[3]Deferred Elements'!$C18)</f>
        <v/>
      </c>
      <c r="D17" s="139" t="str">
        <f>IF('[3]Deferred Elements'!$D18="","",'[3]Deferred Elements'!$D18)</f>
        <v>85 to 91 Increasing Excess</v>
      </c>
    </row>
    <row r="18" spans="1:4">
      <c r="A18" s="139" t="str">
        <f>IF('[3]Deferred Elements'!$A19="","",'[3]Deferred Elements'!$A19)</f>
        <v>85 to 97 Increasing Excess</v>
      </c>
      <c r="B18" s="139" t="str">
        <f>IF('[3]Deferred Elements'!$B19="","",'[3]Deferred Elements'!$B19)</f>
        <v/>
      </c>
      <c r="C18" s="139" t="str">
        <f>IF('[3]Deferred Elements'!$C19="","",'[3]Deferred Elements'!$C19)</f>
        <v/>
      </c>
      <c r="D18" s="139" t="str">
        <f>IF('[3]Deferred Elements'!$D19="","",'[3]Deferred Elements'!$D19)</f>
        <v>85 to 97 Increasing Excess</v>
      </c>
    </row>
    <row r="19" spans="1:4">
      <c r="A19" s="139" t="str">
        <f>IF('[3]Deferred Elements'!$A20="","",'[3]Deferred Elements'!$A20)</f>
        <v>87 to 97 Increasing Excess</v>
      </c>
      <c r="B19" s="139" t="str">
        <f>IF('[3]Deferred Elements'!$B20="","",'[3]Deferred Elements'!$B20)</f>
        <v/>
      </c>
      <c r="C19" s="139" t="str">
        <f>IF('[3]Deferred Elements'!$C20="","",'[3]Deferred Elements'!$C20)</f>
        <v/>
      </c>
      <c r="D19" s="139" t="str">
        <f>IF('[3]Deferred Elements'!$D20="","",'[3]Deferred Elements'!$D20)</f>
        <v>87 to 97 Increasing Excess</v>
      </c>
    </row>
    <row r="20" spans="1:4">
      <c r="A20" s="139" t="str">
        <f>IF('[3]Deferred Elements'!$A21="","",'[3]Deferred Elements'!$A21)</f>
        <v>87 to 99 Increasing Excess</v>
      </c>
      <c r="B20" s="139" t="str">
        <f>IF('[3]Deferred Elements'!$B21="","",'[3]Deferred Elements'!$B21)</f>
        <v/>
      </c>
      <c r="C20" s="139" t="str">
        <f>IF('[3]Deferred Elements'!$C21="","",'[3]Deferred Elements'!$C21)</f>
        <v/>
      </c>
      <c r="D20" s="139" t="str">
        <f>IF('[3]Deferred Elements'!$D21="","",'[3]Deferred Elements'!$D21)</f>
        <v>87 to 99 Increasing Excess</v>
      </c>
    </row>
    <row r="21" spans="1:4">
      <c r="A21" s="139" t="str">
        <f>IF('[3]Deferred Elements'!$A22="","",'[3]Deferred Elements'!$A22)</f>
        <v>89 to 94 Increasing Excess</v>
      </c>
      <c r="B21" s="139" t="str">
        <f>IF('[3]Deferred Elements'!$B22="","",'[3]Deferred Elements'!$B22)</f>
        <v/>
      </c>
      <c r="C21" s="139" t="str">
        <f>IF('[3]Deferred Elements'!$C22="","",'[3]Deferred Elements'!$C22)</f>
        <v/>
      </c>
      <c r="D21" s="139" t="str">
        <f>IF('[3]Deferred Elements'!$D22="","",'[3]Deferred Elements'!$D22)</f>
        <v>88 to Barber GMP</v>
      </c>
    </row>
    <row r="22" spans="1:4">
      <c r="A22" s="139" t="str">
        <f>IF('[3]Deferred Elements'!$A23="","",'[3]Deferred Elements'!$A23)</f>
        <v>90 to 94 Increasing Excess</v>
      </c>
      <c r="B22" s="139" t="str">
        <f>IF('[3]Deferred Elements'!$B23="","",'[3]Deferred Elements'!$B23)</f>
        <v/>
      </c>
      <c r="C22" s="139" t="str">
        <f>IF('[3]Deferred Elements'!$C23="","",'[3]Deferred Elements'!$C23)</f>
        <v/>
      </c>
      <c r="D22" s="139" t="str">
        <f>IF('[3]Deferred Elements'!$D23="","",'[3]Deferred Elements'!$D23)</f>
        <v>89 to 94 Increasing Excess</v>
      </c>
    </row>
    <row r="23" spans="1:4">
      <c r="A23" s="139" t="str">
        <f>IF('[3]Deferred Elements'!$A24="","",'[3]Deferred Elements'!$A24)</f>
        <v>90 to 95 Increasing Excess</v>
      </c>
      <c r="B23" s="139" t="str">
        <f>IF('[3]Deferred Elements'!$B24="","",'[3]Deferred Elements'!$B24)</f>
        <v/>
      </c>
      <c r="C23" s="139" t="str">
        <f>IF('[3]Deferred Elements'!$C24="","",'[3]Deferred Elements'!$C24)</f>
        <v/>
      </c>
      <c r="D23" s="139" t="str">
        <f>IF('[3]Deferred Elements'!$D24="","",'[3]Deferred Elements'!$D24)</f>
        <v>90 to 94 Increasing Excess</v>
      </c>
    </row>
    <row r="24" spans="1:4">
      <c r="A24" s="139" t="str">
        <f>IF('[3]Deferred Elements'!$A25="","",'[3]Deferred Elements'!$A25)</f>
        <v>91 to 97 Increasing Excess</v>
      </c>
      <c r="B24" s="139" t="str">
        <f>IF('[3]Deferred Elements'!$B25="","",'[3]Deferred Elements'!$B25)</f>
        <v/>
      </c>
      <c r="C24" s="139" t="str">
        <f>IF('[3]Deferred Elements'!$C25="","",'[3]Deferred Elements'!$C25)</f>
        <v/>
      </c>
      <c r="D24" s="139" t="str">
        <f>IF('[3]Deferred Elements'!$D25="","",'[3]Deferred Elements'!$D25)</f>
        <v>90 to 95 Increasing Excess</v>
      </c>
    </row>
    <row r="25" spans="1:4">
      <c r="A25" s="139" t="str">
        <f>IF('[3]Deferred Elements'!$A26="","",'[3]Deferred Elements'!$A26)</f>
        <v>94 to 97 Increasing Excess</v>
      </c>
      <c r="B25" s="139" t="str">
        <f>IF('[3]Deferred Elements'!$B26="","",'[3]Deferred Elements'!$B26)</f>
        <v/>
      </c>
      <c r="C25" s="139" t="str">
        <f>IF('[3]Deferred Elements'!$C26="","",'[3]Deferred Elements'!$C26)</f>
        <v/>
      </c>
      <c r="D25" s="139" t="str">
        <f>IF('[3]Deferred Elements'!$D26="","",'[3]Deferred Elements'!$D26)</f>
        <v>91 to 97 Increasing Excess</v>
      </c>
    </row>
    <row r="26" spans="1:4">
      <c r="A26" s="139" t="str">
        <f>IF('[3]Deferred Elements'!$A27="","",'[3]Deferred Elements'!$A27)</f>
        <v>95 to 97 Increasing Excess</v>
      </c>
      <c r="B26" s="139" t="str">
        <f>IF('[3]Deferred Elements'!$B27="","",'[3]Deferred Elements'!$B27)</f>
        <v/>
      </c>
      <c r="C26" s="139" t="str">
        <f>IF('[3]Deferred Elements'!$C27="","",'[3]Deferred Elements'!$C27)</f>
        <v/>
      </c>
      <c r="D26" s="139" t="str">
        <f>IF('[3]Deferred Elements'!$D27="","",'[3]Deferred Elements'!$D27)</f>
        <v>94 to 97 Increasing Excess</v>
      </c>
    </row>
    <row r="27" spans="1:4">
      <c r="A27" s="139" t="str">
        <f>IF('[3]Deferred Elements'!$A28="","",'[3]Deferred Elements'!$A28)</f>
        <v>97 to 2000 Increasing Pension</v>
      </c>
      <c r="B27" s="139" t="str">
        <f>IF('[3]Deferred Elements'!$B28="","",'[3]Deferred Elements'!$B28)</f>
        <v/>
      </c>
      <c r="C27" s="139" t="str">
        <f>IF('[3]Deferred Elements'!$C28="","",'[3]Deferred Elements'!$C28)</f>
        <v/>
      </c>
      <c r="D27" s="139" t="str">
        <f>IF('[3]Deferred Elements'!$D28="","",'[3]Deferred Elements'!$D28)</f>
        <v>95 to 97 Increasing Excess</v>
      </c>
    </row>
    <row r="28" spans="1:4">
      <c r="A28" s="139" t="str">
        <f>IF('[3]Deferred Elements'!$A29="","",'[3]Deferred Elements'!$A29)</f>
        <v>97 to 2001 Increasing Pension</v>
      </c>
      <c r="B28" s="139" t="str">
        <f>IF('[3]Deferred Elements'!$B29="","",'[3]Deferred Elements'!$B29)</f>
        <v/>
      </c>
      <c r="C28" s="139" t="str">
        <f>IF('[3]Deferred Elements'!$C29="","",'[3]Deferred Elements'!$C29)</f>
        <v/>
      </c>
      <c r="D28" s="139" t="str">
        <f>IF('[3]Deferred Elements'!$D29="","",'[3]Deferred Elements'!$D29)</f>
        <v>97 to 2000 Increasing Pension</v>
      </c>
    </row>
    <row r="29" spans="1:4">
      <c r="A29" s="139" t="str">
        <f>IF('[3]Deferred Elements'!$A30="","",'[3]Deferred Elements'!$A30)</f>
        <v>97 to 2002 Increasing Pension</v>
      </c>
      <c r="B29" s="139" t="str">
        <f>IF('[3]Deferred Elements'!$B30="","",'[3]Deferred Elements'!$B30)</f>
        <v/>
      </c>
      <c r="C29" s="139" t="str">
        <f>IF('[3]Deferred Elements'!$C30="","",'[3]Deferred Elements'!$C30)</f>
        <v/>
      </c>
      <c r="D29" s="139" t="str">
        <f>IF('[3]Deferred Elements'!$D30="","",'[3]Deferred Elements'!$D30)</f>
        <v>97 to 2001 Increasing Pension</v>
      </c>
    </row>
    <row r="30" spans="1:4">
      <c r="A30" s="139" t="str">
        <f>IF('[3]Deferred Elements'!$A31="","",'[3]Deferred Elements'!$A31)</f>
        <v>97 to 2003 Increasing Pension</v>
      </c>
      <c r="B30" s="139" t="str">
        <f>IF('[3]Deferred Elements'!$B31="","",'[3]Deferred Elements'!$B31)</f>
        <v/>
      </c>
      <c r="C30" s="139" t="str">
        <f>IF('[3]Deferred Elements'!$C31="","",'[3]Deferred Elements'!$C31)</f>
        <v/>
      </c>
      <c r="D30" s="139" t="str">
        <f>IF('[3]Deferred Elements'!$D31="","",'[3]Deferred Elements'!$D31)</f>
        <v>97 to 2002 Increasing Pension</v>
      </c>
    </row>
    <row r="31" spans="1:4">
      <c r="A31" s="139" t="str">
        <f>IF('[3]Deferred Elements'!$A32="","",'[3]Deferred Elements'!$A32)</f>
        <v>97 to 2004 Increasing Pension</v>
      </c>
      <c r="B31" s="139" t="str">
        <f>IF('[3]Deferred Elements'!$B32="","",'[3]Deferred Elements'!$B32)</f>
        <v/>
      </c>
      <c r="C31" s="139" t="str">
        <f>IF('[3]Deferred Elements'!$C32="","",'[3]Deferred Elements'!$C32)</f>
        <v/>
      </c>
      <c r="D31" s="139" t="str">
        <f>IF('[3]Deferred Elements'!$D32="","",'[3]Deferred Elements'!$D32)</f>
        <v>97 to 2003 Increasing Pension</v>
      </c>
    </row>
    <row r="32" spans="1:4">
      <c r="A32" s="139" t="str">
        <f>IF('[3]Deferred Elements'!$A33="","",'[3]Deferred Elements'!$A33)</f>
        <v>97 to 2005 Increasing Pension</v>
      </c>
      <c r="B32" s="139" t="str">
        <f>IF('[3]Deferred Elements'!$B33="","",'[3]Deferred Elements'!$B33)</f>
        <v/>
      </c>
      <c r="C32" s="139" t="str">
        <f>IF('[3]Deferred Elements'!$C33="","",'[3]Deferred Elements'!$C33)</f>
        <v/>
      </c>
      <c r="D32" s="139" t="str">
        <f>IF('[3]Deferred Elements'!$D33="","",'[3]Deferred Elements'!$D33)</f>
        <v>97 to 2004 Increasing Pension</v>
      </c>
    </row>
    <row r="33" spans="1:4">
      <c r="A33" s="139" t="str">
        <f>IF('[3]Deferred Elements'!$A34="","",'[3]Deferred Elements'!$A34)</f>
        <v>97 to 2006 Increasing Pension</v>
      </c>
      <c r="B33" s="139" t="str">
        <f>IF('[3]Deferred Elements'!$B34="","",'[3]Deferred Elements'!$B34)</f>
        <v/>
      </c>
      <c r="C33" s="139" t="str">
        <f>IF('[3]Deferred Elements'!$C34="","",'[3]Deferred Elements'!$C34)</f>
        <v/>
      </c>
      <c r="D33" s="139" t="str">
        <f>IF('[3]Deferred Elements'!$D34="","",'[3]Deferred Elements'!$D34)</f>
        <v>97 to 2005 Increasing Pension</v>
      </c>
    </row>
    <row r="34" spans="1:4">
      <c r="A34" s="139" t="str">
        <f>IF('[3]Deferred Elements'!$A35="","",'[3]Deferred Elements'!$A35)</f>
        <v>97 to 99 Increasing Pension</v>
      </c>
      <c r="B34" s="139" t="str">
        <f>IF('[3]Deferred Elements'!$B35="","",'[3]Deferred Elements'!$B35)</f>
        <v/>
      </c>
      <c r="C34" s="139" t="str">
        <f>IF('[3]Deferred Elements'!$C35="","",'[3]Deferred Elements'!$C35)</f>
        <v/>
      </c>
      <c r="D34" s="139" t="str">
        <f>IF('[3]Deferred Elements'!$D35="","",'[3]Deferred Elements'!$D35)</f>
        <v>97 to 2006 Increasing Pension</v>
      </c>
    </row>
    <row r="35" spans="1:4">
      <c r="A35" s="139" t="str">
        <f>IF('[3]Deferred Elements'!$A36="","",'[3]Deferred Elements'!$A36)</f>
        <v>97 to Equalisation Increasing Pension</v>
      </c>
      <c r="B35" s="139" t="str">
        <f>IF('[3]Deferred Elements'!$B36="","",'[3]Deferred Elements'!$B36)</f>
        <v/>
      </c>
      <c r="C35" s="139" t="str">
        <f>IF('[3]Deferred Elements'!$C36="","",'[3]Deferred Elements'!$C36)</f>
        <v/>
      </c>
      <c r="D35" s="139" t="str">
        <f>IF('[3]Deferred Elements'!$D36="","",'[3]Deferred Elements'!$D36)</f>
        <v>97 to 99 Increasing Pension</v>
      </c>
    </row>
    <row r="36" spans="1:4">
      <c r="A36" s="139" t="str">
        <f>IF('[3]Deferred Elements'!$A37="","",'[3]Deferred Elements'!$A37)</f>
        <v>99 to 2005 Increasing Pension</v>
      </c>
      <c r="B36" s="139" t="str">
        <f>IF('[3]Deferred Elements'!$B37="","",'[3]Deferred Elements'!$B37)</f>
        <v/>
      </c>
      <c r="C36" s="139" t="str">
        <f>IF('[3]Deferred Elements'!$C37="","",'[3]Deferred Elements'!$C37)</f>
        <v/>
      </c>
      <c r="D36" s="139" t="str">
        <f>IF('[3]Deferred Elements'!$D37="","",'[3]Deferred Elements'!$D37)</f>
        <v>97 to Equalisation Increasing Pension</v>
      </c>
    </row>
    <row r="37" spans="1:4">
      <c r="A37" s="139" t="str">
        <f>IF('[3]Deferred Elements'!$A38="","",'[3]Deferred Elements'!$A38)</f>
        <v>Accrued Lump Sum</v>
      </c>
      <c r="B37" s="139" t="str">
        <f>IF('[3]Deferred Elements'!$B38="","",'[3]Deferred Elements'!$B38)</f>
        <v/>
      </c>
      <c r="C37" s="139" t="str">
        <f>IF('[3]Deferred Elements'!$C38="","",'[3]Deferred Elements'!$C38)</f>
        <v/>
      </c>
      <c r="D37" s="139" t="str">
        <f>IF('[3]Deferred Elements'!$D38="","",'[3]Deferred Elements'!$D38)</f>
        <v>99 to 2005 Increasing Pension</v>
      </c>
    </row>
    <row r="38" spans="1:4">
      <c r="A38" s="139" t="str">
        <f>IF('[3]Deferred Elements'!$A39="","",'[3]Deferred Elements'!$A39)</f>
        <v>AVC Pension</v>
      </c>
      <c r="B38" s="139" t="str">
        <f>IF('[3]Deferred Elements'!$B39="","",'[3]Deferred Elements'!$B39)</f>
        <v/>
      </c>
      <c r="C38" s="139" t="str">
        <f>IF('[3]Deferred Elements'!$C39="","",'[3]Deferred Elements'!$C39)</f>
        <v/>
      </c>
      <c r="D38" s="139" t="str">
        <f>IF('[3]Deferred Elements'!$D39="","",'[3]Deferred Elements'!$D39)</f>
        <v>Accrued Lump Sum</v>
      </c>
    </row>
    <row r="39" spans="1:4">
      <c r="A39" s="139" t="str">
        <f>IF('[3]Deferred Elements'!$A40="","",'[3]Deferred Elements'!$A40)</f>
        <v>Barber to Equalisation Increasing Excess</v>
      </c>
      <c r="B39" s="139" t="str">
        <f>IF('[3]Deferred Elements'!$B40="","",'[3]Deferred Elements'!$B40)</f>
        <v/>
      </c>
      <c r="C39" s="139" t="str">
        <f>IF('[3]Deferred Elements'!$C40="","",'[3]Deferred Elements'!$C40)</f>
        <v/>
      </c>
      <c r="D39" s="139" t="str">
        <f>IF('[3]Deferred Elements'!$D40="","",'[3]Deferred Elements'!$D40)</f>
        <v>AVC Pension</v>
      </c>
    </row>
    <row r="40" spans="1:4">
      <c r="A40" s="139" t="str">
        <f>IF('[3]Deferred Elements'!$A41="","",'[3]Deferred Elements'!$A41)</f>
        <v>Bridging Pension</v>
      </c>
      <c r="B40" s="139" t="str">
        <f>IF('[3]Deferred Elements'!$B41="","",'[3]Deferred Elements'!$B41)</f>
        <v/>
      </c>
      <c r="C40" s="139" t="str">
        <f>IF('[3]Deferred Elements'!$C41="","",'[3]Deferred Elements'!$C41)</f>
        <v/>
      </c>
      <c r="D40" s="139" t="str">
        <f>IF('[3]Deferred Elements'!$D41="","",'[3]Deferred Elements'!$D41)</f>
        <v>Barber to Equalisation GMP</v>
      </c>
    </row>
    <row r="41" spans="1:4">
      <c r="A41" s="139" t="str">
        <f>IF('[3]Deferred Elements'!$A42="","",'[3]Deferred Elements'!$A42)</f>
        <v>BSP Offset at DOL</v>
      </c>
      <c r="B41" s="139" t="str">
        <f>IF('[3]Deferred Elements'!$B42="","",'[3]Deferred Elements'!$B42)</f>
        <v/>
      </c>
      <c r="C41" s="139" t="str">
        <f>IF('[3]Deferred Elements'!$C42="","",'[3]Deferred Elements'!$C42)</f>
        <v/>
      </c>
      <c r="D41" s="139" t="str">
        <f>IF('[3]Deferred Elements'!$D42="","",'[3]Deferred Elements'!$D42)</f>
        <v>Barber to Equalisation Increasing Excess</v>
      </c>
    </row>
    <row r="42" spans="1:4">
      <c r="A42" s="139" t="str">
        <f>IF('[3]Deferred Elements'!$A43="","",'[3]Deferred Elements'!$A43)</f>
        <v>EPB Amount</v>
      </c>
      <c r="B42" s="139" t="str">
        <f>IF('[3]Deferred Elements'!$B43="","",'[3]Deferred Elements'!$B43)</f>
        <v/>
      </c>
      <c r="C42" s="139" t="str">
        <f>IF('[3]Deferred Elements'!$C43="","",'[3]Deferred Elements'!$C43)</f>
        <v/>
      </c>
      <c r="D42" s="139" t="str">
        <f>IF('[3]Deferred Elements'!$D43="","",'[3]Deferred Elements'!$D43)</f>
        <v>Bridging Pension</v>
      </c>
    </row>
    <row r="43" spans="1:4">
      <c r="A43" s="139" t="str">
        <f>IF('[3]Deferred Elements'!$A44="","",'[3]Deferred Elements'!$A44)</f>
        <v>Equalisation to 2006 Increasing Excess</v>
      </c>
      <c r="B43" s="139" t="str">
        <f>IF('[3]Deferred Elements'!$B44="","",'[3]Deferred Elements'!$B44)</f>
        <v/>
      </c>
      <c r="C43" s="139" t="str">
        <f>IF('[3]Deferred Elements'!$C44="","",'[3]Deferred Elements'!$C44)</f>
        <v/>
      </c>
      <c r="D43" s="139" t="str">
        <f>IF('[3]Deferred Elements'!$D44="","",'[3]Deferred Elements'!$D44)</f>
        <v>BSP Offset at DOL</v>
      </c>
    </row>
    <row r="44" spans="1:4">
      <c r="A44" s="139" t="str">
        <f>IF('[3]Deferred Elements'!$A45="","",'[3]Deferred Elements'!$A45)</f>
        <v>Equalisation to 97 Increasing Excess</v>
      </c>
      <c r="B44" s="139" t="str">
        <f>IF('[3]Deferred Elements'!$B45="","",'[3]Deferred Elements'!$B45)</f>
        <v/>
      </c>
      <c r="C44" s="139" t="str">
        <f>IF('[3]Deferred Elements'!$C45="","",'[3]Deferred Elements'!$C45)</f>
        <v/>
      </c>
      <c r="D44" s="139" t="str">
        <f>IF('[3]Deferred Elements'!$D45="","",'[3]Deferred Elements'!$D45)</f>
        <v>EPB Amount</v>
      </c>
    </row>
    <row r="45" spans="1:4">
      <c r="A45" s="139" t="str">
        <f>IF('[3]Deferred Elements'!$A46="","",'[3]Deferred Elements'!$A46)</f>
        <v>Fixed Excess</v>
      </c>
      <c r="B45" s="139" t="str">
        <f>IF('[3]Deferred Elements'!$B46="","",'[3]Deferred Elements'!$B46)</f>
        <v/>
      </c>
      <c r="C45" s="139" t="str">
        <f>IF('[3]Deferred Elements'!$C46="","",'[3]Deferred Elements'!$C46)</f>
        <v/>
      </c>
      <c r="D45" s="139" t="str">
        <f>IF('[3]Deferred Elements'!$D46="","",'[3]Deferred Elements'!$D46)</f>
        <v>Equalisation to 2006 Increasing Excess</v>
      </c>
    </row>
    <row r="46" spans="1:4">
      <c r="A46" s="139" t="str">
        <f>IF('[3]Deferred Elements'!$A47="","",'[3]Deferred Elements'!$A47)</f>
        <v>Fixed Uplift at DOL</v>
      </c>
      <c r="B46" s="139" t="str">
        <f>IF('[3]Deferred Elements'!$B47="","",'[3]Deferred Elements'!$B47)</f>
        <v/>
      </c>
      <c r="C46" s="139" t="str">
        <f>IF('[3]Deferred Elements'!$C47="","",'[3]Deferred Elements'!$C47)</f>
        <v/>
      </c>
      <c r="D46" s="139" t="str">
        <f>IF('[3]Deferred Elements'!$D47="","",'[3]Deferred Elements'!$D47)</f>
        <v>Equalisation to 97 GMP</v>
      </c>
    </row>
    <row r="47" spans="1:4">
      <c r="A47" s="139" t="str">
        <f>IF('[3]Deferred Elements'!$A48="","",'[3]Deferred Elements'!$A48)</f>
        <v>Post 2000 Increasing Pension</v>
      </c>
      <c r="B47" s="139" t="str">
        <f>IF('[3]Deferred Elements'!$B48="","",'[3]Deferred Elements'!$B48)</f>
        <v/>
      </c>
      <c r="C47" s="139" t="str">
        <f>IF('[3]Deferred Elements'!$C48="","",'[3]Deferred Elements'!$C48)</f>
        <v/>
      </c>
      <c r="D47" s="139" t="str">
        <f>IF('[3]Deferred Elements'!$D48="","",'[3]Deferred Elements'!$D48)</f>
        <v>Equalisation to 97 Increasing Excess</v>
      </c>
    </row>
    <row r="48" spans="1:4">
      <c r="A48" s="139" t="str">
        <f>IF('[3]Deferred Elements'!$A49="","",'[3]Deferred Elements'!$A49)</f>
        <v>Post 2001 Increasing Pension</v>
      </c>
      <c r="B48" s="139" t="str">
        <f>IF('[3]Deferred Elements'!$B49="","",'[3]Deferred Elements'!$B49)</f>
        <v/>
      </c>
      <c r="C48" s="139" t="str">
        <f>IF('[3]Deferred Elements'!$C49="","",'[3]Deferred Elements'!$C49)</f>
        <v/>
      </c>
      <c r="D48" s="139" t="str">
        <f>IF('[3]Deferred Elements'!$D49="","",'[3]Deferred Elements'!$D49)</f>
        <v>Fixed Excess</v>
      </c>
    </row>
    <row r="49" spans="1:4">
      <c r="A49" s="139" t="str">
        <f>IF('[3]Deferred Elements'!$A50="","",'[3]Deferred Elements'!$A50)</f>
        <v>Post 2002 Increasing Pension</v>
      </c>
      <c r="B49" s="139" t="str">
        <f>IF('[3]Deferred Elements'!$B50="","",'[3]Deferred Elements'!$B50)</f>
        <v/>
      </c>
      <c r="C49" s="139" t="str">
        <f>IF('[3]Deferred Elements'!$C50="","",'[3]Deferred Elements'!$C50)</f>
        <v/>
      </c>
      <c r="D49" s="139" t="str">
        <f>IF('[3]Deferred Elements'!$D50="","",'[3]Deferred Elements'!$D50)</f>
        <v>Fixed Uplift at DOL</v>
      </c>
    </row>
    <row r="50" spans="1:4">
      <c r="A50" s="139" t="str">
        <f>IF('[3]Deferred Elements'!$A51="","",'[3]Deferred Elements'!$A51)</f>
        <v>Post 2004 Increasing Pension</v>
      </c>
      <c r="B50" s="139" t="str">
        <f>IF('[3]Deferred Elements'!$B51="","",'[3]Deferred Elements'!$B51)</f>
        <v/>
      </c>
      <c r="C50" s="139" t="str">
        <f>IF('[3]Deferred Elements'!$C51="","",'[3]Deferred Elements'!$C51)</f>
        <v/>
      </c>
      <c r="D50" s="139" t="str">
        <f>IF('[3]Deferred Elements'!$D51="","",'[3]Deferred Elements'!$D51)</f>
        <v>Post 2000 Increasing Pension</v>
      </c>
    </row>
    <row r="51" spans="1:4">
      <c r="A51" s="139" t="str">
        <f>IF('[3]Deferred Elements'!$A52="","",'[3]Deferred Elements'!$A52)</f>
        <v>Post 2005 Increasing Pension</v>
      </c>
      <c r="B51" s="139" t="str">
        <f>IF('[3]Deferred Elements'!$B52="","",'[3]Deferred Elements'!$B52)</f>
        <v/>
      </c>
      <c r="C51" s="139" t="str">
        <f>IF('[3]Deferred Elements'!$C52="","",'[3]Deferred Elements'!$C52)</f>
        <v/>
      </c>
      <c r="D51" s="139" t="str">
        <f>IF('[3]Deferred Elements'!$D52="","",'[3]Deferred Elements'!$D52)</f>
        <v>Post 2001 Increasing Pension</v>
      </c>
    </row>
    <row r="52" spans="1:4">
      <c r="A52" s="139" t="str">
        <f>IF('[3]Deferred Elements'!$A53="","",'[3]Deferred Elements'!$A53)</f>
        <v>Post 2006 CARE Increasing Pension</v>
      </c>
      <c r="B52" s="139" t="str">
        <f>IF('[3]Deferred Elements'!$B53="","",'[3]Deferred Elements'!$B53)</f>
        <v/>
      </c>
      <c r="C52" s="139" t="str">
        <f>IF('[3]Deferred Elements'!$C53="","",'[3]Deferred Elements'!$C53)</f>
        <v/>
      </c>
      <c r="D52" s="139" t="str">
        <f>IF('[3]Deferred Elements'!$D53="","",'[3]Deferred Elements'!$D53)</f>
        <v>Post 2002 Increasing Pension</v>
      </c>
    </row>
    <row r="53" spans="1:4">
      <c r="A53" s="139" t="str">
        <f>IF('[3]Deferred Elements'!$A54="","",'[3]Deferred Elements'!$A54)</f>
        <v>Post 2006 FS Increasing Pension</v>
      </c>
      <c r="B53" s="139" t="str">
        <f>IF('[3]Deferred Elements'!$B54="","",'[3]Deferred Elements'!$B54)</f>
        <v/>
      </c>
      <c r="C53" s="139" t="str">
        <f>IF('[3]Deferred Elements'!$C54="","",'[3]Deferred Elements'!$C54)</f>
        <v/>
      </c>
      <c r="D53" s="139" t="str">
        <f>IF('[3]Deferred Elements'!$D54="","",'[3]Deferred Elements'!$D54)</f>
        <v>Post 2004 Increasing Pension</v>
      </c>
    </row>
    <row r="54" spans="1:4">
      <c r="A54" s="139" t="str">
        <f>IF('[3]Deferred Elements'!$A55="","",'[3]Deferred Elements'!$A55)</f>
        <v>Post 2006 Increasing Pension</v>
      </c>
      <c r="B54" s="139" t="str">
        <f>IF('[3]Deferred Elements'!$B55="","",'[3]Deferred Elements'!$B55)</f>
        <v/>
      </c>
      <c r="C54" s="139" t="str">
        <f>IF('[3]Deferred Elements'!$C55="","",'[3]Deferred Elements'!$C55)</f>
        <v/>
      </c>
      <c r="D54" s="139" t="str">
        <f>IF('[3]Deferred Elements'!$D55="","",'[3]Deferred Elements'!$D55)</f>
        <v>Post 2005 Increasing Pension</v>
      </c>
    </row>
    <row r="55" spans="1:4">
      <c r="A55" s="139" t="str">
        <f>IF('[3]Deferred Elements'!$A56="","",'[3]Deferred Elements'!$A56)</f>
        <v>Post 2007 Increasing Pension</v>
      </c>
      <c r="B55" s="139" t="str">
        <f>IF('[3]Deferred Elements'!$B56="","",'[3]Deferred Elements'!$B56)</f>
        <v/>
      </c>
      <c r="C55" s="139" t="str">
        <f>IF('[3]Deferred Elements'!$C56="","",'[3]Deferred Elements'!$C56)</f>
        <v/>
      </c>
      <c r="D55" s="139" t="str">
        <f>IF('[3]Deferred Elements'!$D56="","",'[3]Deferred Elements'!$D56)</f>
        <v>Post 2006 CARE Increasing Pension</v>
      </c>
    </row>
    <row r="56" spans="1:4">
      <c r="A56" s="139" t="str">
        <f>IF('[3]Deferred Elements'!$A57="","",'[3]Deferred Elements'!$A57)</f>
        <v>Post 2008 Increasing Pension</v>
      </c>
      <c r="B56" s="139" t="str">
        <f>IF('[3]Deferred Elements'!$B57="","",'[3]Deferred Elements'!$B57)</f>
        <v/>
      </c>
      <c r="C56" s="139" t="str">
        <f>IF('[3]Deferred Elements'!$C57="","",'[3]Deferred Elements'!$C57)</f>
        <v/>
      </c>
      <c r="D56" s="139" t="str">
        <f>IF('[3]Deferred Elements'!$D57="","",'[3]Deferred Elements'!$D57)</f>
        <v>Post 2006 FS Increasing Pension</v>
      </c>
    </row>
    <row r="57" spans="1:4">
      <c r="A57" s="139" t="str">
        <f>IF('[3]Deferred Elements'!$A58="","",'[3]Deferred Elements'!$A58)</f>
        <v>Post 2009 CARE Increasing Pension</v>
      </c>
      <c r="B57" s="139" t="str">
        <f>IF('[3]Deferred Elements'!$B58="","",'[3]Deferred Elements'!$B58)</f>
        <v/>
      </c>
      <c r="C57" s="139" t="str">
        <f>IF('[3]Deferred Elements'!$C58="","",'[3]Deferred Elements'!$C58)</f>
        <v/>
      </c>
      <c r="D57" s="139" t="str">
        <f>IF('[3]Deferred Elements'!$D58="","",'[3]Deferred Elements'!$D58)</f>
        <v>Post 2006 Increasing Pension</v>
      </c>
    </row>
    <row r="58" spans="1:4">
      <c r="A58" s="139" t="str">
        <f>IF('[3]Deferred Elements'!$A59="","",'[3]Deferred Elements'!$A59)</f>
        <v>Post 2009 Increasing Pension</v>
      </c>
      <c r="B58" s="139" t="str">
        <f>IF('[3]Deferred Elements'!$B59="","",'[3]Deferred Elements'!$B59)</f>
        <v/>
      </c>
      <c r="C58" s="139" t="str">
        <f>IF('[3]Deferred Elements'!$C59="","",'[3]Deferred Elements'!$C59)</f>
        <v/>
      </c>
      <c r="D58" s="139" t="str">
        <f>IF('[3]Deferred Elements'!$D59="","",'[3]Deferred Elements'!$D59)</f>
        <v>Post 2007 Increasing Pension</v>
      </c>
    </row>
    <row r="59" spans="1:4">
      <c r="A59" s="139" t="str">
        <f>IF('[3]Deferred Elements'!$A60="","",'[3]Deferred Elements'!$A60)</f>
        <v>Post 78 Fixed Excess</v>
      </c>
      <c r="B59" s="139" t="str">
        <f>IF('[3]Deferred Elements'!$B60="","",'[3]Deferred Elements'!$B60)</f>
        <v/>
      </c>
      <c r="C59" s="139" t="str">
        <f>IF('[3]Deferred Elements'!$C60="","",'[3]Deferred Elements'!$C60)</f>
        <v/>
      </c>
      <c r="D59" s="139" t="str">
        <f>IF('[3]Deferred Elements'!$D60="","",'[3]Deferred Elements'!$D60)</f>
        <v>Post 2008 Increasing Pension</v>
      </c>
    </row>
    <row r="60" spans="1:4">
      <c r="A60" s="139" t="str">
        <f>IF('[3]Deferred Elements'!$A61="","",'[3]Deferred Elements'!$A61)</f>
        <v>Post 85 Excess</v>
      </c>
      <c r="B60" s="139" t="str">
        <f>IF('[3]Deferred Elements'!$B61="","",'[3]Deferred Elements'!$B61)</f>
        <v/>
      </c>
      <c r="C60" s="139" t="str">
        <f>IF('[3]Deferred Elements'!$C61="","",'[3]Deferred Elements'!$C61)</f>
        <v/>
      </c>
      <c r="D60" s="139" t="str">
        <f>IF('[3]Deferred Elements'!$D61="","",'[3]Deferred Elements'!$D61)</f>
        <v>Post 2009 CARE Increasing Pension</v>
      </c>
    </row>
    <row r="61" spans="1:4">
      <c r="A61" s="139" t="str">
        <f>IF('[3]Deferred Elements'!$A62="","",'[3]Deferred Elements'!$A62)</f>
        <v>Post 97 Increasing Pension</v>
      </c>
      <c r="B61" s="139" t="str">
        <f>IF('[3]Deferred Elements'!$B62="","",'[3]Deferred Elements'!$B62)</f>
        <v/>
      </c>
      <c r="C61" s="139" t="str">
        <f>IF('[3]Deferred Elements'!$C62="","",'[3]Deferred Elements'!$C62)</f>
        <v/>
      </c>
      <c r="D61" s="139" t="str">
        <f>IF('[3]Deferred Elements'!$D62="","",'[3]Deferred Elements'!$D62)</f>
        <v>Post 2009 Increasing Pension</v>
      </c>
    </row>
    <row r="62" spans="1:4">
      <c r="A62" s="139" t="str">
        <f>IF('[3]Deferred Elements'!$A63="","",'[3]Deferred Elements'!$A63)</f>
        <v>Post 97 Non Barber Increasing Pension</v>
      </c>
      <c r="B62" s="139" t="str">
        <f>IF('[3]Deferred Elements'!$B63="","",'[3]Deferred Elements'!$B63)</f>
        <v/>
      </c>
      <c r="C62" s="139" t="str">
        <f>IF('[3]Deferred Elements'!$C63="","",'[3]Deferred Elements'!$C63)</f>
        <v/>
      </c>
      <c r="D62" s="139" t="str">
        <f>IF('[3]Deferred Elements'!$D63="","",'[3]Deferred Elements'!$D63)</f>
        <v>Post 78 Fixed Excess</v>
      </c>
    </row>
    <row r="63" spans="1:4">
      <c r="A63" s="139" t="str">
        <f>IF('[3]Deferred Elements'!$A64="","",'[3]Deferred Elements'!$A64)</f>
        <v>Post 97 State Pension Deductions</v>
      </c>
      <c r="B63" s="139" t="str">
        <f>IF('[3]Deferred Elements'!$B64="","",'[3]Deferred Elements'!$B64)</f>
        <v/>
      </c>
      <c r="C63" s="139" t="str">
        <f>IF('[3]Deferred Elements'!$C64="","",'[3]Deferred Elements'!$C64)</f>
        <v/>
      </c>
      <c r="D63" s="139" t="str">
        <f>IF('[3]Deferred Elements'!$D64="","",'[3]Deferred Elements'!$D64)</f>
        <v>Post 85 Excess</v>
      </c>
    </row>
    <row r="64" spans="1:4">
      <c r="A64" s="139" t="str">
        <f>IF('[3]Deferred Elements'!$A65="","",'[3]Deferred Elements'!$A65)</f>
        <v>Post 97 Value for Money</v>
      </c>
      <c r="B64" s="139" t="str">
        <f>IF('[3]Deferred Elements'!$B65="","",'[3]Deferred Elements'!$B65)</f>
        <v/>
      </c>
      <c r="C64" s="139" t="str">
        <f>IF('[3]Deferred Elements'!$C65="","",'[3]Deferred Elements'!$C65)</f>
        <v/>
      </c>
      <c r="D64" s="139" t="str">
        <f>IF('[3]Deferred Elements'!$D65="","",'[3]Deferred Elements'!$D65)</f>
        <v>Post 88 Barber GMP</v>
      </c>
    </row>
    <row r="65" spans="1:4">
      <c r="A65" s="139" t="str">
        <f>IF('[3]Deferred Elements'!$A66="","",'[3]Deferred Elements'!$A66)</f>
        <v>Post 98 Increasing Pension</v>
      </c>
      <c r="B65" s="139" t="str">
        <f>IF('[3]Deferred Elements'!$B66="","",'[3]Deferred Elements'!$B66)</f>
        <v/>
      </c>
      <c r="C65" s="139" t="str">
        <f>IF('[3]Deferred Elements'!$C66="","",'[3]Deferred Elements'!$C66)</f>
        <v/>
      </c>
      <c r="D65" s="139" t="str">
        <f>IF('[3]Deferred Elements'!$D66="","",'[3]Deferred Elements'!$D66)</f>
        <v>Post 88 GMP</v>
      </c>
    </row>
    <row r="66" spans="1:4">
      <c r="A66" s="139" t="str">
        <f>IF('[3]Deferred Elements'!$A67="","",'[3]Deferred Elements'!$A67)</f>
        <v>Post 99 Increasing Pension</v>
      </c>
      <c r="B66" s="139" t="str">
        <f>IF('[3]Deferred Elements'!$B67="","",'[3]Deferred Elements'!$B67)</f>
        <v/>
      </c>
      <c r="C66" s="139" t="str">
        <f>IF('[3]Deferred Elements'!$C67="","",'[3]Deferred Elements'!$C67)</f>
        <v/>
      </c>
      <c r="D66" s="139" t="str">
        <f>IF('[3]Deferred Elements'!$D67="","",'[3]Deferred Elements'!$D67)</f>
        <v>Post 88 GMP at SPA</v>
      </c>
    </row>
    <row r="67" spans="1:4">
      <c r="A67" s="139" t="str">
        <f>IF('[3]Deferred Elements'!$A68="","",'[3]Deferred Elements'!$A68)</f>
        <v>Pre 78 Fixed Excess</v>
      </c>
      <c r="B67" s="139" t="str">
        <f>IF('[3]Deferred Elements'!$B68="","",'[3]Deferred Elements'!$B68)</f>
        <v/>
      </c>
      <c r="C67" s="139" t="str">
        <f>IF('[3]Deferred Elements'!$C68="","",'[3]Deferred Elements'!$C68)</f>
        <v/>
      </c>
      <c r="D67" s="139" t="str">
        <f>IF('[3]Deferred Elements'!$D68="","",'[3]Deferred Elements'!$D68)</f>
        <v>Post 88 Non Barber GMP</v>
      </c>
    </row>
    <row r="68" spans="1:4">
      <c r="A68" s="139" t="str">
        <f>IF('[3]Deferred Elements'!$A69="","",'[3]Deferred Elements'!$A69)</f>
        <v>Pre 78 Increasing Pension</v>
      </c>
      <c r="B68" s="139">
        <f>IF('[3]Deferred Elements'!$B69="","",'[3]Deferred Elements'!$B69)</f>
        <v>0</v>
      </c>
      <c r="C68" s="139" t="str">
        <f>IF('[3]Deferred Elements'!$C69="","",'[3]Deferred Elements'!$C69)</f>
        <v/>
      </c>
      <c r="D68" s="139" t="str">
        <f>IF('[3]Deferred Elements'!$D69="","",'[3]Deferred Elements'!$D69)</f>
        <v>Post 97 Increasing Pension</v>
      </c>
    </row>
    <row r="69" spans="1:4">
      <c r="A69" s="139" t="str">
        <f>IF('[3]Deferred Elements'!$A70="","",'[3]Deferred Elements'!$A70)</f>
        <v>Pre 82 Increasing Excess</v>
      </c>
      <c r="B69" s="139" t="str">
        <f>IF('[3]Deferred Elements'!$B70="","",'[3]Deferred Elements'!$B70)</f>
        <v/>
      </c>
      <c r="C69" s="139" t="str">
        <f>IF('[3]Deferred Elements'!$C70="","",'[3]Deferred Elements'!$C70)</f>
        <v/>
      </c>
      <c r="D69" s="139" t="str">
        <f>IF('[3]Deferred Elements'!$D70="","",'[3]Deferred Elements'!$D70)</f>
        <v>Post 97 Non Barber Increasing Pension</v>
      </c>
    </row>
    <row r="70" spans="1:4">
      <c r="A70" s="139" t="str">
        <f>IF('[3]Deferred Elements'!$A71="","",'[3]Deferred Elements'!$A71)</f>
        <v>Pre 85 Excess</v>
      </c>
      <c r="B70" s="139" t="str">
        <f>IF('[3]Deferred Elements'!$B71="","",'[3]Deferred Elements'!$B71)</f>
        <v/>
      </c>
      <c r="C70" s="139" t="str">
        <f>IF('[3]Deferred Elements'!$C71="","",'[3]Deferred Elements'!$C71)</f>
        <v/>
      </c>
      <c r="D70" s="139" t="str">
        <f>IF('[3]Deferred Elements'!$D71="","",'[3]Deferred Elements'!$D71)</f>
        <v>Post 97 State Pension Deductions</v>
      </c>
    </row>
    <row r="71" spans="1:4">
      <c r="A71" s="139" t="str">
        <f>IF('[3]Deferred Elements'!$A72="","",'[3]Deferred Elements'!$A72)</f>
        <v>Pre 85 Fixed Excess</v>
      </c>
      <c r="B71" s="139" t="str">
        <f>IF('[3]Deferred Elements'!$B72="","",'[3]Deferred Elements'!$B72)</f>
        <v/>
      </c>
      <c r="C71" s="139" t="str">
        <f>IF('[3]Deferred Elements'!$C72="","",'[3]Deferred Elements'!$C72)</f>
        <v/>
      </c>
      <c r="D71" s="139" t="str">
        <f>IF('[3]Deferred Elements'!$D72="","",'[3]Deferred Elements'!$D72)</f>
        <v>Post 97 Value for Money</v>
      </c>
    </row>
    <row r="72" spans="1:4">
      <c r="A72" s="139" t="str">
        <f>IF('[3]Deferred Elements'!$A73="","",'[3]Deferred Elements'!$A73)</f>
        <v>Pre 85 Non increasing Excess</v>
      </c>
      <c r="B72" s="139" t="str">
        <f>IF('[3]Deferred Elements'!$B73="","",'[3]Deferred Elements'!$B73)</f>
        <v/>
      </c>
      <c r="C72" s="139" t="str">
        <f>IF('[3]Deferred Elements'!$C73="","",'[3]Deferred Elements'!$C73)</f>
        <v/>
      </c>
      <c r="D72" s="139" t="str">
        <f>IF('[3]Deferred Elements'!$D73="","",'[3]Deferred Elements'!$D73)</f>
        <v>Post 98 Increasing Pension</v>
      </c>
    </row>
    <row r="73" spans="1:4">
      <c r="A73" s="139" t="str">
        <f>IF('[3]Deferred Elements'!$A74="","",'[3]Deferred Elements'!$A74)</f>
        <v>Pre 87 Increasing Excess</v>
      </c>
      <c r="B73" s="139" t="str">
        <f>IF('[3]Deferred Elements'!$B74="","",'[3]Deferred Elements'!$B74)</f>
        <v/>
      </c>
      <c r="C73" s="139" t="str">
        <f>IF('[3]Deferred Elements'!$C74="","",'[3]Deferred Elements'!$C74)</f>
        <v/>
      </c>
      <c r="D73" s="139" t="str">
        <f>IF('[3]Deferred Elements'!$D74="","",'[3]Deferred Elements'!$D74)</f>
        <v>Post 99 Increasing Pension</v>
      </c>
    </row>
    <row r="74" spans="1:4">
      <c r="A74" s="139" t="str">
        <f>IF('[3]Deferred Elements'!$A75="","",'[3]Deferred Elements'!$A75)</f>
        <v>Pre 90 Increasing Excess</v>
      </c>
      <c r="B74" s="139" t="str">
        <f>IF('[3]Deferred Elements'!$B75="","",'[3]Deferred Elements'!$B75)</f>
        <v/>
      </c>
      <c r="C74" s="139" t="str">
        <f>IF('[3]Deferred Elements'!$C75="","",'[3]Deferred Elements'!$C75)</f>
        <v/>
      </c>
      <c r="D74" s="139" t="str">
        <f>IF('[3]Deferred Elements'!$D75="","",'[3]Deferred Elements'!$D75)</f>
        <v>Pre 78 Fixed Excess</v>
      </c>
    </row>
    <row r="75" spans="1:4">
      <c r="A75" s="139" t="str">
        <f>IF('[3]Deferred Elements'!$A76="","",'[3]Deferred Elements'!$A76)</f>
        <v>Pre 90 Non Barber Excess</v>
      </c>
      <c r="B75" s="139" t="str">
        <f>IF('[3]Deferred Elements'!$B76="","",'[3]Deferred Elements'!$B76)</f>
        <v/>
      </c>
      <c r="C75" s="139" t="str">
        <f>IF('[3]Deferred Elements'!$C76="","",'[3]Deferred Elements'!$C76)</f>
        <v/>
      </c>
      <c r="D75" s="139" t="str">
        <f>IF('[3]Deferred Elements'!$D76="","",'[3]Deferred Elements'!$D76)</f>
        <v>Pre 78 Increasing Pension</v>
      </c>
    </row>
    <row r="76" spans="1:4">
      <c r="A76" s="139" t="str">
        <f>IF('[3]Deferred Elements'!$A77="","",'[3]Deferred Elements'!$A77)</f>
        <v>Pre 91 Increasing Excess</v>
      </c>
      <c r="B76" s="139" t="str">
        <f>IF('[3]Deferred Elements'!$B77="","",'[3]Deferred Elements'!$B77)</f>
        <v/>
      </c>
      <c r="C76" s="139" t="str">
        <f>IF('[3]Deferred Elements'!$C77="","",'[3]Deferred Elements'!$C77)</f>
        <v/>
      </c>
      <c r="D76" s="139" t="str">
        <f>IF('[3]Deferred Elements'!$D77="","",'[3]Deferred Elements'!$D77)</f>
        <v>Pre 82 Increasing Excess</v>
      </c>
    </row>
    <row r="77" spans="1:4">
      <c r="A77" s="139" t="str">
        <f>IF('[3]Deferred Elements'!$A78="","",'[3]Deferred Elements'!$A78)</f>
        <v>Pre 92 Increasing Excess</v>
      </c>
      <c r="B77" s="139" t="str">
        <f>IF('[3]Deferred Elements'!$B78="","",'[3]Deferred Elements'!$B78)</f>
        <v/>
      </c>
      <c r="C77" s="139" t="str">
        <f>IF('[3]Deferred Elements'!$C78="","",'[3]Deferred Elements'!$C78)</f>
        <v/>
      </c>
      <c r="D77" s="139" t="str">
        <f>IF('[3]Deferred Elements'!$D78="","",'[3]Deferred Elements'!$D78)</f>
        <v>Pre 85 Excess</v>
      </c>
    </row>
    <row r="78" spans="1:4">
      <c r="A78" s="139" t="str">
        <f>IF('[3]Deferred Elements'!$A79="","",'[3]Deferred Elements'!$A79)</f>
        <v>Pre 97 Barber Increasing Excess</v>
      </c>
      <c r="B78" s="139" t="str">
        <f>IF('[3]Deferred Elements'!$B79="","",'[3]Deferred Elements'!$B79)</f>
        <v/>
      </c>
      <c r="C78" s="139" t="str">
        <f>IF('[3]Deferred Elements'!$C79="","",'[3]Deferred Elements'!$C79)</f>
        <v/>
      </c>
      <c r="D78" s="139" t="str">
        <f>IF('[3]Deferred Elements'!$D79="","",'[3]Deferred Elements'!$D79)</f>
        <v>Pre 85 Fixed Excess</v>
      </c>
    </row>
    <row r="79" spans="1:4">
      <c r="A79" s="139" t="str">
        <f>IF('[3]Deferred Elements'!$A80="","",'[3]Deferred Elements'!$A80)</f>
        <v>Pre 97 Increasing Excess</v>
      </c>
      <c r="B79" s="139" t="str">
        <f>IF('[3]Deferred Elements'!$B80="","",'[3]Deferred Elements'!$B80)</f>
        <v/>
      </c>
      <c r="C79" s="139" t="str">
        <f>IF('[3]Deferred Elements'!$C80="","",'[3]Deferred Elements'!$C80)</f>
        <v/>
      </c>
      <c r="D79" s="139" t="str">
        <f>IF('[3]Deferred Elements'!$D80="","",'[3]Deferred Elements'!$D80)</f>
        <v>Pre 85 Non increasing Excess</v>
      </c>
    </row>
    <row r="80" spans="1:4">
      <c r="A80" s="139" t="str">
        <f>IF('[3]Deferred Elements'!$A81="","",'[3]Deferred Elements'!$A81)</f>
        <v>Pre 97 Non Barber Increasing Excess</v>
      </c>
      <c r="B80" s="139" t="str">
        <f>IF('[3]Deferred Elements'!$B81="","",'[3]Deferred Elements'!$B81)</f>
        <v/>
      </c>
      <c r="C80" s="139" t="str">
        <f>IF('[3]Deferred Elements'!$C81="","",'[3]Deferred Elements'!$C81)</f>
        <v/>
      </c>
      <c r="D80" s="139" t="str">
        <f>IF('[3]Deferred Elements'!$D81="","",'[3]Deferred Elements'!$D81)</f>
        <v>Pre 87 Increasing Excess</v>
      </c>
    </row>
    <row r="81" spans="1:4">
      <c r="A81" s="139" t="str">
        <f>IF('[3]Deferred Elements'!$A82="","",'[3]Deferred Elements'!$A82)</f>
        <v>Pre 97 State Pension Deductions</v>
      </c>
      <c r="B81" s="139" t="str">
        <f>IF('[3]Deferred Elements'!$B82="","",'[3]Deferred Elements'!$B82)</f>
        <v/>
      </c>
      <c r="C81" s="139" t="str">
        <f>IF('[3]Deferred Elements'!$C82="","",'[3]Deferred Elements'!$C82)</f>
        <v/>
      </c>
      <c r="D81" s="139" t="str">
        <f>IF('[3]Deferred Elements'!$D82="","",'[3]Deferred Elements'!$D82)</f>
        <v>Pre 88 Barber GMP</v>
      </c>
    </row>
    <row r="82" spans="1:4">
      <c r="A82" s="139" t="str">
        <f>IF('[3]Deferred Elements'!$A83="","",'[3]Deferred Elements'!$A83)</f>
        <v>Pre Barber Increasing Excess</v>
      </c>
      <c r="B82" s="139" t="str">
        <f>IF('[3]Deferred Elements'!$B83="","",'[3]Deferred Elements'!$B83)</f>
        <v/>
      </c>
      <c r="C82" s="139" t="str">
        <f>IF('[3]Deferred Elements'!$C83="","",'[3]Deferred Elements'!$C83)</f>
        <v/>
      </c>
      <c r="D82" s="139" t="str">
        <f>IF('[3]Deferred Elements'!$D83="","",'[3]Deferred Elements'!$D83)</f>
        <v>Pre 88 GMP</v>
      </c>
    </row>
    <row r="83" spans="1:4" ht="18.75" customHeight="1">
      <c r="A83" s="139" t="str">
        <f>IF('[3]Deferred Elements'!$A84="","",'[3]Deferred Elements'!$A84)</f>
        <v>State Pension Deductions</v>
      </c>
      <c r="B83" s="139" t="str">
        <f>IF('[3]Deferred Elements'!$B84="","",'[3]Deferred Elements'!$B84)</f>
        <v/>
      </c>
      <c r="C83" s="139" t="str">
        <f>IF('[3]Deferred Elements'!$C84="","",'[3]Deferred Elements'!$C84)</f>
        <v/>
      </c>
      <c r="D83" s="139" t="str">
        <f>IF('[3]Deferred Elements'!$D84="","",'[3]Deferred Elements'!$D84)</f>
        <v>Pre 88 GMP at SPA</v>
      </c>
    </row>
    <row r="84" spans="1:4">
      <c r="A84" s="139" t="str">
        <f>IF('[3]Deferred Elements'!$A85="","",'[3]Deferred Elements'!$A85)</f>
        <v>Step Up at SPA</v>
      </c>
      <c r="B84" s="139" t="str">
        <f>IF('[3]Deferred Elements'!$B85="","",'[3]Deferred Elements'!$B85)</f>
        <v/>
      </c>
      <c r="C84" s="139" t="str">
        <f>IF('[3]Deferred Elements'!$C85="","",'[3]Deferred Elements'!$C85)</f>
        <v/>
      </c>
      <c r="D84" s="139" t="str">
        <f>IF('[3]Deferred Elements'!$D85="","",'[3]Deferred Elements'!$D85)</f>
        <v>Pre 88 Non Barber GMP</v>
      </c>
    </row>
    <row r="85" spans="1:4">
      <c r="A85" s="139" t="str">
        <f>IF('[3]Deferred Elements'!$A86="","",'[3]Deferred Elements'!$A86)</f>
        <v>Transferred in PUP</v>
      </c>
      <c r="B85" s="139" t="str">
        <f>IF('[3]Deferred Elements'!$B86="","",'[3]Deferred Elements'!$B86)</f>
        <v/>
      </c>
      <c r="C85" s="139" t="str">
        <f>IF('[3]Deferred Elements'!$C86="","",'[3]Deferred Elements'!$C86)</f>
        <v/>
      </c>
      <c r="D85" s="139" t="str">
        <f>IF('[3]Deferred Elements'!$D86="","",'[3]Deferred Elements'!$D86)</f>
        <v>Pre 90 Increasing Excess</v>
      </c>
    </row>
    <row r="86" spans="1:4">
      <c r="A86" s="139" t="str">
        <f>IF('[3]Deferred Elements'!$A87="","",'[3]Deferred Elements'!$A87)</f>
        <v>Transferred-in 97 to 2005 Increasing Pension</v>
      </c>
      <c r="B86" s="139" t="str">
        <f>IF('[3]Deferred Elements'!$B87="","",'[3]Deferred Elements'!$B87)</f>
        <v/>
      </c>
      <c r="C86" s="139" t="str">
        <f>IF('[3]Deferred Elements'!$C87="","",'[3]Deferred Elements'!$C87)</f>
        <v/>
      </c>
      <c r="D86" s="139" t="str">
        <f>IF('[3]Deferred Elements'!$D87="","",'[3]Deferred Elements'!$D87)</f>
        <v>Pre 90 Non Barber Excess</v>
      </c>
    </row>
    <row r="87" spans="1:4">
      <c r="A87" s="139" t="str">
        <f>IF('[3]Deferred Elements'!$A88="","",'[3]Deferred Elements'!$A88)</f>
        <v>Transferred-in Added Service</v>
      </c>
      <c r="B87" s="139" t="str">
        <f>IF('[3]Deferred Elements'!$B88="","",'[3]Deferred Elements'!$B88)</f>
        <v/>
      </c>
      <c r="C87" s="139" t="str">
        <f>IF('[3]Deferred Elements'!$C88="","",'[3]Deferred Elements'!$C88)</f>
        <v/>
      </c>
      <c r="D87" s="139" t="str">
        <f>IF('[3]Deferred Elements'!$D88="","",'[3]Deferred Elements'!$D88)</f>
        <v>Pre 91 Increasing Excess</v>
      </c>
    </row>
    <row r="88" spans="1:4">
      <c r="A88" s="139" t="str">
        <f>IF('[3]Deferred Elements'!$A89="","",'[3]Deferred Elements'!$A89)</f>
        <v>Transferred-in Added Service Post 2006</v>
      </c>
      <c r="B88" s="139" t="str">
        <f>IF('[3]Deferred Elements'!$B89="","",'[3]Deferred Elements'!$B89)</f>
        <v/>
      </c>
      <c r="C88" s="139" t="str">
        <f>IF('[3]Deferred Elements'!$C89="","",'[3]Deferred Elements'!$C89)</f>
        <v/>
      </c>
      <c r="D88" s="139" t="str">
        <f>IF('[3]Deferred Elements'!$D89="","",'[3]Deferred Elements'!$D89)</f>
        <v>Pre 92 Increasing Excess</v>
      </c>
    </row>
    <row r="89" spans="1:4">
      <c r="A89" s="139" t="str">
        <f>IF('[3]Deferred Elements'!$A90="","",'[3]Deferred Elements'!$A90)</f>
        <v>Transferred-in Added Service Post 97</v>
      </c>
      <c r="B89" s="139" t="str">
        <f>IF('[3]Deferred Elements'!$B90="","",'[3]Deferred Elements'!$B90)</f>
        <v/>
      </c>
      <c r="C89" s="139" t="str">
        <f>IF('[3]Deferred Elements'!$C90="","",'[3]Deferred Elements'!$C90)</f>
        <v/>
      </c>
      <c r="D89" s="139" t="str">
        <f>IF('[3]Deferred Elements'!$D90="","",'[3]Deferred Elements'!$D90)</f>
        <v>Pre 97 Barber Increasing Excess</v>
      </c>
    </row>
    <row r="90" spans="1:4">
      <c r="A90" s="139" t="str">
        <f>IF('[3]Deferred Elements'!$A91="","",'[3]Deferred Elements'!$A91)</f>
        <v>Transferred-in Added Service Pre 97</v>
      </c>
      <c r="B90" s="139" t="str">
        <f>IF('[3]Deferred Elements'!$B91="","",'[3]Deferred Elements'!$B91)</f>
        <v/>
      </c>
      <c r="C90" s="139" t="str">
        <f>IF('[3]Deferred Elements'!$C91="","",'[3]Deferred Elements'!$C91)</f>
        <v/>
      </c>
      <c r="D90" s="139" t="str">
        <f>IF('[3]Deferred Elements'!$D91="","",'[3]Deferred Elements'!$D91)</f>
        <v>Pre 97 Increasing Excess</v>
      </c>
    </row>
    <row r="91" spans="1:4">
      <c r="A91" s="139" t="str">
        <f>IF('[3]Deferred Elements'!$A92="","",'[3]Deferred Elements'!$A92)</f>
        <v>Transferred-in Fixed Excess</v>
      </c>
      <c r="B91" s="139" t="str">
        <f>IF('[3]Deferred Elements'!$B92="","",'[3]Deferred Elements'!$B92)</f>
        <v/>
      </c>
      <c r="C91" s="139" t="str">
        <f>IF('[3]Deferred Elements'!$C92="","",'[3]Deferred Elements'!$C92)</f>
        <v/>
      </c>
      <c r="D91" s="139" t="str">
        <f>IF('[3]Deferred Elements'!$D92="","",'[3]Deferred Elements'!$D92)</f>
        <v>Pre 97 Non Barber Increasing Excess</v>
      </c>
    </row>
    <row r="92" spans="1:4">
      <c r="A92" s="139" t="str">
        <f>IF('[3]Deferred Elements'!$A93="","",'[3]Deferred Elements'!$A93)</f>
        <v>Transferred-in Fixed Pension</v>
      </c>
      <c r="B92" s="139" t="str">
        <f>IF('[3]Deferred Elements'!$B93="","",'[3]Deferred Elements'!$B93)</f>
        <v/>
      </c>
      <c r="C92" s="139" t="str">
        <f>IF('[3]Deferred Elements'!$C93="","",'[3]Deferred Elements'!$C93)</f>
        <v/>
      </c>
      <c r="D92" s="139" t="str">
        <f>IF('[3]Deferred Elements'!$D93="","",'[3]Deferred Elements'!$D93)</f>
        <v>Pre 97 State Pension Deductions</v>
      </c>
    </row>
    <row r="93" spans="1:4" ht="21.75" customHeight="1">
      <c r="A93" s="139" t="str">
        <f>IF('[3]Deferred Elements'!$A94="","",'[3]Deferred Elements'!$A94)</f>
        <v>Transferred-in Fixed Pension at NRD</v>
      </c>
      <c r="B93" s="139" t="str">
        <f>IF('[3]Deferred Elements'!$B94="","",'[3]Deferred Elements'!$B94)</f>
        <v/>
      </c>
      <c r="C93" s="139" t="str">
        <f>IF('[3]Deferred Elements'!$C94="","",'[3]Deferred Elements'!$C94)</f>
        <v/>
      </c>
      <c r="D93" s="139" t="str">
        <f>IF('[3]Deferred Elements'!$D94="","",'[3]Deferred Elements'!$D94)</f>
        <v>Pre Barber Increasing Excess</v>
      </c>
    </row>
    <row r="94" spans="1:4">
      <c r="A94" s="139" t="str">
        <f>IF('[3]Deferred Elements'!$A95="","",'[3]Deferred Elements'!$A95)</f>
        <v>Transferred-in Increasing Pension</v>
      </c>
      <c r="B94" s="139" t="str">
        <f>IF('[3]Deferred Elements'!$B95="","",'[3]Deferred Elements'!$B95)</f>
        <v/>
      </c>
      <c r="C94" s="139" t="str">
        <f>IF('[3]Deferred Elements'!$C95="","",'[3]Deferred Elements'!$C95)</f>
        <v/>
      </c>
      <c r="D94" s="139" t="str">
        <f>IF('[3]Deferred Elements'!$D95="","",'[3]Deferred Elements'!$D95)</f>
        <v>State Pension Deductions</v>
      </c>
    </row>
    <row r="95" spans="1:4">
      <c r="A95" s="139" t="str">
        <f>IF('[3]Deferred Elements'!$A96="","",'[3]Deferred Elements'!$A96)</f>
        <v>Transferred-in Increasing Pension at NRD</v>
      </c>
      <c r="B95" s="139" t="str">
        <f>IF('[3]Deferred Elements'!$B96="","",'[3]Deferred Elements'!$B96)</f>
        <v/>
      </c>
      <c r="C95" s="139" t="str">
        <f>IF('[3]Deferred Elements'!$C96="","",'[3]Deferred Elements'!$C96)</f>
        <v/>
      </c>
      <c r="D95" s="139" t="str">
        <f>IF('[3]Deferred Elements'!$D96="","",'[3]Deferred Elements'!$D96)</f>
        <v>Step Up at SPA</v>
      </c>
    </row>
    <row r="96" spans="1:4">
      <c r="A96" s="139" t="str">
        <f>IF('[3]Deferred Elements'!$A97="","",'[3]Deferred Elements'!$A97)</f>
        <v>Transferred-in Post 2005 Increasing Pension</v>
      </c>
      <c r="B96" s="139" t="str">
        <f>IF('[3]Deferred Elements'!$B97="","",'[3]Deferred Elements'!$B97)</f>
        <v/>
      </c>
      <c r="C96" s="139" t="str">
        <f>IF('[3]Deferred Elements'!$C97="","",'[3]Deferred Elements'!$C97)</f>
        <v/>
      </c>
      <c r="D96" s="139" t="str">
        <f>IF('[3]Deferred Elements'!$D97="","",'[3]Deferred Elements'!$D97)</f>
        <v>Transferred in PUP</v>
      </c>
    </row>
    <row r="97" spans="1:4">
      <c r="A97" s="139" t="str">
        <f>IF('[3]Deferred Elements'!$A98="","",'[3]Deferred Elements'!$A98)</f>
        <v>Transferred-in Post 97 Fixed Pension</v>
      </c>
      <c r="B97" s="139" t="str">
        <f>IF('[3]Deferred Elements'!$B98="","",'[3]Deferred Elements'!$B98)</f>
        <v/>
      </c>
      <c r="C97" s="139" t="str">
        <f>IF('[3]Deferred Elements'!$C98="","",'[3]Deferred Elements'!$C98)</f>
        <v/>
      </c>
      <c r="D97" s="139" t="str">
        <f>IF('[3]Deferred Elements'!$D98="","",'[3]Deferred Elements'!$D98)</f>
        <v>Transferred-in 97 to 2005 Increasing Pension</v>
      </c>
    </row>
    <row r="98" spans="1:4">
      <c r="A98" s="139" t="str">
        <f>IF('[3]Deferred Elements'!$A99="","",'[3]Deferred Elements'!$A99)</f>
        <v>Transferred-in Post 97 Increasing Pension</v>
      </c>
      <c r="B98" s="139" t="str">
        <f>IF('[3]Deferred Elements'!$B99="","",'[3]Deferred Elements'!$B99)</f>
        <v/>
      </c>
      <c r="C98" s="139" t="str">
        <f>IF('[3]Deferred Elements'!$C99="","",'[3]Deferred Elements'!$C99)</f>
        <v/>
      </c>
      <c r="D98" s="139" t="str">
        <f>IF('[3]Deferred Elements'!$D99="","",'[3]Deferred Elements'!$D99)</f>
        <v>Transferred-in Added Service</v>
      </c>
    </row>
    <row r="99" spans="1:4">
      <c r="A99" s="139" t="str">
        <f>IF('[3]Deferred Elements'!$A100="","",'[3]Deferred Elements'!$A100)</f>
        <v>Transferred-in Pre 97 Fixed Excess</v>
      </c>
      <c r="B99" s="139" t="str">
        <f>IF('[3]Deferred Elements'!$B100="","",'[3]Deferred Elements'!$B100)</f>
        <v/>
      </c>
      <c r="C99" s="139" t="str">
        <f>IF('[3]Deferred Elements'!$C100="","",'[3]Deferred Elements'!$C100)</f>
        <v/>
      </c>
      <c r="D99" s="139" t="str">
        <f>IF('[3]Deferred Elements'!$D100="","",'[3]Deferred Elements'!$D100)</f>
        <v>Transferred-in Added Service Post 2006</v>
      </c>
    </row>
    <row r="100" spans="1:4">
      <c r="A100" s="139" t="str">
        <f>IF('[3]Deferred Elements'!$A101="","",'[3]Deferred Elements'!$A101)</f>
        <v>Transferred-in Pre 97 Increasing Excess</v>
      </c>
      <c r="B100" s="139" t="str">
        <f>IF('[3]Deferred Elements'!$B101="","",'[3]Deferred Elements'!$B101)</f>
        <v/>
      </c>
      <c r="C100" s="139" t="str">
        <f>IF('[3]Deferred Elements'!$C101="","",'[3]Deferred Elements'!$C101)</f>
        <v/>
      </c>
      <c r="D100" s="139" t="str">
        <f>IF('[3]Deferred Elements'!$D101="","",'[3]Deferred Elements'!$D101)</f>
        <v>Transferred-in Added Service Post 97</v>
      </c>
    </row>
    <row r="101" spans="1:4">
      <c r="A101" s="139" t="str">
        <f>IF('[3]Deferred Elements'!$A102="","",'[3]Deferred Elements'!$A102)</f>
        <v>Value for Money</v>
      </c>
      <c r="B101" s="139" t="str">
        <f>IF('[3]Deferred Elements'!$B102="","",'[3]Deferred Elements'!$B102)</f>
        <v/>
      </c>
      <c r="C101" s="139" t="str">
        <f>IF('[3]Deferred Elements'!$C102="","",'[3]Deferred Elements'!$C102)</f>
        <v/>
      </c>
      <c r="D101" s="139" t="str">
        <f>IF('[3]Deferred Elements'!$D102="","",'[3]Deferred Elements'!$D102)</f>
        <v>Transferred-in Added Service Pre 97</v>
      </c>
    </row>
    <row r="102" spans="1:4">
      <c r="A102" s="139">
        <f>IF('[3]Deferred Elements'!$A103="","",'[3]Deferred Elements'!$A103)</f>
        <v>0</v>
      </c>
      <c r="B102" s="139" t="str">
        <f>IF('[3]Deferred Elements'!$B103="","",'[3]Deferred Elements'!$B103)</f>
        <v/>
      </c>
      <c r="C102" s="139" t="str">
        <f>IF('[3]Deferred Elements'!$C103="","",'[3]Deferred Elements'!$C103)</f>
        <v/>
      </c>
      <c r="D102" s="139" t="str">
        <f>IF('[3]Deferred Elements'!$D103="","",'[3]Deferred Elements'!$D103)</f>
        <v>Transferred-in Fixed Excess</v>
      </c>
    </row>
    <row r="103" spans="1:4">
      <c r="A103" s="139" t="str">
        <f>IF('[3]Deferred Elements'!$A104="","",'[3]Deferred Elements'!$A104)</f>
        <v/>
      </c>
      <c r="B103" s="139" t="str">
        <f>IF('[3]Deferred Elements'!$B104="","",'[3]Deferred Elements'!$B104)</f>
        <v/>
      </c>
      <c r="C103" s="139" t="str">
        <f>IF('[3]Deferred Elements'!$C104="","",'[3]Deferred Elements'!$C104)</f>
        <v/>
      </c>
      <c r="D103" s="139" t="str">
        <f>IF('[3]Deferred Elements'!$D104="","",'[3]Deferred Elements'!$D104)</f>
        <v>Transferred-in Fixed Pension</v>
      </c>
    </row>
    <row r="104" spans="1:4">
      <c r="A104" s="139" t="str">
        <f>IF('[3]Deferred Elements'!$A105="","",'[3]Deferred Elements'!$A105)</f>
        <v/>
      </c>
      <c r="B104" s="139" t="str">
        <f>IF('[3]Deferred Elements'!$B105="","",'[3]Deferred Elements'!$B105)</f>
        <v/>
      </c>
      <c r="C104" s="139" t="str">
        <f>IF('[3]Deferred Elements'!$C105="","",'[3]Deferred Elements'!$C105)</f>
        <v/>
      </c>
      <c r="D104" s="139" t="str">
        <f>IF('[3]Deferred Elements'!$D105="","",'[3]Deferred Elements'!$D105)</f>
        <v>Transferred-in Fixed Pension at NRD</v>
      </c>
    </row>
    <row r="105" spans="1:4">
      <c r="A105" s="139" t="str">
        <f>IF('[3]Deferred Elements'!$A106="","",'[3]Deferred Elements'!$A106)</f>
        <v/>
      </c>
      <c r="B105" s="139" t="str">
        <f>IF('[3]Deferred Elements'!$B106="","",'[3]Deferred Elements'!$B106)</f>
        <v/>
      </c>
      <c r="C105" s="139" t="str">
        <f>IF('[3]Deferred Elements'!$C106="","",'[3]Deferred Elements'!$C106)</f>
        <v/>
      </c>
      <c r="D105" s="139" t="str">
        <f>IF('[3]Deferred Elements'!$D106="","",'[3]Deferred Elements'!$D106)</f>
        <v>Transferred-in Increasing Pension</v>
      </c>
    </row>
    <row r="106" spans="1:4">
      <c r="A106" s="139" t="str">
        <f>IF('[3]Deferred Elements'!$A107="","",'[3]Deferred Elements'!$A107)</f>
        <v/>
      </c>
      <c r="B106" s="139" t="str">
        <f>IF('[3]Deferred Elements'!$B107="","",'[3]Deferred Elements'!$B107)</f>
        <v/>
      </c>
      <c r="C106" s="139" t="str">
        <f>IF('[3]Deferred Elements'!$C107="","",'[3]Deferred Elements'!$C107)</f>
        <v/>
      </c>
      <c r="D106" s="139" t="str">
        <f>IF('[3]Deferred Elements'!$D107="","",'[3]Deferred Elements'!$D107)</f>
        <v>Transferred-in Increasing Pension at NRD</v>
      </c>
    </row>
    <row r="107" spans="1:4">
      <c r="A107" s="139" t="str">
        <f>IF('[3]Deferred Elements'!$A108="","",'[3]Deferred Elements'!$A108)</f>
        <v/>
      </c>
      <c r="B107" s="139" t="str">
        <f>IF('[3]Deferred Elements'!$B108="","",'[3]Deferred Elements'!$B108)</f>
        <v/>
      </c>
      <c r="C107" s="139" t="str">
        <f>IF('[3]Deferred Elements'!$C108="","",'[3]Deferred Elements'!$C108)</f>
        <v/>
      </c>
      <c r="D107" s="139" t="str">
        <f>IF('[3]Deferred Elements'!$D108="","",'[3]Deferred Elements'!$D108)</f>
        <v>Transferred-in Post 2005 Increasing Pension</v>
      </c>
    </row>
    <row r="108" spans="1:4">
      <c r="A108" s="139" t="str">
        <f>IF('[3]Deferred Elements'!$A109="","",'[3]Deferred Elements'!$A109)</f>
        <v/>
      </c>
      <c r="B108" s="139" t="str">
        <f>IF('[3]Deferred Elements'!$B109="","",'[3]Deferred Elements'!$B109)</f>
        <v/>
      </c>
      <c r="C108" s="139" t="str">
        <f>IF('[3]Deferred Elements'!$C109="","",'[3]Deferred Elements'!$C109)</f>
        <v/>
      </c>
      <c r="D108" s="139" t="str">
        <f>IF('[3]Deferred Elements'!$D109="","",'[3]Deferred Elements'!$D109)</f>
        <v>Transferred-in Post 97 Fixed Pension</v>
      </c>
    </row>
    <row r="109" spans="1:4">
      <c r="A109" s="139" t="str">
        <f>IF('[3]Deferred Elements'!$A110="","",'[3]Deferred Elements'!$A110)</f>
        <v/>
      </c>
      <c r="B109" s="139" t="str">
        <f>IF('[3]Deferred Elements'!$B110="","",'[3]Deferred Elements'!$B110)</f>
        <v/>
      </c>
      <c r="C109" s="139" t="str">
        <f>IF('[3]Deferred Elements'!$C110="","",'[3]Deferred Elements'!$C110)</f>
        <v/>
      </c>
      <c r="D109" s="139" t="str">
        <f>IF('[3]Deferred Elements'!$D110="","",'[3]Deferred Elements'!$D110)</f>
        <v>Transferred-in Post 97 Increasing Pension</v>
      </c>
    </row>
    <row r="110" spans="1:4">
      <c r="A110" s="139" t="str">
        <f>IF('[3]Deferred Elements'!$A111="","",'[3]Deferred Elements'!$A111)</f>
        <v/>
      </c>
      <c r="B110" s="139" t="str">
        <f>IF('[3]Deferred Elements'!$B111="","",'[3]Deferred Elements'!$B111)</f>
        <v/>
      </c>
      <c r="C110" s="139" t="str">
        <f>IF('[3]Deferred Elements'!$C111="","",'[3]Deferred Elements'!$C111)</f>
        <v/>
      </c>
      <c r="D110" s="139" t="str">
        <f>IF('[3]Deferred Elements'!$D111="","",'[3]Deferred Elements'!$D111)</f>
        <v>Transferred-in Pre 97 Fixed Excess</v>
      </c>
    </row>
    <row r="111" spans="1:4">
      <c r="A111" s="139" t="str">
        <f>IF('[3]Deferred Elements'!$A112="","",'[3]Deferred Elements'!$A112)</f>
        <v/>
      </c>
      <c r="B111" s="139" t="str">
        <f>IF('[3]Deferred Elements'!$B112="","",'[3]Deferred Elements'!$B112)</f>
        <v/>
      </c>
      <c r="C111" s="139" t="str">
        <f>IF('[3]Deferred Elements'!$C112="","",'[3]Deferred Elements'!$C112)</f>
        <v/>
      </c>
      <c r="D111" s="139" t="str">
        <f>IF('[3]Deferred Elements'!$D112="","",'[3]Deferred Elements'!$D112)</f>
        <v>Transferred-in Pre 97 Increasing Excess</v>
      </c>
    </row>
    <row r="112" spans="1:4">
      <c r="A112" s="139" t="str">
        <f>IF('[3]Deferred Elements'!$A113="","",'[3]Deferred Elements'!$A113)</f>
        <v/>
      </c>
      <c r="B112" s="139" t="str">
        <f>IF('[3]Deferred Elements'!$B113="","",'[3]Deferred Elements'!$B113)</f>
        <v/>
      </c>
      <c r="C112" s="139" t="str">
        <f>IF('[3]Deferred Elements'!$C113="","",'[3]Deferred Elements'!$C113)</f>
        <v/>
      </c>
      <c r="D112" s="139">
        <f>IF('[3]Deferred Elements'!$D113="","",'[3]Deferred Elements'!$D113)</f>
        <v>0</v>
      </c>
    </row>
    <row r="113" spans="1:4">
      <c r="A113" s="139" t="str">
        <f>IF('[3]Deferred Elements'!$A114="","",'[3]Deferred Elements'!$A114)</f>
        <v/>
      </c>
      <c r="B113" s="139" t="str">
        <f>IF('[3]Deferred Elements'!$B114="","",'[3]Deferred Elements'!$B114)</f>
        <v/>
      </c>
      <c r="C113" s="139" t="str">
        <f>IF('[3]Deferred Elements'!$C114="","",'[3]Deferred Elements'!$C114)</f>
        <v/>
      </c>
      <c r="D113" s="139" t="str">
        <f>IF('[3]Deferred Elements'!$D114="","",'[3]Deferred Elements'!$D114)</f>
        <v/>
      </c>
    </row>
    <row r="114" spans="1:4">
      <c r="A114" s="139" t="str">
        <f>IF('[3]Deferred Elements'!$A115="","",'[3]Deferred Elements'!$A115)</f>
        <v/>
      </c>
      <c r="B114" s="139" t="str">
        <f>IF('[3]Deferred Elements'!$B115="","",'[3]Deferred Elements'!$B115)</f>
        <v/>
      </c>
      <c r="C114" s="139" t="str">
        <f>IF('[3]Deferred Elements'!$C115="","",'[3]Deferred Elements'!$C115)</f>
        <v/>
      </c>
      <c r="D114" s="139" t="str">
        <f>IF('[3]Deferred Elements'!$D115="","",'[3]Deferred Elements'!$D115)</f>
        <v/>
      </c>
    </row>
    <row r="115" spans="1:4">
      <c r="A115" s="139" t="str">
        <f>IF('[3]Deferred Elements'!$A116="","",'[3]Deferred Elements'!$A116)</f>
        <v/>
      </c>
      <c r="B115" s="139" t="str">
        <f>IF('[3]Deferred Elements'!$B116="","",'[3]Deferred Elements'!$B116)</f>
        <v/>
      </c>
      <c r="C115" s="139" t="str">
        <f>IF('[3]Deferred Elements'!$C116="","",'[3]Deferred Elements'!$C116)</f>
        <v/>
      </c>
      <c r="D115" s="139" t="str">
        <f>IF('[3]Deferred Elements'!$D116="","",'[3]Deferred Elements'!$D116)</f>
        <v/>
      </c>
    </row>
    <row r="116" spans="1:4">
      <c r="A116" s="139" t="str">
        <f>IF('[3]Deferred Elements'!$A117="","",'[3]Deferred Elements'!$A117)</f>
        <v/>
      </c>
      <c r="B116" s="139" t="str">
        <f>IF('[3]Deferred Elements'!$B117="","",'[3]Deferred Elements'!$B117)</f>
        <v/>
      </c>
      <c r="C116" s="139" t="str">
        <f>IF('[3]Deferred Elements'!$C117="","",'[3]Deferred Elements'!$C117)</f>
        <v/>
      </c>
      <c r="D116" s="139" t="str">
        <f>IF('[3]Deferred Elements'!$D117="","",'[3]Deferred Elements'!$D117)</f>
        <v/>
      </c>
    </row>
    <row r="117" spans="1:4">
      <c r="A117" s="139" t="str">
        <f>IF('[3]Deferred Elements'!$A118="","",'[3]Deferred Elements'!$A118)</f>
        <v/>
      </c>
      <c r="B117" s="139" t="str">
        <f>IF('[3]Deferred Elements'!$B118="","",'[3]Deferred Elements'!$B118)</f>
        <v/>
      </c>
      <c r="C117" s="139" t="str">
        <f>IF('[3]Deferred Elements'!$C118="","",'[3]Deferred Elements'!$C118)</f>
        <v/>
      </c>
      <c r="D117" s="139" t="str">
        <f>IF('[3]Deferred Elements'!$D118="","",'[3]Deferred Elements'!$D118)</f>
        <v/>
      </c>
    </row>
    <row r="118" spans="1:4">
      <c r="A118" s="139" t="str">
        <f>IF('[3]Deferred Elements'!$A119="","",'[3]Deferred Elements'!$A119)</f>
        <v/>
      </c>
      <c r="B118" s="139" t="str">
        <f>IF('[3]Deferred Elements'!$B119="","",'[3]Deferred Elements'!$B119)</f>
        <v/>
      </c>
      <c r="C118" s="139" t="str">
        <f>IF('[3]Deferred Elements'!$C119="","",'[3]Deferred Elements'!$C119)</f>
        <v/>
      </c>
      <c r="D118" s="139" t="str">
        <f>IF('[3]Deferred Elements'!$D119="","",'[3]Deferred Elements'!$D119)</f>
        <v/>
      </c>
    </row>
    <row r="119" spans="1:4">
      <c r="A119" s="139" t="str">
        <f>IF('[3]Deferred Elements'!$A120="","",'[3]Deferred Elements'!$A120)</f>
        <v/>
      </c>
      <c r="B119" s="139" t="str">
        <f>IF('[3]Deferred Elements'!$B120="","",'[3]Deferred Elements'!$B120)</f>
        <v/>
      </c>
      <c r="C119" s="139" t="str">
        <f>IF('[3]Deferred Elements'!$C120="","",'[3]Deferred Elements'!$C120)</f>
        <v/>
      </c>
      <c r="D119" s="139" t="str">
        <f>IF('[3]Deferred Elements'!$D120="","",'[3]Deferred Elements'!$D120)</f>
        <v/>
      </c>
    </row>
    <row r="120" spans="1:4">
      <c r="A120" s="139" t="str">
        <f>IF('[3]Deferred Elements'!$A121="","",'[3]Deferred Elements'!$A121)</f>
        <v/>
      </c>
      <c r="B120" s="139" t="str">
        <f>IF('[3]Deferred Elements'!$B121="","",'[3]Deferred Elements'!$B121)</f>
        <v/>
      </c>
      <c r="C120" s="139" t="str">
        <f>IF('[3]Deferred Elements'!$C121="","",'[3]Deferred Elements'!$C121)</f>
        <v/>
      </c>
      <c r="D120" s="139" t="str">
        <f>IF('[3]Deferred Elements'!$D121="","",'[3]Deferred Elements'!$D121)</f>
        <v/>
      </c>
    </row>
    <row r="121" spans="1:4">
      <c r="A121" s="139" t="str">
        <f>IF('[3]Deferred Elements'!$A122="","",'[3]Deferred Elements'!$A122)</f>
        <v/>
      </c>
      <c r="B121" s="139" t="str">
        <f>IF('[3]Deferred Elements'!$B122="","",'[3]Deferred Elements'!$B122)</f>
        <v/>
      </c>
      <c r="C121" s="139" t="str">
        <f>IF('[3]Deferred Elements'!$C122="","",'[3]Deferred Elements'!$C122)</f>
        <v/>
      </c>
      <c r="D121" s="139" t="str">
        <f>IF('[3]Deferred Elements'!$D122="","",'[3]Deferred Elements'!$D122)</f>
        <v/>
      </c>
    </row>
    <row r="122" spans="1:4">
      <c r="A122" s="139" t="str">
        <f>IF('[3]Deferred Elements'!$A123="","",'[3]Deferred Elements'!$A123)</f>
        <v/>
      </c>
      <c r="B122" s="139" t="str">
        <f>IF('[3]Deferred Elements'!$B123="","",'[3]Deferred Elements'!$B123)</f>
        <v/>
      </c>
      <c r="C122" s="139" t="str">
        <f>IF('[3]Deferred Elements'!$C123="","",'[3]Deferred Elements'!$C123)</f>
        <v/>
      </c>
      <c r="D122" s="139" t="str">
        <f>IF('[3]Deferred Elements'!$D123="","",'[3]Deferred Elements'!$D123)</f>
        <v/>
      </c>
    </row>
    <row r="123" spans="1:4">
      <c r="A123" s="139" t="str">
        <f>IF('[3]Deferred Elements'!$A124="","",'[3]Deferred Elements'!$A124)</f>
        <v/>
      </c>
      <c r="B123" s="139" t="str">
        <f>IF('[3]Deferred Elements'!$B124="","",'[3]Deferred Elements'!$B124)</f>
        <v/>
      </c>
      <c r="C123" s="139" t="str">
        <f>IF('[3]Deferred Elements'!$C124="","",'[3]Deferred Elements'!$C124)</f>
        <v/>
      </c>
      <c r="D123" s="139" t="str">
        <f>IF('[3]Deferred Elements'!$D124="","",'[3]Deferred Elements'!$D124)</f>
        <v/>
      </c>
    </row>
    <row r="124" spans="1:4">
      <c r="A124" s="139" t="str">
        <f>IF('[3]Deferred Elements'!$A125="","",'[3]Deferred Elements'!$A125)</f>
        <v/>
      </c>
      <c r="B124" s="139" t="str">
        <f>IF('[3]Deferred Elements'!$B125="","",'[3]Deferred Elements'!$B125)</f>
        <v/>
      </c>
      <c r="C124" s="139" t="str">
        <f>IF('[3]Deferred Elements'!$C125="","",'[3]Deferred Elements'!$C125)</f>
        <v/>
      </c>
      <c r="D124" s="139" t="str">
        <f>IF('[3]Deferred Elements'!$D125="","",'[3]Deferred Elements'!$D125)</f>
        <v/>
      </c>
    </row>
    <row r="125" spans="1:4">
      <c r="A125" s="139" t="str">
        <f>IF('[3]Deferred Elements'!$A126="","",'[3]Deferred Elements'!$A126)</f>
        <v/>
      </c>
      <c r="B125" s="139" t="str">
        <f>IF('[3]Deferred Elements'!$B126="","",'[3]Deferred Elements'!$B126)</f>
        <v/>
      </c>
      <c r="C125" s="139" t="str">
        <f>IF('[3]Deferred Elements'!$C126="","",'[3]Deferred Elements'!$C126)</f>
        <v/>
      </c>
      <c r="D125" s="139" t="str">
        <f>IF('[3]Deferred Elements'!$D126="","",'[3]Deferred Elements'!$D126)</f>
        <v/>
      </c>
    </row>
    <row r="126" spans="1:4">
      <c r="A126" s="139" t="str">
        <f>IF('[3]Deferred Elements'!$A127="","",'[3]Deferred Elements'!$A127)</f>
        <v/>
      </c>
      <c r="B126" s="139" t="str">
        <f>IF('[3]Deferred Elements'!$B127="","",'[3]Deferred Elements'!$B127)</f>
        <v/>
      </c>
      <c r="C126" s="139" t="str">
        <f>IF('[3]Deferred Elements'!$C127="","",'[3]Deferred Elements'!$C127)</f>
        <v/>
      </c>
      <c r="D126" s="139" t="str">
        <f>IF('[3]Deferred Elements'!$D127="","",'[3]Deferred Elements'!$D127)</f>
        <v/>
      </c>
    </row>
    <row r="127" spans="1:4">
      <c r="A127" s="139" t="str">
        <f>IF('[3]Deferred Elements'!$A128="","",'[3]Deferred Elements'!$A128)</f>
        <v/>
      </c>
      <c r="B127" s="139" t="str">
        <f>IF('[3]Deferred Elements'!$B128="","",'[3]Deferred Elements'!$B128)</f>
        <v/>
      </c>
      <c r="C127" s="139" t="str">
        <f>IF('[3]Deferred Elements'!$C128="","",'[3]Deferred Elements'!$C128)</f>
        <v/>
      </c>
      <c r="D127" s="139" t="str">
        <f>IF('[3]Deferred Elements'!$D128="","",'[3]Deferred Elements'!$D128)</f>
        <v/>
      </c>
    </row>
    <row r="128" spans="1:4">
      <c r="A128" s="139" t="str">
        <f>IF('[3]Deferred Elements'!$A129="","",'[3]Deferred Elements'!$A129)</f>
        <v/>
      </c>
      <c r="B128" s="139" t="str">
        <f>IF('[3]Deferred Elements'!$B129="","",'[3]Deferred Elements'!$B129)</f>
        <v/>
      </c>
      <c r="C128" s="139" t="str">
        <f>IF('[3]Deferred Elements'!$C129="","",'[3]Deferred Elements'!$C129)</f>
        <v/>
      </c>
      <c r="D128" s="139" t="str">
        <f>IF('[3]Deferred Elements'!$D129="","",'[3]Deferred Elements'!$D129)</f>
        <v/>
      </c>
    </row>
    <row r="129" spans="1:4">
      <c r="A129" s="139" t="str">
        <f>IF('[3]Deferred Elements'!$A130="","",'[3]Deferred Elements'!$A130)</f>
        <v/>
      </c>
      <c r="B129" s="139" t="str">
        <f>IF('[3]Deferred Elements'!$B130="","",'[3]Deferred Elements'!$B130)</f>
        <v/>
      </c>
      <c r="C129" s="139" t="str">
        <f>IF('[3]Deferred Elements'!$C130="","",'[3]Deferred Elements'!$C130)</f>
        <v/>
      </c>
      <c r="D129" s="139" t="str">
        <f>IF('[3]Deferred Elements'!$D130="","",'[3]Deferred Elements'!$D130)</f>
        <v/>
      </c>
    </row>
    <row r="130" spans="1:4">
      <c r="A130" s="139" t="str">
        <f>IF('[3]Deferred Elements'!$A131="","",'[3]Deferred Elements'!$A131)</f>
        <v/>
      </c>
      <c r="B130" s="139" t="str">
        <f>IF('[3]Deferred Elements'!$B131="","",'[3]Deferred Elements'!$B131)</f>
        <v/>
      </c>
      <c r="C130" s="139" t="str">
        <f>IF('[3]Deferred Elements'!$C131="","",'[3]Deferred Elements'!$C131)</f>
        <v/>
      </c>
      <c r="D130" s="139" t="str">
        <f>IF('[3]Deferred Elements'!$D131="","",'[3]Deferred Elements'!$D131)</f>
        <v/>
      </c>
    </row>
    <row r="131" spans="1:4">
      <c r="A131" s="139" t="str">
        <f>IF('[3]Deferred Elements'!$A132="","",'[3]Deferred Elements'!$A132)</f>
        <v/>
      </c>
      <c r="B131" s="139" t="str">
        <f>IF('[3]Deferred Elements'!$B132="","",'[3]Deferred Elements'!$B132)</f>
        <v/>
      </c>
      <c r="C131" s="139" t="str">
        <f>IF('[3]Deferred Elements'!$C132="","",'[3]Deferred Elements'!$C132)</f>
        <v/>
      </c>
      <c r="D131" s="139" t="str">
        <f>IF('[3]Deferred Elements'!$D132="","",'[3]Deferred Elements'!$D132)</f>
        <v/>
      </c>
    </row>
    <row r="132" spans="1:4">
      <c r="A132" s="139" t="str">
        <f>IF('[3]Deferred Elements'!$A133="","",'[3]Deferred Elements'!$A133)</f>
        <v/>
      </c>
      <c r="B132" s="139" t="str">
        <f>IF('[3]Deferred Elements'!$B133="","",'[3]Deferred Elements'!$B133)</f>
        <v/>
      </c>
      <c r="C132" s="139" t="str">
        <f>IF('[3]Deferred Elements'!$C133="","",'[3]Deferred Elements'!$C133)</f>
        <v/>
      </c>
      <c r="D132" s="139" t="str">
        <f>IF('[3]Deferred Elements'!$D133="","",'[3]Deferred Elements'!$D133)</f>
        <v/>
      </c>
    </row>
    <row r="133" spans="1:4">
      <c r="A133" s="139" t="str">
        <f>IF('[3]Deferred Elements'!$A134="","",'[3]Deferred Elements'!$A134)</f>
        <v/>
      </c>
      <c r="B133" s="139" t="str">
        <f>IF('[3]Deferred Elements'!$B134="","",'[3]Deferred Elements'!$B134)</f>
        <v/>
      </c>
      <c r="C133" s="139" t="str">
        <f>IF('[3]Deferred Elements'!$C134="","",'[3]Deferred Elements'!$C134)</f>
        <v/>
      </c>
      <c r="D133" s="139" t="str">
        <f>IF('[3]Deferred Elements'!$D134="","",'[3]Deferred Elements'!$D134)</f>
        <v/>
      </c>
    </row>
    <row r="134" spans="1:4">
      <c r="A134" s="139" t="str">
        <f>IF('[3]Deferred Elements'!$A135="","",'[3]Deferred Elements'!$A135)</f>
        <v/>
      </c>
      <c r="B134" s="139" t="str">
        <f>IF('[3]Deferred Elements'!$B135="","",'[3]Deferred Elements'!$B135)</f>
        <v/>
      </c>
      <c r="C134" s="139" t="str">
        <f>IF('[3]Deferred Elements'!$C135="","",'[3]Deferred Elements'!$C135)</f>
        <v/>
      </c>
      <c r="D134" s="139" t="str">
        <f>IF('[3]Deferred Elements'!$D135="","",'[3]Deferred Elements'!$D135)</f>
        <v/>
      </c>
    </row>
    <row r="135" spans="1:4">
      <c r="A135" s="139" t="str">
        <f>IF('[3]Deferred Elements'!$A136="","",'[3]Deferred Elements'!$A136)</f>
        <v/>
      </c>
      <c r="B135" s="139" t="str">
        <f>IF('[3]Deferred Elements'!$B136="","",'[3]Deferred Elements'!$B136)</f>
        <v/>
      </c>
      <c r="C135" s="139" t="str">
        <f>IF('[3]Deferred Elements'!$C136="","",'[3]Deferred Elements'!$C136)</f>
        <v/>
      </c>
      <c r="D135" s="139" t="str">
        <f>IF('[3]Deferred Elements'!$D136="","",'[3]Deferred Elements'!$D136)</f>
        <v/>
      </c>
    </row>
    <row r="136" spans="1:4">
      <c r="A136" s="139" t="str">
        <f>IF('[3]Deferred Elements'!$A137="","",'[3]Deferred Elements'!$A137)</f>
        <v/>
      </c>
      <c r="B136" s="139" t="str">
        <f>IF('[3]Deferred Elements'!$B137="","",'[3]Deferred Elements'!$B137)</f>
        <v/>
      </c>
      <c r="C136" s="139" t="str">
        <f>IF('[3]Deferred Elements'!$C137="","",'[3]Deferred Elements'!$C137)</f>
        <v/>
      </c>
      <c r="D136" s="139" t="str">
        <f>IF('[3]Deferred Elements'!$D137="","",'[3]Deferred Elements'!$D137)</f>
        <v/>
      </c>
    </row>
    <row r="137" spans="1:4">
      <c r="A137" s="139" t="str">
        <f>IF('[3]Deferred Elements'!$A138="","",'[3]Deferred Elements'!$A138)</f>
        <v/>
      </c>
      <c r="B137" s="139" t="str">
        <f>IF('[3]Deferred Elements'!$B138="","",'[3]Deferred Elements'!$B138)</f>
        <v/>
      </c>
      <c r="C137" s="139" t="str">
        <f>IF('[3]Deferred Elements'!$C138="","",'[3]Deferred Elements'!$C138)</f>
        <v/>
      </c>
      <c r="D137" s="139" t="str">
        <f>IF('[3]Deferred Elements'!$D138="","",'[3]Deferred Elements'!$D138)</f>
        <v/>
      </c>
    </row>
    <row r="138" spans="1:4">
      <c r="A138" s="139" t="str">
        <f>IF('[3]Deferred Elements'!$A139="","",'[3]Deferred Elements'!$A139)</f>
        <v/>
      </c>
      <c r="B138" s="139" t="str">
        <f>IF('[3]Deferred Elements'!$B139="","",'[3]Deferred Elements'!$B139)</f>
        <v/>
      </c>
      <c r="C138" s="139" t="str">
        <f>IF('[3]Deferred Elements'!$C139="","",'[3]Deferred Elements'!$C139)</f>
        <v/>
      </c>
      <c r="D138" s="139" t="str">
        <f>IF('[3]Deferred Elements'!$D139="","",'[3]Deferred Elements'!$D139)</f>
        <v/>
      </c>
    </row>
    <row r="139" spans="1:4">
      <c r="A139" s="139" t="str">
        <f>IF('[3]Deferred Elements'!$A140="","",'[3]Deferred Elements'!$A140)</f>
        <v/>
      </c>
      <c r="B139" s="139" t="str">
        <f>IF('[3]Deferred Elements'!$B140="","",'[3]Deferred Elements'!$B140)</f>
        <v/>
      </c>
      <c r="C139" s="139" t="str">
        <f>IF('[3]Deferred Elements'!$C140="","",'[3]Deferred Elements'!$C140)</f>
        <v/>
      </c>
      <c r="D139" s="139" t="str">
        <f>IF('[3]Deferred Elements'!$D140="","",'[3]Deferred Elements'!$D140)</f>
        <v/>
      </c>
    </row>
    <row r="140" spans="1:4">
      <c r="A140" s="139" t="str">
        <f>IF('[3]Deferred Elements'!$A141="","",'[3]Deferred Elements'!$A141)</f>
        <v/>
      </c>
      <c r="B140" s="139" t="str">
        <f>IF('[3]Deferred Elements'!$B141="","",'[3]Deferred Elements'!$B141)</f>
        <v/>
      </c>
      <c r="C140" s="139" t="str">
        <f>IF('[3]Deferred Elements'!$C141="","",'[3]Deferred Elements'!$C141)</f>
        <v/>
      </c>
      <c r="D140" s="139" t="str">
        <f>IF('[3]Deferred Elements'!$D141="","",'[3]Deferred Elements'!$D141)</f>
        <v/>
      </c>
    </row>
    <row r="141" spans="1:4">
      <c r="A141" s="139" t="str">
        <f>IF('[3]Deferred Elements'!$A142="","",'[3]Deferred Elements'!$A142)</f>
        <v/>
      </c>
      <c r="B141" s="139" t="str">
        <f>IF('[3]Deferred Elements'!$B142="","",'[3]Deferred Elements'!$B142)</f>
        <v/>
      </c>
      <c r="C141" s="139" t="str">
        <f>IF('[3]Deferred Elements'!$C142="","",'[3]Deferred Elements'!$C142)</f>
        <v/>
      </c>
      <c r="D141" s="139" t="str">
        <f>IF('[3]Deferred Elements'!$D142="","",'[3]Deferred Elements'!$D142)</f>
        <v/>
      </c>
    </row>
    <row r="142" spans="1:4">
      <c r="A142" s="139" t="str">
        <f>IF('[3]Deferred Elements'!$A143="","",'[3]Deferred Elements'!$A143)</f>
        <v/>
      </c>
      <c r="B142" s="139" t="str">
        <f>IF('[3]Deferred Elements'!$B143="","",'[3]Deferred Elements'!$B143)</f>
        <v/>
      </c>
      <c r="C142" s="139" t="str">
        <f>IF('[3]Deferred Elements'!$C143="","",'[3]Deferred Elements'!$C143)</f>
        <v/>
      </c>
      <c r="D142" s="139" t="str">
        <f>IF('[3]Deferred Elements'!$D143="","",'[3]Deferred Elements'!$D143)</f>
        <v/>
      </c>
    </row>
    <row r="143" spans="1:4">
      <c r="A143" s="139" t="str">
        <f>IF('[3]Deferred Elements'!$A144="","",'[3]Deferred Elements'!$A144)</f>
        <v/>
      </c>
      <c r="B143" s="139" t="str">
        <f>IF('[3]Deferred Elements'!$B144="","",'[3]Deferred Elements'!$B144)</f>
        <v/>
      </c>
      <c r="C143" s="139" t="str">
        <f>IF('[3]Deferred Elements'!$C144="","",'[3]Deferred Elements'!$C144)</f>
        <v/>
      </c>
      <c r="D143" s="139" t="str">
        <f>IF('[3]Deferred Elements'!$D144="","",'[3]Deferred Elements'!$D144)</f>
        <v/>
      </c>
    </row>
    <row r="144" spans="1:4">
      <c r="A144" s="139" t="str">
        <f>IF('[3]Deferred Elements'!$A145="","",'[3]Deferred Elements'!$A145)</f>
        <v/>
      </c>
      <c r="B144" s="139" t="str">
        <f>IF('[3]Deferred Elements'!$B145="","",'[3]Deferred Elements'!$B145)</f>
        <v/>
      </c>
      <c r="C144" s="139" t="str">
        <f>IF('[3]Deferred Elements'!$C145="","",'[3]Deferred Elements'!$C145)</f>
        <v/>
      </c>
      <c r="D144" s="139" t="str">
        <f>IF('[3]Deferred Elements'!$D145="","",'[3]Deferred Elements'!$D145)</f>
        <v/>
      </c>
    </row>
    <row r="145" spans="1:4">
      <c r="A145" s="139" t="str">
        <f>IF('[3]Deferred Elements'!$A146="","",'[3]Deferred Elements'!$A146)</f>
        <v/>
      </c>
      <c r="B145" s="139" t="str">
        <f>IF('[3]Deferred Elements'!$B146="","",'[3]Deferred Elements'!$B146)</f>
        <v/>
      </c>
      <c r="C145" s="139" t="str">
        <f>IF('[3]Deferred Elements'!$C146="","",'[3]Deferred Elements'!$C146)</f>
        <v/>
      </c>
      <c r="D145" s="139" t="str">
        <f>IF('[3]Deferred Elements'!$D146="","",'[3]Deferred Elements'!$D146)</f>
        <v/>
      </c>
    </row>
    <row r="146" spans="1:4">
      <c r="A146" s="139" t="str">
        <f>IF('[3]Deferred Elements'!$A147="","",'[3]Deferred Elements'!$A147)</f>
        <v/>
      </c>
      <c r="B146" s="139" t="str">
        <f>IF('[3]Deferred Elements'!$B147="","",'[3]Deferred Elements'!$B147)</f>
        <v/>
      </c>
      <c r="C146" s="139" t="str">
        <f>IF('[3]Deferred Elements'!$C147="","",'[3]Deferred Elements'!$C147)</f>
        <v/>
      </c>
      <c r="D146" s="139" t="str">
        <f>IF('[3]Deferred Elements'!$D147="","",'[3]Deferred Elements'!$D147)</f>
        <v/>
      </c>
    </row>
    <row r="147" spans="1:4">
      <c r="A147" s="139" t="str">
        <f>IF('[3]Deferred Elements'!$A148="","",'[3]Deferred Elements'!$A148)</f>
        <v/>
      </c>
      <c r="B147" s="139" t="str">
        <f>IF('[3]Deferred Elements'!$B148="","",'[3]Deferred Elements'!$B148)</f>
        <v/>
      </c>
      <c r="C147" s="139" t="str">
        <f>IF('[3]Deferred Elements'!$C148="","",'[3]Deferred Elements'!$C148)</f>
        <v/>
      </c>
      <c r="D147" s="139" t="str">
        <f>IF('[3]Deferred Elements'!$D148="","",'[3]Deferred Elements'!$D148)</f>
        <v/>
      </c>
    </row>
    <row r="148" spans="1:4">
      <c r="A148" s="139" t="str">
        <f>IF('[3]Deferred Elements'!$A149="","",'[3]Deferred Elements'!$A149)</f>
        <v/>
      </c>
      <c r="B148" s="139" t="str">
        <f>IF('[3]Deferred Elements'!$B149="","",'[3]Deferred Elements'!$B149)</f>
        <v/>
      </c>
      <c r="C148" s="139" t="str">
        <f>IF('[3]Deferred Elements'!$C149="","",'[3]Deferred Elements'!$C149)</f>
        <v/>
      </c>
      <c r="D148" s="139" t="str">
        <f>IF('[3]Deferred Elements'!$D149="","",'[3]Deferred Elements'!$D149)</f>
        <v/>
      </c>
    </row>
    <row r="149" spans="1:4">
      <c r="A149" s="139" t="str">
        <f>IF('[3]Deferred Elements'!$A150="","",'[3]Deferred Elements'!$A150)</f>
        <v/>
      </c>
      <c r="B149" s="139" t="str">
        <f>IF('[3]Deferred Elements'!$B150="","",'[3]Deferred Elements'!$B150)</f>
        <v/>
      </c>
      <c r="C149" s="139" t="str">
        <f>IF('[3]Deferred Elements'!$C150="","",'[3]Deferred Elements'!$C150)</f>
        <v/>
      </c>
      <c r="D149" s="139" t="str">
        <f>IF('[3]Deferred Elements'!$D150="","",'[3]Deferred Elements'!$D150)</f>
        <v/>
      </c>
    </row>
    <row r="150" spans="1:4">
      <c r="A150" s="139" t="str">
        <f>IF('[3]Deferred Elements'!$A151="","",'[3]Deferred Elements'!$A151)</f>
        <v/>
      </c>
      <c r="B150" s="139" t="str">
        <f>IF('[3]Deferred Elements'!$B151="","",'[3]Deferred Elements'!$B151)</f>
        <v/>
      </c>
      <c r="C150" s="139" t="str">
        <f>IF('[3]Deferred Elements'!$C151="","",'[3]Deferred Elements'!$C151)</f>
        <v/>
      </c>
      <c r="D150" s="139" t="str">
        <f>IF('[3]Deferred Elements'!$D151="","",'[3]Deferred Elements'!$D151)</f>
        <v/>
      </c>
    </row>
  </sheetData>
  <sheetProtection password="83AF" sheet="1" objects="1" scenarios="1" formatCells="0" formatColumns="0" formatRows="0"/>
  <sortState ref="C1:C109">
    <sortCondition ref="C1:C109"/>
  </sortState>
  <customSheetViews>
    <customSheetView guid="{B6007CFB-3D06-43CC-8EB0-042D40129E35}" state="hidden">
      <selection activeCell="O203" sqref="O203"/>
      <pageMargins left="0.7" right="0.7" top="0.75" bottom="0.75" header="0.3" footer="0.3"/>
      <pageSetup paperSize="9" orientation="portrait" r:id="rId1"/>
    </customSheetView>
  </customSheetViews>
  <pageMargins left="0.7" right="0.7" top="0.75" bottom="0.75" header="0.3" footer="0.3"/>
  <pageSetup paperSize="9" orientation="portrait" r:id="rId2"/>
</worksheet>
</file>

<file path=xl/worksheets/sheet17.xml><?xml version="1.0" encoding="utf-8"?>
<worksheet xmlns="http://schemas.openxmlformats.org/spreadsheetml/2006/main" xmlns:r="http://schemas.openxmlformats.org/officeDocument/2006/relationships">
  <sheetPr codeName="Sheet17"/>
  <dimension ref="A1:D100"/>
  <sheetViews>
    <sheetView workbookViewId="0">
      <selection activeCell="D90" sqref="D90"/>
    </sheetView>
  </sheetViews>
  <sheetFormatPr defaultRowHeight="15"/>
  <cols>
    <col min="1" max="1" width="29" bestFit="1" customWidth="1"/>
    <col min="2" max="3" width="20.28515625" bestFit="1" customWidth="1"/>
    <col min="4" max="4" width="29" bestFit="1" customWidth="1"/>
  </cols>
  <sheetData>
    <row r="1" spans="1:4">
      <c r="A1" s="6" t="str">
        <f>IF('[3]Pensioner Elements'!$A2="","",'[3]Pensioner Elements'!$A2)</f>
        <v>2001 to 2007 Pension</v>
      </c>
      <c r="B1" s="139" t="str">
        <f>IF('[3]Pensioner Elements'!$B2="","",'[3]Pensioner Elements'!$B2)</f>
        <v>Notional Pre 88 GMP</v>
      </c>
      <c r="C1" s="139" t="str">
        <f>IF('[3]Pensioner Elements'!$C2="","",'[3]Pensioner Elements'!$C2)</f>
        <v>Notional Post 88 GMP</v>
      </c>
      <c r="D1" s="139" t="str">
        <f>IF('[3]Pensioner Elements'!$D2="","",'[3]Pensioner Elements'!$D2)</f>
        <v>2001 to 2007 Pension</v>
      </c>
    </row>
    <row r="2" spans="1:4">
      <c r="A2" s="139" t="str">
        <f>IF('[3]Pensioner Elements'!$A3="","",'[3]Pensioner Elements'!$A3)</f>
        <v>2003 to 2005 Pension</v>
      </c>
      <c r="B2" s="139" t="str">
        <f>IF('[3]Pensioner Elements'!$B3="","",'[3]Pensioner Elements'!$B3)</f>
        <v>Pre 88 GMP</v>
      </c>
      <c r="C2" s="139" t="str">
        <f>IF('[3]Pensioner Elements'!$C3="","",'[3]Pensioner Elements'!$C3)</f>
        <v>Post 88 GMP</v>
      </c>
      <c r="D2" s="139" t="str">
        <f>IF('[3]Pensioner Elements'!$D3="","",'[3]Pensioner Elements'!$D3)</f>
        <v>2003 to 2005 Pension</v>
      </c>
    </row>
    <row r="3" spans="1:4">
      <c r="A3" s="139" t="str">
        <f>IF('[3]Pensioner Elements'!$A4="","",'[3]Pensioner Elements'!$A4)</f>
        <v>2005 to 2006 Pension</v>
      </c>
      <c r="B3" s="139" t="str">
        <f>IF('[3]Pensioner Elements'!$B4="","",'[3]Pensioner Elements'!$B4)</f>
        <v>Pre 88 GMP at SPA</v>
      </c>
      <c r="C3" s="139" t="str">
        <f>IF('[3]Pensioner Elements'!$C4="","",'[3]Pensioner Elements'!$C4)</f>
        <v>Post 88 GMP at SPA</v>
      </c>
      <c r="D3" s="139" t="str">
        <f>IF('[3]Pensioner Elements'!$D4="","",'[3]Pensioner Elements'!$D4)</f>
        <v>2005 to 2006 Pension</v>
      </c>
    </row>
    <row r="4" spans="1:4">
      <c r="A4" s="139" t="str">
        <f>IF('[3]Pensioner Elements'!$A5="","",'[3]Pensioner Elements'!$A5)</f>
        <v>2005 to 2009 Pension</v>
      </c>
      <c r="B4" s="139" t="str">
        <f>IF('[3]Pensioner Elements'!$B5="","",'[3]Pensioner Elements'!$B5)</f>
        <v xml:space="preserve"> </v>
      </c>
      <c r="C4" s="139" t="str">
        <f>IF('[3]Pensioner Elements'!$C5="","",'[3]Pensioner Elements'!$C5)</f>
        <v/>
      </c>
      <c r="D4" s="139" t="str">
        <f>IF('[3]Pensioner Elements'!$D5="","",'[3]Pensioner Elements'!$D5)</f>
        <v>2005 to 2009 Pension</v>
      </c>
    </row>
    <row r="5" spans="1:4" s="139" customFormat="1">
      <c r="A5" s="139" t="str">
        <f>IF('[3]Pensioner Elements'!$A6="","",'[3]Pensioner Elements'!$A6)</f>
        <v>2005 to 2011 Pension</v>
      </c>
      <c r="B5" s="139" t="str">
        <f>IF('[3]Pensioner Elements'!$B6="","",'[3]Pensioner Elements'!$B6)</f>
        <v/>
      </c>
      <c r="C5" s="139" t="str">
        <f>IF('[3]Pensioner Elements'!$C6="","",'[3]Pensioner Elements'!$C6)</f>
        <v/>
      </c>
      <c r="D5" s="139" t="str">
        <f>IF('[3]Pensioner Elements'!$D6="","",'[3]Pensioner Elements'!$D6)</f>
        <v>2005 to 2011 Pension</v>
      </c>
    </row>
    <row r="6" spans="1:4">
      <c r="A6" s="139" t="str">
        <f>IF('[3]Pensioner Elements'!$A7="","",'[3]Pensioner Elements'!$A7)</f>
        <v>2006 to 2007 Pension</v>
      </c>
      <c r="B6" s="139" t="str">
        <f>IF('[3]Pensioner Elements'!$B7="","",'[3]Pensioner Elements'!$B7)</f>
        <v xml:space="preserve"> </v>
      </c>
      <c r="C6" s="139" t="str">
        <f>IF('[3]Pensioner Elements'!$C7="","",'[3]Pensioner Elements'!$C7)</f>
        <v/>
      </c>
      <c r="D6" s="139" t="str">
        <f>IF('[3]Pensioner Elements'!$D7="","",'[3]Pensioner Elements'!$D7)</f>
        <v>2006 to 2007 Pension</v>
      </c>
    </row>
    <row r="7" spans="1:4">
      <c r="A7" s="139" t="str">
        <f>IF('[3]Pensioner Elements'!$A8="","",'[3]Pensioner Elements'!$A8)</f>
        <v>2006 to 2008 Pension</v>
      </c>
      <c r="B7" s="139" t="str">
        <f>IF('[3]Pensioner Elements'!$B8="","",'[3]Pensioner Elements'!$B8)</f>
        <v/>
      </c>
      <c r="C7" s="139" t="str">
        <f>IF('[3]Pensioner Elements'!$C8="","",'[3]Pensioner Elements'!$C8)</f>
        <v/>
      </c>
      <c r="D7" s="139" t="str">
        <f>IF('[3]Pensioner Elements'!$D8="","",'[3]Pensioner Elements'!$D8)</f>
        <v>2006 to 2008 Pension</v>
      </c>
    </row>
    <row r="8" spans="1:4">
      <c r="A8" s="139" t="str">
        <f>IF('[3]Pensioner Elements'!$A9="","",'[3]Pensioner Elements'!$A9)</f>
        <v>2006 to 2009 Pension</v>
      </c>
      <c r="B8" s="139" t="str">
        <f>IF('[3]Pensioner Elements'!$B9="","",'[3]Pensioner Elements'!$B9)</f>
        <v/>
      </c>
      <c r="C8" s="139" t="str">
        <f>IF('[3]Pensioner Elements'!$C9="","",'[3]Pensioner Elements'!$C9)</f>
        <v/>
      </c>
      <c r="D8" s="139" t="str">
        <f>IF('[3]Pensioner Elements'!$D9="","",'[3]Pensioner Elements'!$D9)</f>
        <v>2006 to 2009 Pension</v>
      </c>
    </row>
    <row r="9" spans="1:4">
      <c r="A9" s="139" t="str">
        <f>IF('[3]Pensioner Elements'!$A10="","",'[3]Pensioner Elements'!$A10)</f>
        <v>85 to 92 Excess</v>
      </c>
      <c r="B9" s="139" t="str">
        <f>IF('[3]Pensioner Elements'!$B10="","",'[3]Pensioner Elements'!$B10)</f>
        <v/>
      </c>
      <c r="C9" s="139" t="str">
        <f>IF('[3]Pensioner Elements'!$C10="","",'[3]Pensioner Elements'!$C10)</f>
        <v/>
      </c>
      <c r="D9" s="139" t="str">
        <f>IF('[3]Pensioner Elements'!$D10="","",'[3]Pensioner Elements'!$D10)</f>
        <v>85 to 92 Excess</v>
      </c>
    </row>
    <row r="10" spans="1:4">
      <c r="A10" s="139" t="str">
        <f>IF('[3]Pensioner Elements'!$A11="","",'[3]Pensioner Elements'!$A11)</f>
        <v>85 to 97 Excess</v>
      </c>
      <c r="B10" s="139" t="str">
        <f>IF('[3]Pensioner Elements'!$B11="","",'[3]Pensioner Elements'!$B11)</f>
        <v/>
      </c>
      <c r="C10" s="139" t="str">
        <f>IF('[3]Pensioner Elements'!$C11="","",'[3]Pensioner Elements'!$C11)</f>
        <v/>
      </c>
      <c r="D10" s="139" t="str">
        <f>IF('[3]Pensioner Elements'!$D11="","",'[3]Pensioner Elements'!$D11)</f>
        <v>85 to 97 Excess</v>
      </c>
    </row>
    <row r="11" spans="1:4">
      <c r="A11" s="139" t="str">
        <f>IF('[3]Pensioner Elements'!$A12="","",'[3]Pensioner Elements'!$A12)</f>
        <v>90 to 97 Excess</v>
      </c>
      <c r="B11" s="139" t="str">
        <f>IF('[3]Pensioner Elements'!$B12="","",'[3]Pensioner Elements'!$B12)</f>
        <v/>
      </c>
      <c r="C11" s="139" t="str">
        <f>IF('[3]Pensioner Elements'!$C12="","",'[3]Pensioner Elements'!$C12)</f>
        <v/>
      </c>
      <c r="D11" s="139" t="str">
        <f>IF('[3]Pensioner Elements'!$D12="","",'[3]Pensioner Elements'!$D12)</f>
        <v>90 to 97 Excess</v>
      </c>
    </row>
    <row r="12" spans="1:4">
      <c r="A12" s="139" t="str">
        <f>IF('[3]Pensioner Elements'!$A13="","",'[3]Pensioner Elements'!$A13)</f>
        <v>92 to 97 Excess</v>
      </c>
      <c r="B12" s="139" t="str">
        <f>IF('[3]Pensioner Elements'!$B13="","",'[3]Pensioner Elements'!$B13)</f>
        <v/>
      </c>
      <c r="C12" s="139" t="str">
        <f>IF('[3]Pensioner Elements'!$C13="","",'[3]Pensioner Elements'!$C13)</f>
        <v/>
      </c>
      <c r="D12" s="139" t="str">
        <f>IF('[3]Pensioner Elements'!$D13="","",'[3]Pensioner Elements'!$D13)</f>
        <v>92 to 97 Excess</v>
      </c>
    </row>
    <row r="13" spans="1:4">
      <c r="A13" s="139" t="str">
        <f>IF('[3]Pensioner Elements'!$A14="","",'[3]Pensioner Elements'!$A14)</f>
        <v>94 to 97 Excess</v>
      </c>
      <c r="B13" s="139" t="str">
        <f>IF('[3]Pensioner Elements'!$B14="","",'[3]Pensioner Elements'!$B14)</f>
        <v/>
      </c>
      <c r="C13" s="139" t="str">
        <f>IF('[3]Pensioner Elements'!$C14="","",'[3]Pensioner Elements'!$C14)</f>
        <v/>
      </c>
      <c r="D13" s="139" t="str">
        <f>IF('[3]Pensioner Elements'!$D14="","",'[3]Pensioner Elements'!$D14)</f>
        <v>94 to 97 Excess</v>
      </c>
    </row>
    <row r="14" spans="1:4">
      <c r="A14" s="139" t="str">
        <f>IF('[3]Pensioner Elements'!$A15="","",'[3]Pensioner Elements'!$A15)</f>
        <v>96 to 97 Excess</v>
      </c>
      <c r="B14" s="139" t="str">
        <f>IF('[3]Pensioner Elements'!$B15="","",'[3]Pensioner Elements'!$B15)</f>
        <v/>
      </c>
      <c r="C14" s="139" t="str">
        <f>IF('[3]Pensioner Elements'!$C15="","",'[3]Pensioner Elements'!$C15)</f>
        <v/>
      </c>
      <c r="D14" s="139" t="str">
        <f>IF('[3]Pensioner Elements'!$D15="","",'[3]Pensioner Elements'!$D15)</f>
        <v>96 to 97 Excess</v>
      </c>
    </row>
    <row r="15" spans="1:4">
      <c r="A15" s="139" t="str">
        <f>IF('[3]Pensioner Elements'!$A16="","",'[3]Pensioner Elements'!$A16)</f>
        <v>97 to 2000 Pension</v>
      </c>
      <c r="B15" s="139" t="str">
        <f>IF('[3]Pensioner Elements'!$B16="","",'[3]Pensioner Elements'!$B16)</f>
        <v/>
      </c>
      <c r="C15" s="139" t="str">
        <f>IF('[3]Pensioner Elements'!$C16="","",'[3]Pensioner Elements'!$C16)</f>
        <v/>
      </c>
      <c r="D15" s="139" t="str">
        <f>IF('[3]Pensioner Elements'!$D16="","",'[3]Pensioner Elements'!$D16)</f>
        <v>97 to 2000 Pension</v>
      </c>
    </row>
    <row r="16" spans="1:4">
      <c r="A16" s="139" t="str">
        <f>IF('[3]Pensioner Elements'!$A17="","",'[3]Pensioner Elements'!$A17)</f>
        <v>97 to 2001 Pension</v>
      </c>
      <c r="B16" s="139" t="str">
        <f>IF('[3]Pensioner Elements'!$B17="","",'[3]Pensioner Elements'!$B17)</f>
        <v/>
      </c>
      <c r="C16" s="139" t="str">
        <f>IF('[3]Pensioner Elements'!$C17="","",'[3]Pensioner Elements'!$C17)</f>
        <v/>
      </c>
      <c r="D16" s="139" t="str">
        <f>IF('[3]Pensioner Elements'!$D17="","",'[3]Pensioner Elements'!$D17)</f>
        <v>97 to 2001 Pension</v>
      </c>
    </row>
    <row r="17" spans="1:4">
      <c r="A17" s="139" t="str">
        <f>IF('[3]Pensioner Elements'!$A18="","",'[3]Pensioner Elements'!$A18)</f>
        <v>97 to 2002 Pension</v>
      </c>
      <c r="B17" s="139" t="str">
        <f>IF('[3]Pensioner Elements'!$B18="","",'[3]Pensioner Elements'!$B18)</f>
        <v/>
      </c>
      <c r="C17" s="139" t="str">
        <f>IF('[3]Pensioner Elements'!$C18="","",'[3]Pensioner Elements'!$C18)</f>
        <v/>
      </c>
      <c r="D17" s="139" t="str">
        <f>IF('[3]Pensioner Elements'!$D18="","",'[3]Pensioner Elements'!$D18)</f>
        <v>97 to 2002 Pension</v>
      </c>
    </row>
    <row r="18" spans="1:4">
      <c r="A18" s="139" t="str">
        <f>IF('[3]Pensioner Elements'!$A19="","",'[3]Pensioner Elements'!$A19)</f>
        <v>97 to 2003 Pension</v>
      </c>
      <c r="B18" s="139" t="str">
        <f>IF('[3]Pensioner Elements'!$B19="","",'[3]Pensioner Elements'!$B19)</f>
        <v/>
      </c>
      <c r="C18" s="139" t="str">
        <f>IF('[3]Pensioner Elements'!$C19="","",'[3]Pensioner Elements'!$C19)</f>
        <v/>
      </c>
      <c r="D18" s="139" t="str">
        <f>IF('[3]Pensioner Elements'!$D19="","",'[3]Pensioner Elements'!$D19)</f>
        <v>97 to 2003 Pension</v>
      </c>
    </row>
    <row r="19" spans="1:4">
      <c r="A19" s="139" t="str">
        <f>IF('[3]Pensioner Elements'!$A20="","",'[3]Pensioner Elements'!$A20)</f>
        <v>97 to 2004 Pension</v>
      </c>
      <c r="B19" s="139" t="str">
        <f>IF('[3]Pensioner Elements'!$B20="","",'[3]Pensioner Elements'!$B20)</f>
        <v/>
      </c>
      <c r="C19" s="139" t="str">
        <f>IF('[3]Pensioner Elements'!$C20="","",'[3]Pensioner Elements'!$C20)</f>
        <v/>
      </c>
      <c r="D19" s="139" t="str">
        <f>IF('[3]Pensioner Elements'!$D20="","",'[3]Pensioner Elements'!$D20)</f>
        <v>97 to 2004 Pension</v>
      </c>
    </row>
    <row r="20" spans="1:4">
      <c r="A20" s="139" t="str">
        <f>IF('[3]Pensioner Elements'!$A21="","",'[3]Pensioner Elements'!$A21)</f>
        <v>97 to 2005 Pension</v>
      </c>
      <c r="B20" s="139" t="str">
        <f>IF('[3]Pensioner Elements'!$B21="","",'[3]Pensioner Elements'!$B21)</f>
        <v/>
      </c>
      <c r="C20" s="139" t="str">
        <f>IF('[3]Pensioner Elements'!$C21="","",'[3]Pensioner Elements'!$C21)</f>
        <v/>
      </c>
      <c r="D20" s="139" t="str">
        <f>IF('[3]Pensioner Elements'!$D21="","",'[3]Pensioner Elements'!$D21)</f>
        <v>97 to 2005 Pension</v>
      </c>
    </row>
    <row r="21" spans="1:4">
      <c r="A21" s="139" t="str">
        <f>IF('[3]Pensioner Elements'!$A22="","",'[3]Pensioner Elements'!$A22)</f>
        <v>97 to 2006 Pension</v>
      </c>
      <c r="B21" s="139" t="str">
        <f>IF('[3]Pensioner Elements'!$B22="","",'[3]Pensioner Elements'!$B22)</f>
        <v/>
      </c>
      <c r="C21" s="139" t="str">
        <f>IF('[3]Pensioner Elements'!$C22="","",'[3]Pensioner Elements'!$C22)</f>
        <v/>
      </c>
      <c r="D21" s="139" t="str">
        <f>IF('[3]Pensioner Elements'!$D22="","",'[3]Pensioner Elements'!$D22)</f>
        <v>97 to 2006 Pension</v>
      </c>
    </row>
    <row r="22" spans="1:4">
      <c r="A22" s="139" t="str">
        <f>IF('[3]Pensioner Elements'!$A23="","",'[3]Pensioner Elements'!$A23)</f>
        <v>97 to 2007 Pension</v>
      </c>
      <c r="B22" s="139" t="str">
        <f>IF('[3]Pensioner Elements'!$B23="","",'[3]Pensioner Elements'!$B23)</f>
        <v/>
      </c>
      <c r="C22" s="139" t="str">
        <f>IF('[3]Pensioner Elements'!$C23="","",'[3]Pensioner Elements'!$C23)</f>
        <v/>
      </c>
      <c r="D22" s="139" t="str">
        <f>IF('[3]Pensioner Elements'!$D23="","",'[3]Pensioner Elements'!$D23)</f>
        <v>97 to 2007 Pension</v>
      </c>
    </row>
    <row r="23" spans="1:4">
      <c r="A23" s="139" t="str">
        <f>IF('[3]Pensioner Elements'!$A24="","",'[3]Pensioner Elements'!$A24)</f>
        <v>97 to 99 Pension</v>
      </c>
      <c r="B23" s="139" t="str">
        <f>IF('[3]Pensioner Elements'!$B24="","",'[3]Pensioner Elements'!$B24)</f>
        <v/>
      </c>
      <c r="C23" s="139" t="str">
        <f>IF('[3]Pensioner Elements'!$C24="","",'[3]Pensioner Elements'!$C24)</f>
        <v/>
      </c>
      <c r="D23" s="139" t="str">
        <f>IF('[3]Pensioner Elements'!$D24="","",'[3]Pensioner Elements'!$D24)</f>
        <v>97 to 99 Pension</v>
      </c>
    </row>
    <row r="24" spans="1:4">
      <c r="A24" s="139" t="str">
        <f>IF('[3]Pensioner Elements'!$A25="","",'[3]Pensioner Elements'!$A25)</f>
        <v>Annuity Elsewhere</v>
      </c>
      <c r="B24" s="139" t="str">
        <f>IF('[3]Pensioner Elements'!$B25="","",'[3]Pensioner Elements'!$B25)</f>
        <v/>
      </c>
      <c r="C24" s="139" t="str">
        <f>IF('[3]Pensioner Elements'!$C25="","",'[3]Pensioner Elements'!$C25)</f>
        <v/>
      </c>
      <c r="D24" s="139" t="str">
        <f>IF('[3]Pensioner Elements'!$D25="","",'[3]Pensioner Elements'!$D25)</f>
        <v>Annuity Elsewhere</v>
      </c>
    </row>
    <row r="25" spans="1:4">
      <c r="A25" s="139" t="str">
        <f>IF('[3]Pensioner Elements'!$A26="","",'[3]Pensioner Elements'!$A26)</f>
        <v>AVC Pension</v>
      </c>
      <c r="B25" s="139" t="str">
        <f>IF('[3]Pensioner Elements'!$B26="","",'[3]Pensioner Elements'!$B26)</f>
        <v/>
      </c>
      <c r="C25" s="139" t="str">
        <f>IF('[3]Pensioner Elements'!$C26="","",'[3]Pensioner Elements'!$C26)</f>
        <v/>
      </c>
      <c r="D25" s="139" t="str">
        <f>IF('[3]Pensioner Elements'!$D26="","",'[3]Pensioner Elements'!$D26)</f>
        <v>AVC Pension</v>
      </c>
    </row>
    <row r="26" spans="1:4">
      <c r="A26" s="139" t="str">
        <f>IF('[3]Pensioner Elements'!$A27="","",'[3]Pensioner Elements'!$A27)</f>
        <v>Bridging Pension</v>
      </c>
      <c r="B26" s="139" t="str">
        <f>IF('[3]Pensioner Elements'!$B27="","",'[3]Pensioner Elements'!$B27)</f>
        <v/>
      </c>
      <c r="C26" s="139" t="str">
        <f>IF('[3]Pensioner Elements'!$C27="","",'[3]Pensioner Elements'!$C27)</f>
        <v/>
      </c>
      <c r="D26" s="139" t="str">
        <f>IF('[3]Pensioner Elements'!$D27="","",'[3]Pensioner Elements'!$D27)</f>
        <v>Bridging Pension</v>
      </c>
    </row>
    <row r="27" spans="1:4">
      <c r="A27" s="139" t="str">
        <f>IF('[3]Pensioner Elements'!$A28="","",'[3]Pensioner Elements'!$A28)</f>
        <v>DC Pension</v>
      </c>
      <c r="B27" s="139" t="str">
        <f>IF('[3]Pensioner Elements'!$B28="","",'[3]Pensioner Elements'!$B28)</f>
        <v/>
      </c>
      <c r="C27" s="139" t="str">
        <f>IF('[3]Pensioner Elements'!$C28="","",'[3]Pensioner Elements'!$C28)</f>
        <v/>
      </c>
      <c r="D27" s="139" t="str">
        <f>IF('[3]Pensioner Elements'!$D28="","",'[3]Pensioner Elements'!$D28)</f>
        <v>DC Pension</v>
      </c>
    </row>
    <row r="28" spans="1:4">
      <c r="A28" s="139" t="str">
        <f>IF('[3]Pensioner Elements'!$A29="","",'[3]Pensioner Elements'!$A29)</f>
        <v>EPB Amount</v>
      </c>
      <c r="B28" s="139" t="str">
        <f>IF('[3]Pensioner Elements'!$B29="","",'[3]Pensioner Elements'!$B29)</f>
        <v/>
      </c>
      <c r="C28" s="139" t="str">
        <f>IF('[3]Pensioner Elements'!$C29="","",'[3]Pensioner Elements'!$C29)</f>
        <v/>
      </c>
      <c r="D28" s="139" t="str">
        <f>IF('[3]Pensioner Elements'!$D29="","",'[3]Pensioner Elements'!$D29)</f>
        <v>EPB Amount</v>
      </c>
    </row>
    <row r="29" spans="1:4">
      <c r="A29" s="139" t="str">
        <f>IF('[3]Pensioner Elements'!$A30="","",'[3]Pensioner Elements'!$A30)</f>
        <v>Equalisation Addition</v>
      </c>
      <c r="B29" s="139" t="str">
        <f>IF('[3]Pensioner Elements'!$B30="","",'[3]Pensioner Elements'!$B30)</f>
        <v/>
      </c>
      <c r="C29" s="139" t="str">
        <f>IF('[3]Pensioner Elements'!$C30="","",'[3]Pensioner Elements'!$C30)</f>
        <v/>
      </c>
      <c r="D29" s="139" t="str">
        <f>IF('[3]Pensioner Elements'!$D30="","",'[3]Pensioner Elements'!$D30)</f>
        <v>Equalisation Addition</v>
      </c>
    </row>
    <row r="30" spans="1:4">
      <c r="A30" s="139" t="str">
        <f>IF('[3]Pensioner Elements'!$A31="","",'[3]Pensioner Elements'!$A31)</f>
        <v>Fixed Excess</v>
      </c>
      <c r="B30" s="139" t="str">
        <f>IF('[3]Pensioner Elements'!$B31="","",'[3]Pensioner Elements'!$B31)</f>
        <v/>
      </c>
      <c r="C30" s="139" t="str">
        <f>IF('[3]Pensioner Elements'!$C31="","",'[3]Pensioner Elements'!$C31)</f>
        <v/>
      </c>
      <c r="D30" s="139" t="str">
        <f>IF('[3]Pensioner Elements'!$D31="","",'[3]Pensioner Elements'!$D31)</f>
        <v>Fixed Excess</v>
      </c>
    </row>
    <row r="31" spans="1:4">
      <c r="A31" s="139" t="str">
        <f>IF('[3]Pensioner Elements'!$A32="","",'[3]Pensioner Elements'!$A32)</f>
        <v>Insured Pension</v>
      </c>
      <c r="B31" s="139" t="str">
        <f>IF('[3]Pensioner Elements'!$B32="","",'[3]Pensioner Elements'!$B32)</f>
        <v/>
      </c>
      <c r="C31" s="139" t="str">
        <f>IF('[3]Pensioner Elements'!$C32="","",'[3]Pensioner Elements'!$C32)</f>
        <v/>
      </c>
      <c r="D31" s="139" t="str">
        <f>IF('[3]Pensioner Elements'!$D32="","",'[3]Pensioner Elements'!$D32)</f>
        <v>Insured Pension</v>
      </c>
    </row>
    <row r="32" spans="1:4" s="139" customFormat="1">
      <c r="A32" s="139" t="str">
        <f>IF('[3]Pensioner Elements'!$A33="","",'[3]Pensioner Elements'!$A33)</f>
        <v>Non Increasing Pension</v>
      </c>
      <c r="B32" s="139" t="str">
        <f>IF('[3]Pensioner Elements'!$B33="","",'[3]Pensioner Elements'!$B33)</f>
        <v/>
      </c>
      <c r="C32" s="139" t="str">
        <f>IF('[3]Pensioner Elements'!$C33="","",'[3]Pensioner Elements'!$C33)</f>
        <v/>
      </c>
      <c r="D32" s="139" t="str">
        <f>IF('[3]Pensioner Elements'!$D33="","",'[3]Pensioner Elements'!$D33)</f>
        <v>Non Increasing Pension</v>
      </c>
    </row>
    <row r="33" spans="1:4">
      <c r="A33" s="139" t="str">
        <f>IF('[3]Pensioner Elements'!$A34="","",'[3]Pensioner Elements'!$A34)</f>
        <v>Notional AVC pension</v>
      </c>
      <c r="B33" s="139" t="str">
        <f>IF('[3]Pensioner Elements'!$B34="","",'[3]Pensioner Elements'!$B34)</f>
        <v/>
      </c>
      <c r="C33" s="139" t="str">
        <f>IF('[3]Pensioner Elements'!$C34="","",'[3]Pensioner Elements'!$C34)</f>
        <v/>
      </c>
      <c r="D33" s="139" t="str">
        <f>IF('[3]Pensioner Elements'!$D34="","",'[3]Pensioner Elements'!$D34)</f>
        <v>Notional AVC pension</v>
      </c>
    </row>
    <row r="34" spans="1:4">
      <c r="A34" s="139" t="str">
        <f>IF('[3]Pensioner Elements'!$A35="","",'[3]Pensioner Elements'!$A35)</f>
        <v>Notional Excess</v>
      </c>
      <c r="B34" s="139" t="str">
        <f>IF('[3]Pensioner Elements'!$B35="","",'[3]Pensioner Elements'!$B35)</f>
        <v/>
      </c>
      <c r="C34" s="139" t="str">
        <f>IF('[3]Pensioner Elements'!$C35="","",'[3]Pensioner Elements'!$C35)</f>
        <v/>
      </c>
      <c r="D34" s="139" t="str">
        <f>IF('[3]Pensioner Elements'!$D35="","",'[3]Pensioner Elements'!$D35)</f>
        <v>Notional Excess</v>
      </c>
    </row>
    <row r="35" spans="1:4">
      <c r="A35" s="139" t="str">
        <f>IF('[3]Pensioner Elements'!$A36="","",'[3]Pensioner Elements'!$A36)</f>
        <v>Post 2000 Pension</v>
      </c>
      <c r="B35" s="139" t="str">
        <f>IF('[3]Pensioner Elements'!$B36="","",'[3]Pensioner Elements'!$B36)</f>
        <v/>
      </c>
      <c r="C35" s="139" t="str">
        <f>IF('[3]Pensioner Elements'!$C36="","",'[3]Pensioner Elements'!$C36)</f>
        <v/>
      </c>
      <c r="D35" s="139" t="str">
        <f>IF('[3]Pensioner Elements'!$D36="","",'[3]Pensioner Elements'!$D36)</f>
        <v>Notional Post 88 GMP</v>
      </c>
    </row>
    <row r="36" spans="1:4">
      <c r="A36" s="139" t="str">
        <f>IF('[3]Pensioner Elements'!$A37="","",'[3]Pensioner Elements'!$A37)</f>
        <v>Post 2001 Pension</v>
      </c>
      <c r="B36" s="139" t="str">
        <f>IF('[3]Pensioner Elements'!$B37="","",'[3]Pensioner Elements'!$B37)</f>
        <v/>
      </c>
      <c r="C36" s="139" t="str">
        <f>IF('[3]Pensioner Elements'!$C37="","",'[3]Pensioner Elements'!$C37)</f>
        <v/>
      </c>
      <c r="D36" s="139" t="str">
        <f>IF('[3]Pensioner Elements'!$D37="","",'[3]Pensioner Elements'!$D37)</f>
        <v>Notional Pre 88 GMP</v>
      </c>
    </row>
    <row r="37" spans="1:4">
      <c r="A37" s="139" t="str">
        <f>IF('[3]Pensioner Elements'!$A38="","",'[3]Pensioner Elements'!$A38)</f>
        <v>Post 2002 Pension</v>
      </c>
      <c r="B37" s="139" t="str">
        <f>IF('[3]Pensioner Elements'!$B38="","",'[3]Pensioner Elements'!$B38)</f>
        <v/>
      </c>
      <c r="C37" s="139" t="str">
        <f>IF('[3]Pensioner Elements'!$C38="","",'[3]Pensioner Elements'!$C38)</f>
        <v/>
      </c>
      <c r="D37" s="139" t="str">
        <f>IF('[3]Pensioner Elements'!$D38="","",'[3]Pensioner Elements'!$D38)</f>
        <v>Post 2000 Pension</v>
      </c>
    </row>
    <row r="38" spans="1:4">
      <c r="A38" s="139" t="str">
        <f>IF('[3]Pensioner Elements'!$A39="","",'[3]Pensioner Elements'!$A39)</f>
        <v>Post 2003 Pension</v>
      </c>
      <c r="B38" s="139" t="str">
        <f>IF('[3]Pensioner Elements'!$B39="","",'[3]Pensioner Elements'!$B39)</f>
        <v/>
      </c>
      <c r="C38" s="139" t="str">
        <f>IF('[3]Pensioner Elements'!$C39="","",'[3]Pensioner Elements'!$C39)</f>
        <v/>
      </c>
      <c r="D38" s="139" t="str">
        <f>IF('[3]Pensioner Elements'!$D39="","",'[3]Pensioner Elements'!$D39)</f>
        <v>Post 2001 Pension</v>
      </c>
    </row>
    <row r="39" spans="1:4">
      <c r="A39" s="139" t="str">
        <f>IF('[3]Pensioner Elements'!$A40="","",'[3]Pensioner Elements'!$A40)</f>
        <v>Post 2004 Pension</v>
      </c>
      <c r="B39" s="139" t="str">
        <f>IF('[3]Pensioner Elements'!$B40="","",'[3]Pensioner Elements'!$B40)</f>
        <v/>
      </c>
      <c r="C39" s="139" t="str">
        <f>IF('[3]Pensioner Elements'!$C40="","",'[3]Pensioner Elements'!$C40)</f>
        <v/>
      </c>
      <c r="D39" s="139" t="str">
        <f>IF('[3]Pensioner Elements'!$D40="","",'[3]Pensioner Elements'!$D40)</f>
        <v>Post 2002 Pension</v>
      </c>
    </row>
    <row r="40" spans="1:4">
      <c r="A40" s="139" t="str">
        <f>IF('[3]Pensioner Elements'!$A41="","",'[3]Pensioner Elements'!$A41)</f>
        <v>Post 2005 Pension</v>
      </c>
      <c r="B40" s="139" t="str">
        <f>IF('[3]Pensioner Elements'!$B41="","",'[3]Pensioner Elements'!$B41)</f>
        <v/>
      </c>
      <c r="C40" s="139" t="str">
        <f>IF('[3]Pensioner Elements'!$C41="","",'[3]Pensioner Elements'!$C41)</f>
        <v/>
      </c>
      <c r="D40" s="139" t="str">
        <f>IF('[3]Pensioner Elements'!$D41="","",'[3]Pensioner Elements'!$D41)</f>
        <v>Post 2003 Pension</v>
      </c>
    </row>
    <row r="41" spans="1:4">
      <c r="A41" s="139" t="str">
        <f>IF('[3]Pensioner Elements'!$A42="","",'[3]Pensioner Elements'!$A42)</f>
        <v>Post 2006 Pension</v>
      </c>
      <c r="B41" s="139" t="str">
        <f>IF('[3]Pensioner Elements'!$B42="","",'[3]Pensioner Elements'!$B42)</f>
        <v/>
      </c>
      <c r="C41" s="139" t="str">
        <f>IF('[3]Pensioner Elements'!$C42="","",'[3]Pensioner Elements'!$C42)</f>
        <v/>
      </c>
      <c r="D41" s="139" t="str">
        <f>IF('[3]Pensioner Elements'!$D42="","",'[3]Pensioner Elements'!$D42)</f>
        <v>Post 2004 Pension</v>
      </c>
    </row>
    <row r="42" spans="1:4">
      <c r="A42" s="139" t="str">
        <f>IF('[3]Pensioner Elements'!$A43="","",'[3]Pensioner Elements'!$A43)</f>
        <v>Post 2007 Pension</v>
      </c>
      <c r="B42" s="139" t="str">
        <f>IF('[3]Pensioner Elements'!$B43="","",'[3]Pensioner Elements'!$B43)</f>
        <v/>
      </c>
      <c r="C42" s="139" t="str">
        <f>IF('[3]Pensioner Elements'!$C43="","",'[3]Pensioner Elements'!$C43)</f>
        <v/>
      </c>
      <c r="D42" s="139" t="str">
        <f>IF('[3]Pensioner Elements'!$D43="","",'[3]Pensioner Elements'!$D43)</f>
        <v>Post 2005 Pension</v>
      </c>
    </row>
    <row r="43" spans="1:4">
      <c r="A43" s="139" t="str">
        <f>IF('[3]Pensioner Elements'!$A44="","",'[3]Pensioner Elements'!$A44)</f>
        <v>Post 2008 Pension</v>
      </c>
      <c r="B43" s="139" t="str">
        <f>IF('[3]Pensioner Elements'!$B44="","",'[3]Pensioner Elements'!$B44)</f>
        <v/>
      </c>
      <c r="C43" s="139" t="str">
        <f>IF('[3]Pensioner Elements'!$C44="","",'[3]Pensioner Elements'!$C44)</f>
        <v/>
      </c>
      <c r="D43" s="139" t="str">
        <f>IF('[3]Pensioner Elements'!$D44="","",'[3]Pensioner Elements'!$D44)</f>
        <v>Post 2006 Pension</v>
      </c>
    </row>
    <row r="44" spans="1:4">
      <c r="A44" s="139" t="str">
        <f>IF('[3]Pensioner Elements'!$A45="","",'[3]Pensioner Elements'!$A45)</f>
        <v>Post 2009 Pension</v>
      </c>
      <c r="B44" s="139" t="str">
        <f>IF('[3]Pensioner Elements'!$B45="","",'[3]Pensioner Elements'!$B45)</f>
        <v/>
      </c>
      <c r="C44" s="139" t="str">
        <f>IF('[3]Pensioner Elements'!$C45="","",'[3]Pensioner Elements'!$C45)</f>
        <v/>
      </c>
      <c r="D44" s="139" t="str">
        <f>IF('[3]Pensioner Elements'!$D45="","",'[3]Pensioner Elements'!$D45)</f>
        <v>Post 2007 Pension</v>
      </c>
    </row>
    <row r="45" spans="1:4">
      <c r="A45" s="139" t="str">
        <f>IF('[3]Pensioner Elements'!$A46="","",'[3]Pensioner Elements'!$A46)</f>
        <v>Post 97 Pension</v>
      </c>
      <c r="B45" s="139" t="str">
        <f>IF('[3]Pensioner Elements'!$B46="","",'[3]Pensioner Elements'!$B46)</f>
        <v/>
      </c>
      <c r="C45" s="139" t="str">
        <f>IF('[3]Pensioner Elements'!$C46="","",'[3]Pensioner Elements'!$C46)</f>
        <v/>
      </c>
      <c r="D45" s="139" t="str">
        <f>IF('[3]Pensioner Elements'!$D46="","",'[3]Pensioner Elements'!$D46)</f>
        <v>Post 2008 Pension</v>
      </c>
    </row>
    <row r="46" spans="1:4">
      <c r="A46" s="139" t="str">
        <f>IF('[3]Pensioner Elements'!$A47="","",'[3]Pensioner Elements'!$A47)</f>
        <v>Post 97 Transfer-in Pension</v>
      </c>
      <c r="B46" s="139" t="str">
        <f>IF('[3]Pensioner Elements'!$B47="","",'[3]Pensioner Elements'!$B47)</f>
        <v/>
      </c>
      <c r="C46" s="139" t="str">
        <f>IF('[3]Pensioner Elements'!$C47="","",'[3]Pensioner Elements'!$C47)</f>
        <v/>
      </c>
      <c r="D46" s="139" t="str">
        <f>IF('[3]Pensioner Elements'!$D47="","",'[3]Pensioner Elements'!$D47)</f>
        <v>Post 2009 Pension</v>
      </c>
    </row>
    <row r="47" spans="1:4">
      <c r="A47" s="139" t="str">
        <f>IF('[3]Pensioner Elements'!$A48="","",'[3]Pensioner Elements'!$A48)</f>
        <v>Post 98 Pension</v>
      </c>
      <c r="B47" s="139" t="str">
        <f>IF('[3]Pensioner Elements'!$B48="","",'[3]Pensioner Elements'!$B48)</f>
        <v/>
      </c>
      <c r="C47" s="139" t="str">
        <f>IF('[3]Pensioner Elements'!$C48="","",'[3]Pensioner Elements'!$C48)</f>
        <v/>
      </c>
      <c r="D47" s="139" t="str">
        <f>IF('[3]Pensioner Elements'!$D48="","",'[3]Pensioner Elements'!$D48)</f>
        <v>Post 2011 Pension</v>
      </c>
    </row>
    <row r="48" spans="1:4">
      <c r="A48" s="139" t="str">
        <f>IF('[3]Pensioner Elements'!$A49="","",'[3]Pensioner Elements'!$A49)</f>
        <v>Pre 2000 Pension</v>
      </c>
      <c r="B48" s="139" t="str">
        <f>IF('[3]Pensioner Elements'!$B49="","",'[3]Pensioner Elements'!$B49)</f>
        <v/>
      </c>
      <c r="C48" s="139" t="str">
        <f>IF('[3]Pensioner Elements'!$C49="","",'[3]Pensioner Elements'!$C49)</f>
        <v/>
      </c>
      <c r="D48" s="139" t="str">
        <f>IF('[3]Pensioner Elements'!$D49="","",'[3]Pensioner Elements'!$D49)</f>
        <v>Post 88 GMP</v>
      </c>
    </row>
    <row r="49" spans="1:4">
      <c r="A49" s="139" t="str">
        <f>IF('[3]Pensioner Elements'!$A50="","",'[3]Pensioner Elements'!$A50)</f>
        <v>Pre 2005 Pension</v>
      </c>
      <c r="B49" s="139" t="str">
        <f>IF('[3]Pensioner Elements'!$B50="","",'[3]Pensioner Elements'!$B50)</f>
        <v/>
      </c>
      <c r="C49" s="139" t="str">
        <f>IF('[3]Pensioner Elements'!$C50="","",'[3]Pensioner Elements'!$C50)</f>
        <v/>
      </c>
      <c r="D49" s="139" t="str">
        <f>IF('[3]Pensioner Elements'!$D50="","",'[3]Pensioner Elements'!$D50)</f>
        <v>Post 88 GMP at SPA</v>
      </c>
    </row>
    <row r="50" spans="1:4">
      <c r="A50" s="139" t="str">
        <f>IF('[3]Pensioner Elements'!$A51="","",'[3]Pensioner Elements'!$A51)</f>
        <v>Pre 2006 Pension</v>
      </c>
      <c r="B50" s="139" t="str">
        <f>IF('[3]Pensioner Elements'!$B51="","",'[3]Pensioner Elements'!$B51)</f>
        <v/>
      </c>
      <c r="C50" s="139" t="str">
        <f>IF('[3]Pensioner Elements'!$C51="","",'[3]Pensioner Elements'!$C51)</f>
        <v/>
      </c>
      <c r="D50" s="139" t="str">
        <f>IF('[3]Pensioner Elements'!$D51="","",'[3]Pensioner Elements'!$D51)</f>
        <v>Post 97 Pension</v>
      </c>
    </row>
    <row r="51" spans="1:4">
      <c r="A51" s="139" t="str">
        <f>IF('[3]Pensioner Elements'!$A52="","",'[3]Pensioner Elements'!$A52)</f>
        <v>Pre 2008 Pension</v>
      </c>
      <c r="B51" s="139" t="str">
        <f>IF('[3]Pensioner Elements'!$B52="","",'[3]Pensioner Elements'!$B52)</f>
        <v/>
      </c>
      <c r="C51" s="139" t="str">
        <f>IF('[3]Pensioner Elements'!$C52="","",'[3]Pensioner Elements'!$C52)</f>
        <v/>
      </c>
      <c r="D51" s="139" t="str">
        <f>IF('[3]Pensioner Elements'!$D52="","",'[3]Pensioner Elements'!$D52)</f>
        <v>Post 97 Transfer-in Pension</v>
      </c>
    </row>
    <row r="52" spans="1:4">
      <c r="A52" s="139" t="str">
        <f>IF('[3]Pensioner Elements'!$A53="","",'[3]Pensioner Elements'!$A53)</f>
        <v>Post 2011 Pension</v>
      </c>
      <c r="B52" s="139" t="str">
        <f>IF('[3]Pensioner Elements'!$B53="","",'[3]Pensioner Elements'!$B53)</f>
        <v/>
      </c>
      <c r="C52" s="139" t="str">
        <f>IF('[3]Pensioner Elements'!$C53="","",'[3]Pensioner Elements'!$C53)</f>
        <v/>
      </c>
      <c r="D52" s="139" t="str">
        <f>IF('[3]Pensioner Elements'!$D53="","",'[3]Pensioner Elements'!$D53)</f>
        <v>Post 98 Pension</v>
      </c>
    </row>
    <row r="53" spans="1:4">
      <c r="A53" s="139" t="str">
        <f>IF('[3]Pensioner Elements'!$A54="","",'[3]Pensioner Elements'!$A54)</f>
        <v>Pre 89 Excess</v>
      </c>
      <c r="B53" s="139" t="str">
        <f>IF('[3]Pensioner Elements'!$B54="","",'[3]Pensioner Elements'!$B54)</f>
        <v/>
      </c>
      <c r="C53" s="139" t="str">
        <f>IF('[3]Pensioner Elements'!$C54="","",'[3]Pensioner Elements'!$C54)</f>
        <v/>
      </c>
      <c r="D53" s="139" t="str">
        <f>IF('[3]Pensioner Elements'!$D54="","",'[3]Pensioner Elements'!$D54)</f>
        <v>Pre 2000 Pension</v>
      </c>
    </row>
    <row r="54" spans="1:4">
      <c r="A54" s="139" t="str">
        <f>IF('[3]Pensioner Elements'!$A55="","",'[3]Pensioner Elements'!$A55)</f>
        <v>Pre 90 Excess</v>
      </c>
      <c r="B54" s="139" t="str">
        <f>IF('[3]Pensioner Elements'!$B55="","",'[3]Pensioner Elements'!$B55)</f>
        <v/>
      </c>
      <c r="C54" s="139" t="str">
        <f>IF('[3]Pensioner Elements'!$C55="","",'[3]Pensioner Elements'!$C55)</f>
        <v/>
      </c>
      <c r="D54" s="139" t="str">
        <f>IF('[3]Pensioner Elements'!$D55="","",'[3]Pensioner Elements'!$D55)</f>
        <v>Pre 2005 Pension</v>
      </c>
    </row>
    <row r="55" spans="1:4">
      <c r="A55" s="139" t="str">
        <f>IF('[3]Pensioner Elements'!$A56="","",'[3]Pensioner Elements'!$A56)</f>
        <v>Pre 91 Excess</v>
      </c>
      <c r="B55" s="139" t="str">
        <f>IF('[3]Pensioner Elements'!$B56="","",'[3]Pensioner Elements'!$B56)</f>
        <v/>
      </c>
      <c r="C55" s="139" t="str">
        <f>IF('[3]Pensioner Elements'!$C56="","",'[3]Pensioner Elements'!$C56)</f>
        <v/>
      </c>
      <c r="D55" s="139" t="str">
        <f>IF('[3]Pensioner Elements'!$D56="","",'[3]Pensioner Elements'!$D56)</f>
        <v>Pre 2006 Pension</v>
      </c>
    </row>
    <row r="56" spans="1:4">
      <c r="A56" s="139" t="str">
        <f>IF('[3]Pensioner Elements'!$A57="","",'[3]Pensioner Elements'!$A57)</f>
        <v>Pre 92 Excess</v>
      </c>
      <c r="B56" s="139" t="str">
        <f>IF('[3]Pensioner Elements'!$B57="","",'[3]Pensioner Elements'!$B57)</f>
        <v/>
      </c>
      <c r="C56" s="139" t="str">
        <f>IF('[3]Pensioner Elements'!$C57="","",'[3]Pensioner Elements'!$C57)</f>
        <v/>
      </c>
      <c r="D56" s="139" t="str">
        <f>IF('[3]Pensioner Elements'!$D57="","",'[3]Pensioner Elements'!$D57)</f>
        <v>Pre 2008 Pension</v>
      </c>
    </row>
    <row r="57" spans="1:4">
      <c r="A57" s="139" t="str">
        <f>IF('[3]Pensioner Elements'!$A58="","",'[3]Pensioner Elements'!$A58)</f>
        <v>Pre 94 Excess</v>
      </c>
      <c r="B57" s="139" t="str">
        <f>IF('[3]Pensioner Elements'!$B58="","",'[3]Pensioner Elements'!$B58)</f>
        <v/>
      </c>
      <c r="C57" s="139" t="str">
        <f>IF('[3]Pensioner Elements'!$C58="","",'[3]Pensioner Elements'!$C58)</f>
        <v/>
      </c>
      <c r="D57" s="139" t="str">
        <f>IF('[3]Pensioner Elements'!$D58="","",'[3]Pensioner Elements'!$D58)</f>
        <v>Pre 88 GMP</v>
      </c>
    </row>
    <row r="58" spans="1:4">
      <c r="A58" s="139" t="str">
        <f>IF('[3]Pensioner Elements'!$A59="","",'[3]Pensioner Elements'!$A59)</f>
        <v>Pre 96 Excess</v>
      </c>
      <c r="B58" s="139" t="str">
        <f>IF('[3]Pensioner Elements'!$B59="","",'[3]Pensioner Elements'!$B59)</f>
        <v/>
      </c>
      <c r="C58" s="139" t="str">
        <f>IF('[3]Pensioner Elements'!$C59="","",'[3]Pensioner Elements'!$C59)</f>
        <v/>
      </c>
      <c r="D58" s="139" t="str">
        <f>IF('[3]Pensioner Elements'!$D59="","",'[3]Pensioner Elements'!$D59)</f>
        <v>Pre 88 GMP at SPA</v>
      </c>
    </row>
    <row r="59" spans="1:4">
      <c r="A59" s="139" t="str">
        <f>IF('[3]Pensioner Elements'!$A60="","",'[3]Pensioner Elements'!$A60)</f>
        <v>Pre 97 Escalating Excess</v>
      </c>
      <c r="B59" s="139" t="str">
        <f>IF('[3]Pensioner Elements'!$B60="","",'[3]Pensioner Elements'!$B60)</f>
        <v/>
      </c>
      <c r="C59" s="139" t="str">
        <f>IF('[3]Pensioner Elements'!$C60="","",'[3]Pensioner Elements'!$C60)</f>
        <v/>
      </c>
      <c r="D59" s="139" t="str">
        <f>IF('[3]Pensioner Elements'!$D60="","",'[3]Pensioner Elements'!$D60)</f>
        <v>Pre 89 Excess</v>
      </c>
    </row>
    <row r="60" spans="1:4">
      <c r="A60" s="139" t="str">
        <f>IF('[3]Pensioner Elements'!$A61="","",'[3]Pensioner Elements'!$A61)</f>
        <v>Pre 97 Escalating Excess 1</v>
      </c>
      <c r="B60" s="139" t="str">
        <f>IF('[3]Pensioner Elements'!$B61="","",'[3]Pensioner Elements'!$B61)</f>
        <v/>
      </c>
      <c r="C60" s="139" t="str">
        <f>IF('[3]Pensioner Elements'!$C61="","",'[3]Pensioner Elements'!$C61)</f>
        <v/>
      </c>
      <c r="D60" s="139" t="str">
        <f>IF('[3]Pensioner Elements'!$D61="","",'[3]Pensioner Elements'!$D61)</f>
        <v>Pre 90 Excess</v>
      </c>
    </row>
    <row r="61" spans="1:4">
      <c r="A61" s="139" t="str">
        <f>IF('[3]Pensioner Elements'!$A62="","",'[3]Pensioner Elements'!$A62)</f>
        <v>Pre 97 Escalating Excess 2</v>
      </c>
      <c r="B61" s="139" t="str">
        <f>IF('[3]Pensioner Elements'!$B62="","",'[3]Pensioner Elements'!$B62)</f>
        <v/>
      </c>
      <c r="C61" s="139" t="str">
        <f>IF('[3]Pensioner Elements'!$C62="","",'[3]Pensioner Elements'!$C62)</f>
        <v/>
      </c>
      <c r="D61" s="139" t="str">
        <f>IF('[3]Pensioner Elements'!$D62="","",'[3]Pensioner Elements'!$D62)</f>
        <v>Pre 91 Excess</v>
      </c>
    </row>
    <row r="62" spans="1:4">
      <c r="A62" s="139" t="str">
        <f>IF('[3]Pensioner Elements'!$A63="","",'[3]Pensioner Elements'!$A63)</f>
        <v>Pre 97 Escalating Excess 3</v>
      </c>
      <c r="B62" s="139" t="str">
        <f>IF('[3]Pensioner Elements'!$B63="","",'[3]Pensioner Elements'!$B63)</f>
        <v/>
      </c>
      <c r="C62" s="139" t="str">
        <f>IF('[3]Pensioner Elements'!$C63="","",'[3]Pensioner Elements'!$C63)</f>
        <v/>
      </c>
      <c r="D62" s="139" t="str">
        <f>IF('[3]Pensioner Elements'!$D63="","",'[3]Pensioner Elements'!$D63)</f>
        <v>Pre 92 Excess</v>
      </c>
    </row>
    <row r="63" spans="1:4">
      <c r="A63" s="139" t="str">
        <f>IF('[3]Pensioner Elements'!$A64="","",'[3]Pensioner Elements'!$A64)</f>
        <v>Pre 97 Escalating Excess 4</v>
      </c>
      <c r="B63" s="139" t="str">
        <f>IF('[3]Pensioner Elements'!$B64="","",'[3]Pensioner Elements'!$B64)</f>
        <v/>
      </c>
      <c r="C63" s="139" t="str">
        <f>IF('[3]Pensioner Elements'!$C64="","",'[3]Pensioner Elements'!$C64)</f>
        <v/>
      </c>
      <c r="D63" s="139" t="str">
        <f>IF('[3]Pensioner Elements'!$D64="","",'[3]Pensioner Elements'!$D64)</f>
        <v>Pre 94 Excess</v>
      </c>
    </row>
    <row r="64" spans="1:4">
      <c r="A64" s="139" t="str">
        <f>IF('[3]Pensioner Elements'!$A65="","",'[3]Pensioner Elements'!$A65)</f>
        <v>Pre 97 Escalating Excess 5</v>
      </c>
      <c r="B64" s="139" t="str">
        <f>IF('[3]Pensioner Elements'!$B65="","",'[3]Pensioner Elements'!$B65)</f>
        <v/>
      </c>
      <c r="C64" s="139" t="str">
        <f>IF('[3]Pensioner Elements'!$C65="","",'[3]Pensioner Elements'!$C65)</f>
        <v/>
      </c>
      <c r="D64" s="139" t="str">
        <f>IF('[3]Pensioner Elements'!$D65="","",'[3]Pensioner Elements'!$D65)</f>
        <v>Pre 96 Excess</v>
      </c>
    </row>
    <row r="65" spans="1:4">
      <c r="A65" s="139" t="str">
        <f>IF('[3]Pensioner Elements'!$A66="","",'[3]Pensioner Elements'!$A66)</f>
        <v>Pre 97 Escalating Excess 6</v>
      </c>
      <c r="B65" s="139" t="str">
        <f>IF('[3]Pensioner Elements'!$B66="","",'[3]Pensioner Elements'!$B66)</f>
        <v/>
      </c>
      <c r="C65" s="139" t="str">
        <f>IF('[3]Pensioner Elements'!$C66="","",'[3]Pensioner Elements'!$C66)</f>
        <v/>
      </c>
      <c r="D65" s="139" t="str">
        <f>IF('[3]Pensioner Elements'!$D66="","",'[3]Pensioner Elements'!$D66)</f>
        <v>Pre 97 Escalating Excess</v>
      </c>
    </row>
    <row r="66" spans="1:4">
      <c r="A66" s="139" t="str">
        <f>IF('[3]Pensioner Elements'!$A67="","",'[3]Pensioner Elements'!$A67)</f>
        <v>Pre 97 Escalating Excess 7</v>
      </c>
      <c r="B66" s="139" t="str">
        <f>IF('[3]Pensioner Elements'!$B67="","",'[3]Pensioner Elements'!$B67)</f>
        <v/>
      </c>
      <c r="C66" s="139" t="str">
        <f>IF('[3]Pensioner Elements'!$C67="","",'[3]Pensioner Elements'!$C67)</f>
        <v/>
      </c>
      <c r="D66" s="139" t="str">
        <f>IF('[3]Pensioner Elements'!$D67="","",'[3]Pensioner Elements'!$D67)</f>
        <v>Pre 97 Escalating Excess 1</v>
      </c>
    </row>
    <row r="67" spans="1:4">
      <c r="A67" s="139" t="str">
        <f>IF('[3]Pensioner Elements'!$A68="","",'[3]Pensioner Elements'!$A68)</f>
        <v>Pre 97 Escalating Excess 8</v>
      </c>
      <c r="B67" s="139" t="str">
        <f>IF('[3]Pensioner Elements'!$B68="","",'[3]Pensioner Elements'!$B68)</f>
        <v/>
      </c>
      <c r="C67" s="139" t="str">
        <f>IF('[3]Pensioner Elements'!$C68="","",'[3]Pensioner Elements'!$C68)</f>
        <v/>
      </c>
      <c r="D67" s="139" t="str">
        <f>IF('[3]Pensioner Elements'!$D68="","",'[3]Pensioner Elements'!$D68)</f>
        <v>Pre 97 Escalating Excess 2</v>
      </c>
    </row>
    <row r="68" spans="1:4">
      <c r="A68" s="139" t="str">
        <f>IF('[3]Pensioner Elements'!$A69="","",'[3]Pensioner Elements'!$A69)</f>
        <v>Pre 97 Escalating Excess 9</v>
      </c>
      <c r="B68" s="139" t="str">
        <f>IF('[3]Pensioner Elements'!$B69="","",'[3]Pensioner Elements'!$B69)</f>
        <v/>
      </c>
      <c r="C68" s="139" t="str">
        <f>IF('[3]Pensioner Elements'!$C69="","",'[3]Pensioner Elements'!$C69)</f>
        <v/>
      </c>
      <c r="D68" s="139" t="str">
        <f>IF('[3]Pensioner Elements'!$D69="","",'[3]Pensioner Elements'!$D69)</f>
        <v>Pre 97 Escalating Excess 3</v>
      </c>
    </row>
    <row r="69" spans="1:4">
      <c r="A69" s="139" t="str">
        <f>IF('[3]Pensioner Elements'!$A70="","",'[3]Pensioner Elements'!$A70)</f>
        <v>Pre 97 Non Escalating Excess</v>
      </c>
      <c r="B69" s="139" t="str">
        <f>IF('[3]Pensioner Elements'!$B70="","",'[3]Pensioner Elements'!$B70)</f>
        <v/>
      </c>
      <c r="C69" s="139" t="str">
        <f>IF('[3]Pensioner Elements'!$C70="","",'[3]Pensioner Elements'!$C70)</f>
        <v/>
      </c>
      <c r="D69" s="139" t="str">
        <f>IF('[3]Pensioner Elements'!$D70="","",'[3]Pensioner Elements'!$D70)</f>
        <v>Pre 97 Escalating Excess 4</v>
      </c>
    </row>
    <row r="70" spans="1:4">
      <c r="A70" s="139" t="str">
        <f>IF('[3]Pensioner Elements'!$A71="","",'[3]Pensioner Elements'!$A71)</f>
        <v>Pre 97 Transfer-in Pension</v>
      </c>
      <c r="B70" s="139" t="str">
        <f>IF('[3]Pensioner Elements'!$B71="","",'[3]Pensioner Elements'!$B71)</f>
        <v/>
      </c>
      <c r="C70" s="139" t="str">
        <f>IF('[3]Pensioner Elements'!$C71="","",'[3]Pensioner Elements'!$C71)</f>
        <v/>
      </c>
      <c r="D70" s="139" t="str">
        <f>IF('[3]Pensioner Elements'!$D71="","",'[3]Pensioner Elements'!$D71)</f>
        <v>Pre 97 Escalating Excess 5</v>
      </c>
    </row>
    <row r="71" spans="1:4">
      <c r="A71" s="139" t="str">
        <f>IF('[3]Pensioner Elements'!$A72="","",'[3]Pensioner Elements'!$A72)</f>
        <v>Pre 98 Pension</v>
      </c>
      <c r="B71" s="139" t="str">
        <f>IF('[3]Pensioner Elements'!$B72="","",'[3]Pensioner Elements'!$B72)</f>
        <v/>
      </c>
      <c r="C71" s="139" t="str">
        <f>IF('[3]Pensioner Elements'!$C72="","",'[3]Pensioner Elements'!$C72)</f>
        <v/>
      </c>
      <c r="D71" s="139" t="str">
        <f>IF('[3]Pensioner Elements'!$D72="","",'[3]Pensioner Elements'!$D72)</f>
        <v>Pre 97 Escalating Excess 6</v>
      </c>
    </row>
    <row r="72" spans="1:4">
      <c r="A72" s="139" t="str">
        <f>IF('[3]Pensioner Elements'!$A73="","",'[3]Pensioner Elements'!$A73)</f>
        <v>Special Escalating Pension</v>
      </c>
      <c r="B72" s="139" t="str">
        <f>IF('[3]Pensioner Elements'!$B73="","",'[3]Pensioner Elements'!$B73)</f>
        <v/>
      </c>
      <c r="C72" s="139" t="str">
        <f>IF('[3]Pensioner Elements'!$C73="","",'[3]Pensioner Elements'!$C73)</f>
        <v/>
      </c>
      <c r="D72" s="139" t="str">
        <f>IF('[3]Pensioner Elements'!$D73="","",'[3]Pensioner Elements'!$D73)</f>
        <v>Pre 97 Escalating Excess 7</v>
      </c>
    </row>
    <row r="73" spans="1:4">
      <c r="A73" s="139" t="str">
        <f>IF('[3]Pensioner Elements'!$A74="","",'[3]Pensioner Elements'!$A74)</f>
        <v>Special Non-Escalating Pension</v>
      </c>
      <c r="B73" s="139" t="str">
        <f>IF('[3]Pensioner Elements'!$B74="","",'[3]Pensioner Elements'!$B74)</f>
        <v/>
      </c>
      <c r="C73" s="139" t="str">
        <f>IF('[3]Pensioner Elements'!$C74="","",'[3]Pensioner Elements'!$C74)</f>
        <v/>
      </c>
      <c r="D73" s="139" t="str">
        <f>IF('[3]Pensioner Elements'!$D74="","",'[3]Pensioner Elements'!$D74)</f>
        <v>Pre 97 Escalating Excess 8</v>
      </c>
    </row>
    <row r="74" spans="1:4">
      <c r="A74" s="139" t="str">
        <f>IF('[3]Pensioner Elements'!$A75="","",'[3]Pensioner Elements'!$A75)</f>
        <v>State Pension Deductions</v>
      </c>
      <c r="B74" s="139" t="str">
        <f>IF('[3]Pensioner Elements'!$B75="","",'[3]Pensioner Elements'!$B75)</f>
        <v/>
      </c>
      <c r="C74" s="139" t="str">
        <f>IF('[3]Pensioner Elements'!$C75="","",'[3]Pensioner Elements'!$C75)</f>
        <v/>
      </c>
      <c r="D74" s="139" t="str">
        <f>IF('[3]Pensioner Elements'!$D75="","",'[3]Pensioner Elements'!$D75)</f>
        <v>Pre 97 Escalating Excess 9</v>
      </c>
    </row>
    <row r="75" spans="1:4">
      <c r="A75" s="139" t="str">
        <f>IF('[3]Pensioner Elements'!$A76="","",'[3]Pensioner Elements'!$A76)</f>
        <v>Step Up at SPA</v>
      </c>
      <c r="B75" s="139" t="str">
        <f>IF('[3]Pensioner Elements'!$B76="","",'[3]Pensioner Elements'!$B76)</f>
        <v/>
      </c>
      <c r="C75" s="139" t="str">
        <f>IF('[3]Pensioner Elements'!$C76="","",'[3]Pensioner Elements'!$C76)</f>
        <v/>
      </c>
      <c r="D75" s="139" t="str">
        <f>IF('[3]Pensioner Elements'!$D76="","",'[3]Pensioner Elements'!$D76)</f>
        <v>Pre 97 Non Escalating Excess</v>
      </c>
    </row>
    <row r="76" spans="1:4">
      <c r="A76" s="139" t="str">
        <f>IF('[3]Pensioner Elements'!$A77="","",'[3]Pensioner Elements'!$A77)</f>
        <v>Total Excess</v>
      </c>
      <c r="B76" s="139" t="str">
        <f>IF('[3]Pensioner Elements'!$B77="","",'[3]Pensioner Elements'!$B77)</f>
        <v/>
      </c>
      <c r="C76" s="139" t="str">
        <f>IF('[3]Pensioner Elements'!$C77="","",'[3]Pensioner Elements'!$C77)</f>
        <v/>
      </c>
      <c r="D76" s="139" t="str">
        <f>IF('[3]Pensioner Elements'!$D77="","",'[3]Pensioner Elements'!$D77)</f>
        <v>Pre 97 Transfer-in Pension</v>
      </c>
    </row>
    <row r="77" spans="1:4">
      <c r="A77" s="139" t="str">
        <f>IF('[3]Pensioner Elements'!$A78="","",'[3]Pensioner Elements'!$A78)</f>
        <v>Total Pension</v>
      </c>
      <c r="B77" s="139" t="str">
        <f>IF('[3]Pensioner Elements'!$B78="","",'[3]Pensioner Elements'!$B78)</f>
        <v/>
      </c>
      <c r="C77" s="139" t="str">
        <f>IF('[3]Pensioner Elements'!$C78="","",'[3]Pensioner Elements'!$C78)</f>
        <v/>
      </c>
      <c r="D77" s="139" t="str">
        <f>IF('[3]Pensioner Elements'!$D78="","",'[3]Pensioner Elements'!$D78)</f>
        <v>Pre 98 Pension</v>
      </c>
    </row>
    <row r="78" spans="1:4">
      <c r="A78" s="139" t="str">
        <f>IF('[3]Pensioner Elements'!$A79="","",'[3]Pensioner Elements'!$A79)</f>
        <v>Transfer in Pension</v>
      </c>
      <c r="B78" s="139" t="str">
        <f>IF('[3]Pensioner Elements'!$B79="","",'[3]Pensioner Elements'!$B79)</f>
        <v/>
      </c>
      <c r="C78" s="139" t="str">
        <f>IF('[3]Pensioner Elements'!$C79="","",'[3]Pensioner Elements'!$C79)</f>
        <v/>
      </c>
      <c r="D78" s="139" t="str">
        <f>IF('[3]Pensioner Elements'!$D79="","",'[3]Pensioner Elements'!$D79)</f>
        <v>Special Escalating Pension</v>
      </c>
    </row>
    <row r="79" spans="1:4">
      <c r="A79" s="139" t="str">
        <f>IF('[3]Pensioner Elements'!$A80="","",'[3]Pensioner Elements'!$A80)</f>
        <v>Trivial Commutation</v>
      </c>
      <c r="B79" s="139" t="str">
        <f>IF('[3]Pensioner Elements'!$B80="","",'[3]Pensioner Elements'!$B80)</f>
        <v/>
      </c>
      <c r="C79" s="139" t="str">
        <f>IF('[3]Pensioner Elements'!$C80="","",'[3]Pensioner Elements'!$C80)</f>
        <v/>
      </c>
      <c r="D79" s="139" t="str">
        <f>IF('[3]Pensioner Elements'!$D80="","",'[3]Pensioner Elements'!$D80)</f>
        <v>Special Non-Escalating Pension</v>
      </c>
    </row>
    <row r="80" spans="1:4">
      <c r="A80" s="139" t="str">
        <f>IF('[3]Pensioner Elements'!$A81="","",'[3]Pensioner Elements'!$A81)</f>
        <v>Unknown</v>
      </c>
      <c r="B80" s="139" t="str">
        <f>IF('[3]Pensioner Elements'!$B81="","",'[3]Pensioner Elements'!$B81)</f>
        <v/>
      </c>
      <c r="C80" s="139" t="str">
        <f>IF('[3]Pensioner Elements'!$C81="","",'[3]Pensioner Elements'!$C81)</f>
        <v/>
      </c>
      <c r="D80" s="139" t="str">
        <f>IF('[3]Pensioner Elements'!$D81="","",'[3]Pensioner Elements'!$D81)</f>
        <v>State Pension Deductions</v>
      </c>
    </row>
    <row r="81" spans="1:4">
      <c r="A81" s="139" t="str">
        <f>IF('[3]Pensioner Elements'!$A82="","",'[3]Pensioner Elements'!$A82)</f>
        <v/>
      </c>
      <c r="B81" s="139" t="str">
        <f>IF('[3]Pensioner Elements'!$B82="","",'[3]Pensioner Elements'!$B82)</f>
        <v/>
      </c>
      <c r="C81" s="139" t="str">
        <f>IF('[3]Pensioner Elements'!$C82="","",'[3]Pensioner Elements'!$C82)</f>
        <v/>
      </c>
      <c r="D81" s="139" t="str">
        <f>IF('[3]Pensioner Elements'!$D82="","",'[3]Pensioner Elements'!$D82)</f>
        <v>Step Up at SPA</v>
      </c>
    </row>
    <row r="82" spans="1:4">
      <c r="A82" s="139" t="str">
        <f>IF('[3]Pensioner Elements'!$A83="","",'[3]Pensioner Elements'!$A83)</f>
        <v/>
      </c>
      <c r="B82" s="139" t="str">
        <f>IF('[3]Pensioner Elements'!$B83="","",'[3]Pensioner Elements'!$B83)</f>
        <v/>
      </c>
      <c r="C82" s="139" t="str">
        <f>IF('[3]Pensioner Elements'!$C83="","",'[3]Pensioner Elements'!$C83)</f>
        <v/>
      </c>
      <c r="D82" s="139" t="str">
        <f>IF('[3]Pensioner Elements'!$D83="","",'[3]Pensioner Elements'!$D83)</f>
        <v>Total Excess</v>
      </c>
    </row>
    <row r="83" spans="1:4">
      <c r="A83" s="139" t="str">
        <f>IF('[3]Pensioner Elements'!$A84="","",'[3]Pensioner Elements'!$A84)</f>
        <v/>
      </c>
      <c r="B83" s="139" t="str">
        <f>IF('[3]Pensioner Elements'!$B84="","",'[3]Pensioner Elements'!$B84)</f>
        <v/>
      </c>
      <c r="C83" s="139" t="str">
        <f>IF('[3]Pensioner Elements'!$C84="","",'[3]Pensioner Elements'!$C84)</f>
        <v/>
      </c>
      <c r="D83" s="139" t="str">
        <f>IF('[3]Pensioner Elements'!$D84="","",'[3]Pensioner Elements'!$D84)</f>
        <v>Total Pension</v>
      </c>
    </row>
    <row r="84" spans="1:4">
      <c r="A84" s="139" t="str">
        <f>IF('[3]Pensioner Elements'!$A85="","",'[3]Pensioner Elements'!$A85)</f>
        <v/>
      </c>
      <c r="B84" s="139" t="str">
        <f>IF('[3]Pensioner Elements'!$B85="","",'[3]Pensioner Elements'!$B85)</f>
        <v/>
      </c>
      <c r="C84" s="139" t="str">
        <f>IF('[3]Pensioner Elements'!$C85="","",'[3]Pensioner Elements'!$C85)</f>
        <v/>
      </c>
      <c r="D84" s="139" t="str">
        <f>IF('[3]Pensioner Elements'!$D85="","",'[3]Pensioner Elements'!$D85)</f>
        <v>Transfer in Pension</v>
      </c>
    </row>
    <row r="85" spans="1:4">
      <c r="A85" s="139" t="str">
        <f>IF('[3]Pensioner Elements'!$A86="","",'[3]Pensioner Elements'!$A86)</f>
        <v/>
      </c>
      <c r="B85" s="139" t="str">
        <f>IF('[3]Pensioner Elements'!$B86="","",'[3]Pensioner Elements'!$B86)</f>
        <v/>
      </c>
      <c r="C85" s="139" t="str">
        <f>IF('[3]Pensioner Elements'!$C86="","",'[3]Pensioner Elements'!$C86)</f>
        <v/>
      </c>
      <c r="D85" s="139" t="str">
        <f>IF('[3]Pensioner Elements'!$D86="","",'[3]Pensioner Elements'!$D86)</f>
        <v>Trivial Commutation</v>
      </c>
    </row>
    <row r="86" spans="1:4">
      <c r="A86" s="139" t="str">
        <f>IF('[3]Pensioner Elements'!$A87="","",'[3]Pensioner Elements'!$A87)</f>
        <v/>
      </c>
      <c r="B86" s="139" t="str">
        <f>IF('[3]Pensioner Elements'!$B87="","",'[3]Pensioner Elements'!$B87)</f>
        <v/>
      </c>
      <c r="C86" s="139" t="str">
        <f>IF('[3]Pensioner Elements'!$C87="","",'[3]Pensioner Elements'!$C87)</f>
        <v/>
      </c>
      <c r="D86" s="139" t="str">
        <f>IF('[3]Pensioner Elements'!$D87="","",'[3]Pensioner Elements'!$D87)</f>
        <v>Unknown</v>
      </c>
    </row>
    <row r="87" spans="1:4">
      <c r="A87" s="139" t="str">
        <f>IF('[3]Pensioner Elements'!$A88="","",'[3]Pensioner Elements'!$A88)</f>
        <v/>
      </c>
      <c r="B87" s="139" t="str">
        <f>IF('[3]Pensioner Elements'!$B88="","",'[3]Pensioner Elements'!$B88)</f>
        <v/>
      </c>
      <c r="C87" s="139" t="str">
        <f>IF('[3]Pensioner Elements'!$C88="","",'[3]Pensioner Elements'!$C88)</f>
        <v/>
      </c>
      <c r="D87" s="139" t="str">
        <f>IF('[3]Pensioner Elements'!$D88="","",'[3]Pensioner Elements'!$D88)</f>
        <v/>
      </c>
    </row>
    <row r="88" spans="1:4">
      <c r="A88" s="139" t="str">
        <f>IF('[3]Pensioner Elements'!$A89="","",'[3]Pensioner Elements'!$A89)</f>
        <v/>
      </c>
      <c r="B88" s="139" t="str">
        <f>IF('[3]Pensioner Elements'!$B89="","",'[3]Pensioner Elements'!$B89)</f>
        <v/>
      </c>
      <c r="C88" s="139" t="str">
        <f>IF('[3]Pensioner Elements'!$C89="","",'[3]Pensioner Elements'!$C89)</f>
        <v/>
      </c>
      <c r="D88" s="139" t="str">
        <f>IF('[3]Pensioner Elements'!$D89="","",'[3]Pensioner Elements'!$D89)</f>
        <v/>
      </c>
    </row>
    <row r="89" spans="1:4">
      <c r="A89" s="139" t="str">
        <f>IF('[3]Pensioner Elements'!$A90="","",'[3]Pensioner Elements'!$A90)</f>
        <v/>
      </c>
      <c r="B89" s="139" t="str">
        <f>IF('[3]Pensioner Elements'!$B90="","",'[3]Pensioner Elements'!$B90)</f>
        <v/>
      </c>
      <c r="C89" s="139" t="str">
        <f>IF('[3]Pensioner Elements'!$C90="","",'[3]Pensioner Elements'!$C90)</f>
        <v/>
      </c>
      <c r="D89" s="139" t="str">
        <f>IF('[3]Pensioner Elements'!$D90="","",'[3]Pensioner Elements'!$D90)</f>
        <v/>
      </c>
    </row>
    <row r="90" spans="1:4">
      <c r="A90" s="139" t="str">
        <f>IF('[3]Pensioner Elements'!$A91="","",'[3]Pensioner Elements'!$A91)</f>
        <v/>
      </c>
      <c r="B90" s="139" t="str">
        <f>IF('[3]Pensioner Elements'!$B91="","",'[3]Pensioner Elements'!$B91)</f>
        <v/>
      </c>
      <c r="C90" s="139" t="str">
        <f>IF('[3]Pensioner Elements'!$C91="","",'[3]Pensioner Elements'!$C91)</f>
        <v/>
      </c>
      <c r="D90" s="139" t="str">
        <f>IF('[3]Pensioner Elements'!$D91="","",'[3]Pensioner Elements'!$D91)</f>
        <v/>
      </c>
    </row>
    <row r="91" spans="1:4">
      <c r="A91" s="139" t="str">
        <f>IF('[3]Pensioner Elements'!$A92="","",'[3]Pensioner Elements'!$A92)</f>
        <v/>
      </c>
      <c r="B91" s="139" t="str">
        <f>IF('[3]Pensioner Elements'!$B92="","",'[3]Pensioner Elements'!$B92)</f>
        <v/>
      </c>
      <c r="C91" s="139" t="str">
        <f>IF('[3]Pensioner Elements'!$C92="","",'[3]Pensioner Elements'!$C92)</f>
        <v/>
      </c>
      <c r="D91" s="139" t="str">
        <f>IF('[3]Pensioner Elements'!$D92="","",'[3]Pensioner Elements'!$D92)</f>
        <v/>
      </c>
    </row>
    <row r="92" spans="1:4">
      <c r="A92" s="139" t="str">
        <f>IF('[3]Pensioner Elements'!$A93="","",'[3]Pensioner Elements'!$A93)</f>
        <v/>
      </c>
      <c r="B92" s="139" t="str">
        <f>IF('[3]Pensioner Elements'!$B93="","",'[3]Pensioner Elements'!$B93)</f>
        <v/>
      </c>
      <c r="C92" s="139" t="str">
        <f>IF('[3]Pensioner Elements'!$C93="","",'[3]Pensioner Elements'!$C93)</f>
        <v/>
      </c>
      <c r="D92" s="139" t="str">
        <f>IF('[3]Pensioner Elements'!$D93="","",'[3]Pensioner Elements'!$D93)</f>
        <v/>
      </c>
    </row>
    <row r="93" spans="1:4">
      <c r="A93" s="139" t="str">
        <f>IF('[3]Pensioner Elements'!$A94="","",'[3]Pensioner Elements'!$A94)</f>
        <v/>
      </c>
      <c r="B93" s="139" t="str">
        <f>IF('[3]Pensioner Elements'!$B94="","",'[3]Pensioner Elements'!$B94)</f>
        <v/>
      </c>
      <c r="C93" s="139" t="str">
        <f>IF('[3]Pensioner Elements'!$C94="","",'[3]Pensioner Elements'!$C94)</f>
        <v/>
      </c>
      <c r="D93" s="139" t="str">
        <f>IF('[3]Pensioner Elements'!$D94="","",'[3]Pensioner Elements'!$D94)</f>
        <v/>
      </c>
    </row>
    <row r="94" spans="1:4">
      <c r="A94" s="139" t="str">
        <f>IF('[3]Pensioner Elements'!$A95="","",'[3]Pensioner Elements'!$A95)</f>
        <v/>
      </c>
      <c r="B94" s="139" t="str">
        <f>IF('[3]Pensioner Elements'!$B95="","",'[3]Pensioner Elements'!$B95)</f>
        <v/>
      </c>
      <c r="C94" s="139" t="str">
        <f>IF('[3]Pensioner Elements'!$C95="","",'[3]Pensioner Elements'!$C95)</f>
        <v/>
      </c>
      <c r="D94" s="139" t="str">
        <f>IF('[3]Pensioner Elements'!$D95="","",'[3]Pensioner Elements'!$D95)</f>
        <v/>
      </c>
    </row>
    <row r="95" spans="1:4">
      <c r="A95" s="139" t="str">
        <f>IF('[3]Pensioner Elements'!$A96="","",'[3]Pensioner Elements'!$A96)</f>
        <v/>
      </c>
      <c r="B95" s="139" t="str">
        <f>IF('[3]Pensioner Elements'!$B96="","",'[3]Pensioner Elements'!$B96)</f>
        <v/>
      </c>
      <c r="C95" s="139" t="str">
        <f>IF('[3]Pensioner Elements'!$C96="","",'[3]Pensioner Elements'!$C96)</f>
        <v/>
      </c>
      <c r="D95" s="139" t="str">
        <f>IF('[3]Pensioner Elements'!$D96="","",'[3]Pensioner Elements'!$D96)</f>
        <v/>
      </c>
    </row>
    <row r="96" spans="1:4">
      <c r="A96" s="139" t="str">
        <f>IF('[3]Pensioner Elements'!$A97="","",'[3]Pensioner Elements'!$A97)</f>
        <v/>
      </c>
      <c r="B96" s="139" t="str">
        <f>IF('[3]Pensioner Elements'!$B97="","",'[3]Pensioner Elements'!$B97)</f>
        <v/>
      </c>
      <c r="C96" s="139" t="str">
        <f>IF('[3]Pensioner Elements'!$C97="","",'[3]Pensioner Elements'!$C97)</f>
        <v/>
      </c>
      <c r="D96" s="139" t="str">
        <f>IF('[3]Pensioner Elements'!$D97="","",'[3]Pensioner Elements'!$D97)</f>
        <v/>
      </c>
    </row>
    <row r="97" spans="1:4">
      <c r="A97" s="139" t="str">
        <f>IF('[3]Pensioner Elements'!$A98="","",'[3]Pensioner Elements'!$A98)</f>
        <v/>
      </c>
      <c r="B97" s="139" t="str">
        <f>IF('[3]Pensioner Elements'!$B98="","",'[3]Pensioner Elements'!$B98)</f>
        <v/>
      </c>
      <c r="C97" s="139" t="str">
        <f>IF('[3]Pensioner Elements'!$C98="","",'[3]Pensioner Elements'!$C98)</f>
        <v/>
      </c>
      <c r="D97" s="139" t="str">
        <f>IF('[3]Pensioner Elements'!$D98="","",'[3]Pensioner Elements'!$D98)</f>
        <v/>
      </c>
    </row>
    <row r="98" spans="1:4">
      <c r="A98" s="139" t="str">
        <f>IF('[3]Pensioner Elements'!$A99="","",'[3]Pensioner Elements'!$A99)</f>
        <v/>
      </c>
      <c r="B98" s="139" t="str">
        <f>IF('[3]Pensioner Elements'!$B99="","",'[3]Pensioner Elements'!$B99)</f>
        <v/>
      </c>
      <c r="C98" s="139" t="str">
        <f>IF('[3]Pensioner Elements'!$C99="","",'[3]Pensioner Elements'!$C99)</f>
        <v/>
      </c>
      <c r="D98" s="139" t="str">
        <f>IF('[3]Pensioner Elements'!$D99="","",'[3]Pensioner Elements'!$D99)</f>
        <v/>
      </c>
    </row>
    <row r="99" spans="1:4">
      <c r="A99" s="139" t="str">
        <f>IF('[3]Pensioner Elements'!$A100="","",'[3]Pensioner Elements'!$A100)</f>
        <v/>
      </c>
      <c r="B99" s="139" t="str">
        <f>IF('[3]Pensioner Elements'!$B100="","",'[3]Pensioner Elements'!$B100)</f>
        <v/>
      </c>
      <c r="C99" s="139" t="str">
        <f>IF('[3]Pensioner Elements'!$C100="","",'[3]Pensioner Elements'!$C100)</f>
        <v/>
      </c>
      <c r="D99" s="139" t="str">
        <f>IF('[3]Pensioner Elements'!$D100="","",'[3]Pensioner Elements'!$D100)</f>
        <v/>
      </c>
    </row>
    <row r="100" spans="1:4">
      <c r="A100" s="139" t="str">
        <f>IF('[3]Pensioner Elements'!$A101="","",'[3]Pensioner Elements'!$A101)</f>
        <v/>
      </c>
      <c r="B100" s="139" t="str">
        <f>IF('[3]Pensioner Elements'!$B101="","",'[3]Pensioner Elements'!$B101)</f>
        <v/>
      </c>
      <c r="C100" s="139" t="str">
        <f>IF('[3]Pensioner Elements'!$C101="","",'[3]Pensioner Elements'!$C101)</f>
        <v/>
      </c>
      <c r="D100" s="139" t="str">
        <f>IF('[3]Pensioner Elements'!$D101="","",'[3]Pensioner Elements'!$D101)</f>
        <v/>
      </c>
    </row>
  </sheetData>
  <sheetProtection password="83AF" sheet="1" objects="1" scenarios="1" formatCells="0" formatColumns="0" formatRows="0"/>
  <sortState ref="A1:A83">
    <sortCondition ref="A1:A83"/>
  </sortState>
  <customSheetViews>
    <customSheetView guid="{B6007CFB-3D06-43CC-8EB0-042D40129E35}" state="hidden">
      <selection activeCell="E36" sqref="E36"/>
      <pageMargins left="0.7" right="0.7" top="0.75" bottom="0.75" header="0.3" footer="0.3"/>
    </customSheetView>
  </customSheetView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sheetPr codeName="Sheet13"/>
  <dimension ref="A1:A200"/>
  <sheetViews>
    <sheetView workbookViewId="0">
      <selection activeCell="A7" sqref="A7"/>
    </sheetView>
  </sheetViews>
  <sheetFormatPr defaultRowHeight="15"/>
  <cols>
    <col min="1" max="1" width="35.5703125" style="466" customWidth="1"/>
  </cols>
  <sheetData>
    <row r="1" spans="1:1">
      <c r="A1" s="466">
        <f>IF('[3]Pension Increases Rates'!$A2="","",'[3]Pension Increases Rates'!$A2)</f>
        <v>0</v>
      </c>
    </row>
    <row r="2" spans="1:1">
      <c r="A2" s="466">
        <f>IF('[3]Pension Increases Rates'!$A3="","",'[3]Pension Increases Rates'!$A3)</f>
        <v>0</v>
      </c>
    </row>
    <row r="3" spans="1:1">
      <c r="A3" s="466" t="str">
        <f>IF('[3]Pension Increases Rates'!$A4="","",'[3]Pension Increases Rates'!$A4)</f>
        <v>0% - Info</v>
      </c>
    </row>
    <row r="4" spans="1:1">
      <c r="A4" s="466" t="str">
        <f>IF('[3]Pension Increases Rates'!$A5="","",'[3]Pension Increases Rates'!$A5)</f>
        <v>0% (Discret before 1 July 2008)</v>
      </c>
    </row>
    <row r="5" spans="1:1">
      <c r="A5" s="466" t="str">
        <f>IF('[3]Pension Increases Rates'!$A6="","",'[3]Pension Increases Rates'!$A6)</f>
        <v>0% increase</v>
      </c>
    </row>
    <row r="6" spans="1:1">
      <c r="A6" s="466" t="str">
        <f>IF('[3]Pension Increases Rates'!$A7="","",'[3]Pension Increases Rates'!$A7)</f>
        <v>0.4 * LPI</v>
      </c>
    </row>
    <row r="7" spans="1:1">
      <c r="A7" s="466" t="str">
        <f>IF('[3]Pension Increases Rates'!$A8="","",'[3]Pension Increases Rates'!$A8)</f>
        <v>0.5 * LPI</v>
      </c>
    </row>
    <row r="8" spans="1:1">
      <c r="A8" s="466">
        <f>IF('[3]Pension Increases Rates'!$A9="","",'[3]Pension Increases Rates'!$A9)</f>
        <v>2.5000000000000001E-2</v>
      </c>
    </row>
    <row r="9" spans="1:1">
      <c r="A9" s="466" t="str">
        <f>IF('[3]Pension Increases Rates'!$A10="","",'[3]Pension Increases Rates'!$A10)</f>
        <v>2.5% fixed</v>
      </c>
    </row>
    <row r="10" spans="1:1">
      <c r="A10" s="466">
        <f>IF('[3]Pension Increases Rates'!$A11="","",'[3]Pension Increases Rates'!$A11)</f>
        <v>0.03</v>
      </c>
    </row>
    <row r="11" spans="1:1">
      <c r="A11" s="466" t="str">
        <f>IF('[3]Pension Increases Rates'!$A12="","",'[3]Pension Increases Rates'!$A12)</f>
        <v>3% + (0.4 * (LPI - 3%))</v>
      </c>
    </row>
    <row r="12" spans="1:1">
      <c r="A12" s="466" t="str">
        <f>IF('[3]Pension Increases Rates'!$A13="","",'[3]Pension Increases Rates'!$A13)</f>
        <v>3% + (0.4 * (LPI - 3%)) (GMP)</v>
      </c>
    </row>
    <row r="13" spans="1:1">
      <c r="A13" s="466" t="str">
        <f>IF('[3]Pension Increases Rates'!$A14="","",'[3]Pension Increases Rates'!$A14)</f>
        <v>3% + (0.5 * (LPI - 3%))</v>
      </c>
    </row>
    <row r="14" spans="1:1">
      <c r="A14" s="466" t="str">
        <f>IF('[3]Pension Increases Rates'!$A15="","",'[3]Pension Increases Rates'!$A15)</f>
        <v>3% + (0.5 * (LPI - 3%)) (GMP)</v>
      </c>
    </row>
    <row r="15" spans="1:1">
      <c r="A15" s="466" t="str">
        <f>IF('[3]Pension Increases Rates'!$A16="","",'[3]Pension Increases Rates'!$A16)</f>
        <v>3% fixed</v>
      </c>
    </row>
    <row r="16" spans="1:1">
      <c r="A16" s="466" t="str">
        <f>IF('[3]Pension Increases Rates'!$A17="","",'[3]Pension Increases Rates'!$A17)</f>
        <v>3% per annum</v>
      </c>
    </row>
    <row r="17" spans="1:1">
      <c r="A17" s="466">
        <f>IF('[3]Pension Increases Rates'!$A18="","",'[3]Pension Increases Rates'!$A18)</f>
        <v>0.04</v>
      </c>
    </row>
    <row r="18" spans="1:1">
      <c r="A18" s="466" t="str">
        <f>IF('[3]Pension Increases Rates'!$A19="","",'[3]Pension Increases Rates'!$A19)</f>
        <v>4% 3%MIN 8%MAX</v>
      </c>
    </row>
    <row r="19" spans="1:1">
      <c r="A19" s="466">
        <f>IF('[3]Pension Increases Rates'!$A20="","",'[3]Pension Increases Rates'!$A20)</f>
        <v>0.05</v>
      </c>
    </row>
    <row r="20" spans="1:1">
      <c r="A20" s="466" t="str">
        <f>IF('[3]Pension Increases Rates'!$A21="","",'[3]Pension Increases Rates'!$A21)</f>
        <v>5% Fixed</v>
      </c>
    </row>
    <row r="21" spans="1:1">
      <c r="A21" s="466" t="str">
        <f>IF('[3]Pension Increases Rates'!$A22="","",'[3]Pension Increases Rates'!$A22)</f>
        <v>Category D - Ayres</v>
      </c>
    </row>
    <row r="22" spans="1:1">
      <c r="A22" s="466" t="str">
        <f>IF('[3]Pension Increases Rates'!$A23="","",'[3]Pension Increases Rates'!$A23)</f>
        <v>Category D - De Garis</v>
      </c>
    </row>
    <row r="23" spans="1:1">
      <c r="A23" s="466" t="str">
        <f>IF('[3]Pension Increases Rates'!$A24="","",'[3]Pension Increases Rates'!$A24)</f>
        <v>Category D - Hansford</v>
      </c>
    </row>
    <row r="24" spans="1:1">
      <c r="A24" s="466" t="str">
        <f>IF('[3]Pension Increases Rates'!$A25="","",'[3]Pension Increases Rates'!$A25)</f>
        <v>Category D - Paver</v>
      </c>
    </row>
    <row r="25" spans="1:1">
      <c r="A25" s="466" t="str">
        <f>IF('[3]Pension Increases Rates'!$A26="","",'[3]Pension Increases Rates'!$A26)</f>
        <v>Category D - Tanguy</v>
      </c>
    </row>
    <row r="26" spans="1:1">
      <c r="A26" s="466" t="str">
        <f>IF('[3]Pension Increases Rates'!$A27="","",'[3]Pension Increases Rates'!$A27)</f>
        <v>Category S - Champion</v>
      </c>
    </row>
    <row r="27" spans="1:1">
      <c r="A27" s="466" t="str">
        <f>IF('[3]Pension Increases Rates'!$A28="","",'[3]Pension Increases Rates'!$A28)</f>
        <v>Category S - Corlett</v>
      </c>
    </row>
    <row r="28" spans="1:1">
      <c r="A28" s="466" t="str">
        <f>IF('[3]Pension Increases Rates'!$A29="","",'[3]Pension Increases Rates'!$A29)</f>
        <v>Category S - Coutanche</v>
      </c>
    </row>
    <row r="29" spans="1:1">
      <c r="A29" s="466" t="str">
        <f>IF('[3]Pension Increases Rates'!$A30="","",'[3]Pension Increases Rates'!$A30)</f>
        <v>Category S - Goulder</v>
      </c>
    </row>
    <row r="30" spans="1:1">
      <c r="A30" s="466" t="str">
        <f>IF('[3]Pension Increases Rates'!$A31="","",'[3]Pension Increases Rates'!$A31)</f>
        <v>Category S - Le Cras</v>
      </c>
    </row>
    <row r="31" spans="1:1">
      <c r="A31" s="466" t="str">
        <f>IF('[3]Pension Increases Rates'!$A32="","",'[3]Pension Increases Rates'!$A32)</f>
        <v>Category S - May</v>
      </c>
    </row>
    <row r="32" spans="1:1">
      <c r="A32" s="466" t="str">
        <f>IF('[3]Pension Increases Rates'!$A33="","",'[3]Pension Increases Rates'!$A33)</f>
        <v>Category S - Mollet</v>
      </c>
    </row>
    <row r="33" spans="1:1">
      <c r="A33" s="466" t="str">
        <f>IF('[3]Pension Increases Rates'!$A34="","",'[3]Pension Increases Rates'!$A34)</f>
        <v>Category S - Ozanne</v>
      </c>
    </row>
    <row r="34" spans="1:1">
      <c r="A34" s="466" t="str">
        <f>IF('[3]Pension Increases Rates'!$A35="","",'[3]Pension Increases Rates'!$A35)</f>
        <v>Category S - Parker</v>
      </c>
    </row>
    <row r="35" spans="1:1">
      <c r="A35" s="466" t="str">
        <f>IF('[3]Pension Increases Rates'!$A36="","",'[3]Pension Increases Rates'!$A36)</f>
        <v>Category S - Turner</v>
      </c>
    </row>
    <row r="36" spans="1:1">
      <c r="A36" s="466" t="str">
        <f>IF('[3]Pension Increases Rates'!$A37="","",'[3]Pension Increases Rates'!$A37)</f>
        <v>CPI</v>
      </c>
    </row>
    <row r="37" spans="1:1">
      <c r="A37" s="466" t="str">
        <f>IF('[3]Pension Increases Rates'!$A38="","",'[3]Pension Increases Rates'!$A38)</f>
        <v>CPI 3%-5% (was RPI 3%-5%)</v>
      </c>
    </row>
    <row r="38" spans="1:1">
      <c r="A38" s="466" t="str">
        <f>IF('[3]Pension Increases Rates'!$A39="","",'[3]Pension Increases Rates'!$A39)</f>
        <v>CPI max 2.5%</v>
      </c>
    </row>
    <row r="39" spans="1:1">
      <c r="A39" s="466" t="str">
        <f>IF('[3]Pension Increases Rates'!$A40="","",'[3]Pension Increases Rates'!$A40)</f>
        <v>CPI max 2.5% ( was RPI max 2.5%)</v>
      </c>
    </row>
    <row r="40" spans="1:1">
      <c r="A40" s="466" t="str">
        <f>IF('[3]Pension Increases Rates'!$A41="","",'[3]Pension Increases Rates'!$A41)</f>
        <v>CPI max 2.5% (was 5%)</v>
      </c>
    </row>
    <row r="41" spans="1:1">
      <c r="A41" s="466" t="str">
        <f>IF('[3]Pension Increases Rates'!$A42="","",'[3]Pension Increases Rates'!$A42)</f>
        <v>CPI max 2.5% (Was RPI max 2.5%)</v>
      </c>
    </row>
    <row r="42" spans="1:1">
      <c r="A42" s="466" t="str">
        <f>IF('[3]Pension Increases Rates'!$A43="","",'[3]Pension Increases Rates'!$A43)</f>
        <v>CPI max 2.5%(was RPI max 2.5%)</v>
      </c>
    </row>
    <row r="43" spans="1:1">
      <c r="A43" s="466" t="str">
        <f>IF('[3]Pension Increases Rates'!$A44="","",'[3]Pension Increases Rates'!$A44)</f>
        <v>CPI max 3%</v>
      </c>
    </row>
    <row r="44" spans="1:1">
      <c r="A44" s="466" t="str">
        <f>IF('[3]Pension Increases Rates'!$A45="","",'[3]Pension Increases Rates'!$A45)</f>
        <v>CPI max 3% ( was RPI max 3%)</v>
      </c>
    </row>
    <row r="45" spans="1:1">
      <c r="A45" s="466" t="str">
        <f>IF('[3]Pension Increases Rates'!$A46="","",'[3]Pension Increases Rates'!$A46)</f>
        <v>CPI max 3% (Discret before 1 July 2008)</v>
      </c>
    </row>
    <row r="46" spans="1:1">
      <c r="A46" s="466" t="str">
        <f>IF('[3]Pension Increases Rates'!$A47="","",'[3]Pension Increases Rates'!$A47)</f>
        <v>CPI max 3% (GMP)</v>
      </c>
    </row>
    <row r="47" spans="1:1">
      <c r="A47" s="466" t="str">
        <f>IF('[3]Pension Increases Rates'!$A48="","",'[3]Pension Increases Rates'!$A48)</f>
        <v>CPI max 3% (GMP) (Was RPI max 3%)</v>
      </c>
    </row>
    <row r="48" spans="1:1">
      <c r="A48" s="466" t="str">
        <f>IF('[3]Pension Increases Rates'!$A49="","",'[3]Pension Increases Rates'!$A49)</f>
        <v>CPI max 3% (was RPI max 3%)</v>
      </c>
    </row>
    <row r="49" spans="1:1">
      <c r="A49" s="466" t="str">
        <f>IF('[3]Pension Increases Rates'!$A50="","",'[3]Pension Increases Rates'!$A50)</f>
        <v>CPI max 3% (was RPI max 3%) (GMP)</v>
      </c>
    </row>
    <row r="50" spans="1:1">
      <c r="A50" s="466" t="str">
        <f>IF('[3]Pension Increases Rates'!$A51="","",'[3]Pension Increases Rates'!$A51)</f>
        <v>CPI max 3% (was RPI)</v>
      </c>
    </row>
    <row r="51" spans="1:1">
      <c r="A51" s="466" t="str">
        <f>IF('[3]Pension Increases Rates'!$A52="","",'[3]Pension Increases Rates'!$A52)</f>
        <v>CPI max 3%(was RPI max 3%)</v>
      </c>
    </row>
    <row r="52" spans="1:1">
      <c r="A52" s="466" t="str">
        <f>IF('[3]Pension Increases Rates'!$A53="","",'[3]Pension Increases Rates'!$A53)</f>
        <v>CPI max 5%</v>
      </c>
    </row>
    <row r="53" spans="1:1">
      <c r="A53" s="466" t="str">
        <f>IF('[3]Pension Increases Rates'!$A54="","",'[3]Pension Increases Rates'!$A54)</f>
        <v>CPI max 5% ( was RPI max 5%)</v>
      </c>
    </row>
    <row r="54" spans="1:1">
      <c r="A54" s="466" t="str">
        <f>IF('[3]Pension Increases Rates'!$A55="","",'[3]Pension Increases Rates'!$A55)</f>
        <v>CPI max 5% (was RPI max 5%)</v>
      </c>
    </row>
    <row r="55" spans="1:1">
      <c r="A55" s="466" t="str">
        <f>IF('[3]Pension Increases Rates'!$A56="","",'[3]Pension Increases Rates'!$A56)</f>
        <v>CPI max 5% (was RPI)</v>
      </c>
    </row>
    <row r="56" spans="1:1">
      <c r="A56" s="466" t="str">
        <f>IF('[3]Pension Increases Rates'!$A57="","",'[3]Pension Increases Rates'!$A57)</f>
        <v>CPI max 5%(was RPI max 5%)</v>
      </c>
    </row>
    <row r="57" spans="1:1">
      <c r="A57" s="466" t="str">
        <f>IF('[3]Pension Increases Rates'!$A58="","",'[3]Pension Increases Rates'!$A58)</f>
        <v>CPI min 2.5% max 3%</v>
      </c>
    </row>
    <row r="58" spans="1:1">
      <c r="A58" s="466" t="str">
        <f>IF('[3]Pension Increases Rates'!$A59="","",'[3]Pension Increases Rates'!$A59)</f>
        <v>CPI min 3% max 5%</v>
      </c>
    </row>
    <row r="59" spans="1:1">
      <c r="A59" s="466" t="str">
        <f>IF('[3]Pension Increases Rates'!$A60="","",'[3]Pension Increases Rates'!$A60)</f>
        <v>CPI min 3% max 5% (was RPI min 3% max 5%)</v>
      </c>
    </row>
    <row r="60" spans="1:1">
      <c r="A60" s="466" t="str">
        <f>IF('[3]Pension Increases Rates'!$A61="","",'[3]Pension Increases Rates'!$A61)</f>
        <v>CPI min 3%, max 5% (WGMP)</v>
      </c>
    </row>
    <row r="61" spans="1:1">
      <c r="A61" s="466" t="str">
        <f>IF('[3]Pension Increases Rates'!$A62="","",'[3]Pension Increases Rates'!$A62)</f>
        <v>CPI was RPI</v>
      </c>
    </row>
    <row r="62" spans="1:1">
      <c r="A62" s="466" t="str">
        <f>IF('[3]Pension Increases Rates'!$A63="","",'[3]Pension Increases Rates'!$A63)</f>
        <v>Cumulative RPI</v>
      </c>
    </row>
    <row r="63" spans="1:1">
      <c r="A63" s="466" t="str">
        <f>IF('[3]Pension Increases Rates'!$A64="","",'[3]Pension Increases Rates'!$A64)</f>
        <v>Discretionary</v>
      </c>
    </row>
    <row r="64" spans="1:1">
      <c r="A64" s="466" t="str">
        <f>IF('[3]Pension Increases Rates'!$A65="","",'[3]Pension Increases Rates'!$A65)</f>
        <v>Discretionary 97 to 2005</v>
      </c>
    </row>
    <row r="65" spans="1:1">
      <c r="A65" s="466" t="str">
        <f>IF('[3]Pension Increases Rates'!$A66="","",'[3]Pension Increases Rates'!$A66)</f>
        <v>Discretionary 97-05</v>
      </c>
    </row>
    <row r="66" spans="1:1">
      <c r="A66" s="466" t="str">
        <f>IF('[3]Pension Increases Rates'!$A67="","",'[3]Pension Increases Rates'!$A67)</f>
        <v>Discretionary Post 05</v>
      </c>
    </row>
    <row r="67" spans="1:1">
      <c r="A67" s="466" t="str">
        <f>IF('[3]Pension Increases Rates'!$A68="","",'[3]Pension Increases Rates'!$A68)</f>
        <v>Discretionary Post 2005</v>
      </c>
    </row>
    <row r="68" spans="1:1">
      <c r="A68" s="466" t="str">
        <f>IF('[3]Pension Increases Rates'!$A69="","",'[3]Pension Increases Rates'!$A69)</f>
        <v>Discretionary Post 88 GMP</v>
      </c>
    </row>
    <row r="69" spans="1:1">
      <c r="A69" s="466" t="str">
        <f>IF('[3]Pension Increases Rates'!$A70="","",'[3]Pension Increases Rates'!$A70)</f>
        <v>Discretionary Pre 88 GMP</v>
      </c>
    </row>
    <row r="70" spans="1:1">
      <c r="A70" s="466" t="str">
        <f>IF('[3]Pension Increases Rates'!$A71="","",'[3]Pension Increases Rates'!$A71)</f>
        <v>Discretionary Pre 97</v>
      </c>
    </row>
    <row r="71" spans="1:1">
      <c r="A71" s="466" t="str">
        <f>IF('[3]Pension Increases Rates'!$A72="","",'[3]Pension Increases Rates'!$A72)</f>
        <v>Fixed</v>
      </c>
    </row>
    <row r="72" spans="1:1">
      <c r="A72" s="466" t="str">
        <f>IF('[3]Pension Increases Rates'!$A73="","",'[3]Pension Increases Rates'!$A73)</f>
        <v>Fixed 0%</v>
      </c>
    </row>
    <row r="73" spans="1:1">
      <c r="A73" s="466" t="str">
        <f>IF('[3]Pension Increases Rates'!$A74="","",'[3]Pension Increases Rates'!$A74)</f>
        <v>Fixed 1.45%</v>
      </c>
    </row>
    <row r="74" spans="1:1">
      <c r="A74" s="466" t="str">
        <f>IF('[3]Pension Increases Rates'!$A75="","",'[3]Pension Increases Rates'!$A75)</f>
        <v>Fixed 1.59%</v>
      </c>
    </row>
    <row r="75" spans="1:1">
      <c r="A75" s="466" t="str">
        <f>IF('[3]Pension Increases Rates'!$A76="","",'[3]Pension Increases Rates'!$A76)</f>
        <v>Fixed 1.67%</v>
      </c>
    </row>
    <row r="76" spans="1:1">
      <c r="A76" s="466" t="str">
        <f>IF('[3]Pension Increases Rates'!$A77="","",'[3]Pension Increases Rates'!$A77)</f>
        <v>Fixed 1.75%</v>
      </c>
    </row>
    <row r="77" spans="1:1">
      <c r="A77" s="466" t="str">
        <f>IF('[3]Pension Increases Rates'!$A78="","",'[3]Pension Increases Rates'!$A78)</f>
        <v>Fixed 12%</v>
      </c>
    </row>
    <row r="78" spans="1:1">
      <c r="A78" s="466" t="str">
        <f>IF('[3]Pension Increases Rates'!$A79="","",'[3]Pension Increases Rates'!$A79)</f>
        <v>Fixed 2%</v>
      </c>
    </row>
    <row r="79" spans="1:1">
      <c r="A79" s="466" t="str">
        <f>IF('[3]Pension Increases Rates'!$A80="","",'[3]Pension Increases Rates'!$A80)</f>
        <v>Fixed 2.5%</v>
      </c>
    </row>
    <row r="80" spans="1:1">
      <c r="A80" s="466" t="str">
        <f>IF('[3]Pension Increases Rates'!$A81="","",'[3]Pension Increases Rates'!$A81)</f>
        <v>Fixed 3%</v>
      </c>
    </row>
    <row r="81" spans="1:1">
      <c r="A81" s="466" t="str">
        <f>IF('[3]Pension Increases Rates'!$A82="","",'[3]Pension Increases Rates'!$A82)</f>
        <v>Fixed 3% (GMP)</v>
      </c>
    </row>
    <row r="82" spans="1:1">
      <c r="A82" s="466" t="str">
        <f>IF('[3]Pension Increases Rates'!$A83="","",'[3]Pension Increases Rates'!$A83)</f>
        <v>Fixed 4%</v>
      </c>
    </row>
    <row r="83" spans="1:1">
      <c r="A83" s="466" t="str">
        <f>IF('[3]Pension Increases Rates'!$A84="","",'[3]Pension Increases Rates'!$A84)</f>
        <v>Fixed 5%</v>
      </c>
    </row>
    <row r="84" spans="1:1">
      <c r="A84" s="466" t="str">
        <f>IF('[3]Pension Increases Rates'!$A85="","",'[3]Pension Increases Rates'!$A85)</f>
        <v>Fixed 6%</v>
      </c>
    </row>
    <row r="85" spans="1:1">
      <c r="A85" s="466" t="str">
        <f>IF('[3]Pension Increases Rates'!$A86="","",'[3]Pension Increases Rates'!$A86)</f>
        <v>Fixed 7%</v>
      </c>
    </row>
    <row r="86" spans="1:1">
      <c r="A86" s="466" t="str">
        <f>IF('[3]Pension Increases Rates'!$A87="","",'[3]Pension Increases Rates'!$A87)</f>
        <v>Guernsey RPI max 5%</v>
      </c>
    </row>
    <row r="87" spans="1:1">
      <c r="A87" s="466" t="str">
        <f>IF('[3]Pension Increases Rates'!$A88="","",'[3]Pension Increases Rates'!$A88)</f>
        <v>Guernsey RPI min 5% max 6%</v>
      </c>
    </row>
    <row r="88" spans="1:1">
      <c r="A88" s="466" t="str">
        <f>IF('[3]Pension Increases Rates'!$A89="","",'[3]Pension Increases Rates'!$A89)</f>
        <v>Historic discretionary</v>
      </c>
    </row>
    <row r="89" spans="1:1">
      <c r="A89" s="466" t="str">
        <f>IF('[3]Pension Increases Rates'!$A90="","",'[3]Pension Increases Rates'!$A90)</f>
        <v>Jersey RPI max 5%</v>
      </c>
    </row>
    <row r="90" spans="1:1">
      <c r="A90" s="466" t="str">
        <f>IF('[3]Pension Increases Rates'!$A91="","",'[3]Pension Increases Rates'!$A91)</f>
        <v>Jersey RPI min 5% max 6%</v>
      </c>
    </row>
    <row r="91" spans="1:1">
      <c r="A91" s="466" t="str">
        <f>IF('[3]Pension Increases Rates'!$A92="","",'[3]Pension Increases Rates'!$A92)</f>
        <v>Legacy</v>
      </c>
    </row>
    <row r="92" spans="1:1">
      <c r="A92" s="466" t="str">
        <f>IF('[3]Pension Increases Rates'!$A93="","",'[3]Pension Increases Rates'!$A93)</f>
        <v>Lesser of RPI and 3%</v>
      </c>
    </row>
    <row r="93" spans="1:1">
      <c r="A93" s="466" t="str">
        <f>IF('[3]Pension Increases Rates'!$A94="","",'[3]Pension Increases Rates'!$A94)</f>
        <v>Lesser of RPI and 5%</v>
      </c>
    </row>
    <row r="94" spans="1:1">
      <c r="A94" s="466" t="str">
        <f>IF('[3]Pension Increases Rates'!$A95="","",'[3]Pension Increases Rates'!$A95)</f>
        <v>LPI</v>
      </c>
    </row>
    <row r="95" spans="1:1">
      <c r="A95" s="466" t="str">
        <f>IF('[3]Pension Increases Rates'!$A96="","",'[3]Pension Increases Rates'!$A96)</f>
        <v>LPI (2)</v>
      </c>
    </row>
    <row r="96" spans="1:1">
      <c r="A96" s="466" t="str">
        <f>IF('[3]Pension Increases Rates'!$A97="","",'[3]Pension Increases Rates'!$A97)</f>
        <v>LPI (GMP)</v>
      </c>
    </row>
    <row r="97" spans="1:1">
      <c r="A97" s="466" t="str">
        <f>IF('[3]Pension Increases Rates'!$A98="","",'[3]Pension Increases Rates'!$A98)</f>
        <v>LPI (max 2.5%)</v>
      </c>
    </row>
    <row r="98" spans="1:1">
      <c r="A98" s="466" t="str">
        <f>IF('[3]Pension Increases Rates'!$A99="","",'[3]Pension Increases Rates'!$A99)</f>
        <v>LPI (max 5%)</v>
      </c>
    </row>
    <row r="99" spans="1:1">
      <c r="A99" s="466" t="str">
        <f>IF('[3]Pension Increases Rates'!$A100="","",'[3]Pension Increases Rates'!$A100)</f>
        <v>LPI for RMS (min 3% max 4%)</v>
      </c>
    </row>
    <row r="100" spans="1:1">
      <c r="A100" s="466" t="str">
        <f>IF('[3]Pension Increases Rates'!$A101="","",'[3]Pension Increases Rates'!$A101)</f>
        <v>LPI max 2.5%</v>
      </c>
    </row>
    <row r="101" spans="1:1">
      <c r="A101" s="466" t="str">
        <f>IF('[3]Pension Increases Rates'!$A102="","",'[3]Pension Increases Rates'!$A102)</f>
        <v>LPI max 5%</v>
      </c>
    </row>
    <row r="102" spans="1:1">
      <c r="A102" s="466" t="str">
        <f>IF('[3]Pension Increases Rates'!$A103="","",'[3]Pension Increases Rates'!$A103)</f>
        <v>LPI min 3%</v>
      </c>
    </row>
    <row r="103" spans="1:1">
      <c r="A103" s="466" t="str">
        <f>IF('[3]Pension Increases Rates'!$A104="","",'[3]Pension Increases Rates'!$A104)</f>
        <v>LPI min 4%</v>
      </c>
    </row>
    <row r="104" spans="1:1">
      <c r="A104" s="466" t="str">
        <f>IF('[3]Pension Increases Rates'!$A105="","",'[3]Pension Increases Rates'!$A105)</f>
        <v>N/A</v>
      </c>
    </row>
    <row r="105" spans="1:1">
      <c r="A105" s="466" t="str">
        <f>IF('[3]Pension Increases Rates'!$A106="","",'[3]Pension Increases Rates'!$A106)</f>
        <v>No escalation</v>
      </c>
    </row>
    <row r="106" spans="1:1">
      <c r="A106" s="466" t="str">
        <f>IF('[3]Pension Increases Rates'!$A107="","",'[3]Pension Increases Rates'!$A107)</f>
        <v>PA1971</v>
      </c>
    </row>
    <row r="107" spans="1:1">
      <c r="A107" s="466" t="str">
        <f>IF('[3]Pension Increases Rates'!$A108="","",'[3]Pension Increases Rates'!$A108)</f>
        <v>PI review orders</v>
      </c>
    </row>
    <row r="108" spans="1:1">
      <c r="A108" s="466" t="str">
        <f>IF('[3]Pension Increases Rates'!$A109="","",'[3]Pension Increases Rates'!$A109)</f>
        <v>PI review orders max 5%</v>
      </c>
    </row>
    <row r="109" spans="1:1">
      <c r="A109" s="466" t="str">
        <f>IF('[3]Pension Increases Rates'!$A110="","",'[3]Pension Increases Rates'!$A110)</f>
        <v>Post 88 GMP</v>
      </c>
    </row>
    <row r="110" spans="1:1">
      <c r="A110" s="466" t="str">
        <f>IF('[3]Pension Increases Rates'!$A111="","",'[3]Pension Increases Rates'!$A111)</f>
        <v>RPI</v>
      </c>
    </row>
    <row r="111" spans="1:1">
      <c r="A111" s="466" t="str">
        <f>IF('[3]Pension Increases Rates'!$A112="","",'[3]Pension Increases Rates'!$A112)</f>
        <v xml:space="preserve">RPI (Dec) max 3% </v>
      </c>
    </row>
    <row r="112" spans="1:1">
      <c r="A112" s="466" t="str">
        <f>IF('[3]Pension Increases Rates'!$A113="","",'[3]Pension Increases Rates'!$A113)</f>
        <v>RPI 2.5%</v>
      </c>
    </row>
    <row r="113" spans="1:1">
      <c r="A113" s="466" t="str">
        <f>IF('[3]Pension Increases Rates'!$A114="","",'[3]Pension Increases Rates'!$A114)</f>
        <v>RPI 5%</v>
      </c>
    </row>
    <row r="114" spans="1:1">
      <c r="A114" s="466" t="str">
        <f>IF('[3]Pension Increases Rates'!$A115="","",'[3]Pension Increases Rates'!$A115)</f>
        <v>RPI av 3yr max 7.5%</v>
      </c>
    </row>
    <row r="115" spans="1:1">
      <c r="A115" s="466" t="str">
        <f>IF('[3]Pension Increases Rates'!$A116="","",'[3]Pension Increases Rates'!$A116)</f>
        <v>RPI less 4% (Min 3%, Max 8%)</v>
      </c>
    </row>
    <row r="116" spans="1:1">
      <c r="A116" s="466" t="str">
        <f>IF('[3]Pension Increases Rates'!$A117="","",'[3]Pension Increases Rates'!$A117)</f>
        <v>RPI Max 10%</v>
      </c>
    </row>
    <row r="117" spans="1:1">
      <c r="A117" s="466" t="str">
        <f>IF('[3]Pension Increases Rates'!$A118="","",'[3]Pension Increases Rates'!$A118)</f>
        <v>RPI max 2.5%</v>
      </c>
    </row>
    <row r="118" spans="1:1">
      <c r="A118" s="466" t="str">
        <f>IF('[3]Pension Increases Rates'!$A119="","",'[3]Pension Increases Rates'!$A119)</f>
        <v>RPI max 3%</v>
      </c>
    </row>
    <row r="119" spans="1:1">
      <c r="A119" s="466" t="str">
        <f>IF('[3]Pension Increases Rates'!$A120="","",'[3]Pension Increases Rates'!$A120)</f>
        <v>RPI max 3% - Info</v>
      </c>
    </row>
    <row r="120" spans="1:1">
      <c r="A120" s="466" t="str">
        <f>IF('[3]Pension Increases Rates'!$A121="","",'[3]Pension Increases Rates'!$A121)</f>
        <v>RPI max 3% (Discret before 1 July 2008)</v>
      </c>
    </row>
    <row r="121" spans="1:1">
      <c r="A121" s="466" t="str">
        <f>IF('[3]Pension Increases Rates'!$A122="","",'[3]Pension Increases Rates'!$A122)</f>
        <v>RPI max 3% (GMP)</v>
      </c>
    </row>
    <row r="122" spans="1:1">
      <c r="A122" s="466" t="str">
        <f>IF('[3]Pension Increases Rates'!$A123="","",'[3]Pension Increases Rates'!$A123)</f>
        <v>RPI Max 4%</v>
      </c>
    </row>
    <row r="123" spans="1:1">
      <c r="A123" s="466" t="str">
        <f>IF('[3]Pension Increases Rates'!$A124="","",'[3]Pension Increases Rates'!$A124)</f>
        <v>RPI max 4.5%</v>
      </c>
    </row>
    <row r="124" spans="1:1">
      <c r="A124" s="466" t="str">
        <f>IF('[3]Pension Increases Rates'!$A125="","",'[3]Pension Increases Rates'!$A125)</f>
        <v>RPI max 5%</v>
      </c>
    </row>
    <row r="125" spans="1:1">
      <c r="A125" s="466" t="str">
        <f>IF('[3]Pension Increases Rates'!$A126="","",'[3]Pension Increases Rates'!$A126)</f>
        <v>RPI max 5% - B/P</v>
      </c>
    </row>
    <row r="126" spans="1:1">
      <c r="A126" s="466" t="str">
        <f>IF('[3]Pension Increases Rates'!$A127="","",'[3]Pension Increases Rates'!$A127)</f>
        <v>RPI max 5% (discret)</v>
      </c>
    </row>
    <row r="127" spans="1:1">
      <c r="A127" s="466" t="str">
        <f>IF('[3]Pension Increases Rates'!$A128="","",'[3]Pension Increases Rates'!$A128)</f>
        <v>RPI max 5% (GMP)</v>
      </c>
    </row>
    <row r="128" spans="1:1">
      <c r="A128" s="466" t="str">
        <f>IF('[3]Pension Increases Rates'!$A129="","",'[3]Pension Increases Rates'!$A129)</f>
        <v>RPI Max 5.5%</v>
      </c>
    </row>
    <row r="129" spans="1:1">
      <c r="A129" s="466" t="str">
        <f>IF('[3]Pension Increases Rates'!$A130="","",'[3]Pension Increases Rates'!$A130)</f>
        <v>RPI max 7.5%</v>
      </c>
    </row>
    <row r="130" spans="1:1">
      <c r="A130" s="466" t="str">
        <f>IF('[3]Pension Increases Rates'!$A131="","",'[3]Pension Increases Rates'!$A131)</f>
        <v>RPI max 8%</v>
      </c>
    </row>
    <row r="131" spans="1:1">
      <c r="A131" s="466" t="str">
        <f>IF('[3]Pension Increases Rates'!$A132="","",'[3]Pension Increases Rates'!$A132)</f>
        <v xml:space="preserve">RPI max 8.5% </v>
      </c>
    </row>
    <row r="132" spans="1:1">
      <c r="A132" s="466" t="str">
        <f>IF('[3]Pension Increases Rates'!$A133="","",'[3]Pension Increases Rates'!$A133)</f>
        <v>RPI maximum 2.5%</v>
      </c>
    </row>
    <row r="133" spans="1:1">
      <c r="A133" s="466" t="str">
        <f>IF('[3]Pension Increases Rates'!$A134="","",'[3]Pension Increases Rates'!$A134)</f>
        <v>RPI Maximum 5%</v>
      </c>
    </row>
    <row r="134" spans="1:1">
      <c r="A134" s="466" t="str">
        <f>IF('[3]Pension Increases Rates'!$A135="","",'[3]Pension Increases Rates'!$A135)</f>
        <v>RPI maximum 5% min 3%</v>
      </c>
    </row>
    <row r="135" spans="1:1">
      <c r="A135" s="466" t="str">
        <f>IF('[3]Pension Increases Rates'!$A136="","",'[3]Pension Increases Rates'!$A136)</f>
        <v>RPI min 2.5%</v>
      </c>
    </row>
    <row r="136" spans="1:1">
      <c r="A136" s="466" t="str">
        <f>IF('[3]Pension Increases Rates'!$A137="","",'[3]Pension Increases Rates'!$A137)</f>
        <v>RPI min 2.5% max 3%</v>
      </c>
    </row>
    <row r="137" spans="1:1">
      <c r="A137" s="466" t="str">
        <f>IF('[3]Pension Increases Rates'!$A138="","",'[3]Pension Increases Rates'!$A138)</f>
        <v>RPI min 2.5% max 5%</v>
      </c>
    </row>
    <row r="138" spans="1:1">
      <c r="A138" s="466" t="str">
        <f>IF('[3]Pension Increases Rates'!$A139="","",'[3]Pension Increases Rates'!$A139)</f>
        <v>RPI min 3%</v>
      </c>
    </row>
    <row r="139" spans="1:1">
      <c r="A139" s="466" t="str">
        <f>IF('[3]Pension Increases Rates'!$A140="","",'[3]Pension Increases Rates'!$A140)</f>
        <v>RPI Min 3% Max 10%</v>
      </c>
    </row>
    <row r="140" spans="1:1">
      <c r="A140" s="466" t="str">
        <f>IF('[3]Pension Increases Rates'!$A141="","",'[3]Pension Increases Rates'!$A141)</f>
        <v>RPI min 3% max 5%</v>
      </c>
    </row>
    <row r="141" spans="1:1">
      <c r="A141" s="466" t="str">
        <f>IF('[3]Pension Increases Rates'!$A142="","",'[3]Pension Increases Rates'!$A142)</f>
        <v>RPI min 3% max 5%(CPI Underpin)</v>
      </c>
    </row>
    <row r="142" spans="1:1">
      <c r="A142" s="466" t="str">
        <f>IF('[3]Pension Increases Rates'!$A143="","",'[3]Pension Increases Rates'!$A143)</f>
        <v>RPI min 3% max 8%</v>
      </c>
    </row>
    <row r="143" spans="1:1">
      <c r="A143" s="466" t="str">
        <f>IF('[3]Pension Increases Rates'!$A144="","",'[3]Pension Increases Rates'!$A144)</f>
        <v>RPI min 3%, max 5%</v>
      </c>
    </row>
    <row r="144" spans="1:1">
      <c r="A144" s="466" t="str">
        <f>IF('[3]Pension Increases Rates'!$A145="","",'[3]Pension Increases Rates'!$A145)</f>
        <v>RPI min 4%</v>
      </c>
    </row>
    <row r="145" spans="1:1">
      <c r="A145" s="466" t="str">
        <f>IF('[3]Pension Increases Rates'!$A146="","",'[3]Pension Increases Rates'!$A146)</f>
        <v>RPI min 4% max 5%</v>
      </c>
    </row>
    <row r="146" spans="1:1">
      <c r="A146" s="466" t="str">
        <f>IF('[3]Pension Increases Rates'!$A147="","",'[3]Pension Increases Rates'!$A147)</f>
        <v>RPI up to 2.5%</v>
      </c>
    </row>
    <row r="147" spans="1:1">
      <c r="A147" s="466" t="str">
        <f>IF('[3]Pension Increases Rates'!$A148="","",'[3]Pension Increases Rates'!$A148)</f>
        <v>RPI up to 3%</v>
      </c>
    </row>
    <row r="148" spans="1:1">
      <c r="A148" s="466" t="str">
        <f>IF('[3]Pension Increases Rates'!$A149="","",'[3]Pension Increases Rates'!$A149)</f>
        <v>RPI up to 5%</v>
      </c>
    </row>
    <row r="149" spans="1:1">
      <c r="A149" s="466" t="str">
        <f>IF('[3]Pension Increases Rates'!$A150="","",'[3]Pension Increases Rates'!$A150)</f>
        <v>Statutory</v>
      </c>
    </row>
    <row r="150" spans="1:1">
      <c r="A150" s="466" t="str">
        <f>IF('[3]Pension Increases Rates'!$A151="","",'[3]Pension Increases Rates'!$A151)</f>
        <v>Statutory RPI max 3%</v>
      </c>
    </row>
    <row r="151" spans="1:1">
      <c r="A151" s="466" t="str">
        <f>IF('[3]Pension Increases Rates'!$A152="","",'[3]Pension Increases Rates'!$A152)</f>
        <v>Temp Post 2000</v>
      </c>
    </row>
    <row r="152" spans="1:1">
      <c r="A152" s="466" t="str">
        <f>IF('[3]Pension Increases Rates'!$A153="","",'[3]Pension Increases Rates'!$A153)</f>
        <v>Temp Pre 2000</v>
      </c>
    </row>
    <row r="153" spans="1:1">
      <c r="A153" s="466" t="str">
        <f>IF('[3]Pension Increases Rates'!$A154="","",'[3]Pension Increases Rates'!$A154)</f>
        <v>Unknown</v>
      </c>
    </row>
    <row r="154" spans="1:1">
      <c r="A154" s="466" t="str">
        <f>IF('[3]Pension Increases Rates'!$A155="","",'[3]Pension Increases Rates'!$A155)</f>
        <v>Unknown (GMP)</v>
      </c>
    </row>
    <row r="155" spans="1:1">
      <c r="A155" s="466" t="str">
        <f>IF('[3]Pension Increases Rates'!$A156="","",'[3]Pension Increases Rates'!$A156)</f>
        <v>Variable</v>
      </c>
    </row>
    <row r="156" spans="1:1">
      <c r="A156" s="466" t="str">
        <f>IF('[3]Pension Increases Rates'!$A157="","",'[3]Pension Increases Rates'!$A157)</f>
        <v/>
      </c>
    </row>
    <row r="157" spans="1:1">
      <c r="A157" s="466" t="str">
        <f>IF('[3]Pension Increases Rates'!$A158="","",'[3]Pension Increases Rates'!$A158)</f>
        <v/>
      </c>
    </row>
    <row r="158" spans="1:1">
      <c r="A158" s="466" t="str">
        <f>IF('[3]Pension Increases Rates'!$A159="","",'[3]Pension Increases Rates'!$A159)</f>
        <v/>
      </c>
    </row>
    <row r="159" spans="1:1">
      <c r="A159" s="466" t="str">
        <f>IF('[3]Pension Increases Rates'!$A160="","",'[3]Pension Increases Rates'!$A160)</f>
        <v/>
      </c>
    </row>
    <row r="160" spans="1:1">
      <c r="A160" s="466" t="str">
        <f>IF('[3]Pension Increases Rates'!$A161="","",'[3]Pension Increases Rates'!$A161)</f>
        <v/>
      </c>
    </row>
    <row r="161" spans="1:1">
      <c r="A161" s="466" t="str">
        <f>IF('[3]Pension Increases Rates'!$A162="","",'[3]Pension Increases Rates'!$A162)</f>
        <v/>
      </c>
    </row>
    <row r="162" spans="1:1">
      <c r="A162" s="466" t="str">
        <f>IF('[3]Pension Increases Rates'!$A163="","",'[3]Pension Increases Rates'!$A163)</f>
        <v/>
      </c>
    </row>
    <row r="163" spans="1:1">
      <c r="A163" s="466" t="str">
        <f>IF('[3]Pension Increases Rates'!$A164="","",'[3]Pension Increases Rates'!$A164)</f>
        <v/>
      </c>
    </row>
    <row r="164" spans="1:1">
      <c r="A164" s="466" t="str">
        <f>IF('[3]Pension Increases Rates'!$A165="","",'[3]Pension Increases Rates'!$A165)</f>
        <v/>
      </c>
    </row>
    <row r="165" spans="1:1">
      <c r="A165" s="466" t="str">
        <f>IF('[3]Pension Increases Rates'!$A166="","",'[3]Pension Increases Rates'!$A166)</f>
        <v/>
      </c>
    </row>
    <row r="166" spans="1:1">
      <c r="A166" s="466" t="str">
        <f>IF('[3]Pension Increases Rates'!$A167="","",'[3]Pension Increases Rates'!$A167)</f>
        <v/>
      </c>
    </row>
    <row r="167" spans="1:1">
      <c r="A167" s="466" t="str">
        <f>IF('[3]Pension Increases Rates'!$A168="","",'[3]Pension Increases Rates'!$A168)</f>
        <v/>
      </c>
    </row>
    <row r="168" spans="1:1">
      <c r="A168" s="466" t="str">
        <f>IF('[3]Pension Increases Rates'!$A169="","",'[3]Pension Increases Rates'!$A169)</f>
        <v/>
      </c>
    </row>
    <row r="169" spans="1:1">
      <c r="A169" s="466" t="str">
        <f>IF('[3]Pension Increases Rates'!$A170="","",'[3]Pension Increases Rates'!$A170)</f>
        <v/>
      </c>
    </row>
    <row r="170" spans="1:1">
      <c r="A170" s="466" t="str">
        <f>IF('[3]Pension Increases Rates'!$A171="","",'[3]Pension Increases Rates'!$A171)</f>
        <v/>
      </c>
    </row>
    <row r="171" spans="1:1">
      <c r="A171" s="466" t="str">
        <f>IF('[3]Pension Increases Rates'!$A172="","",'[3]Pension Increases Rates'!$A172)</f>
        <v/>
      </c>
    </row>
    <row r="172" spans="1:1">
      <c r="A172" s="466" t="str">
        <f>IF('[3]Pension Increases Rates'!$A173="","",'[3]Pension Increases Rates'!$A173)</f>
        <v/>
      </c>
    </row>
    <row r="173" spans="1:1">
      <c r="A173" s="466" t="str">
        <f>IF('[3]Pension Increases Rates'!$A174="","",'[3]Pension Increases Rates'!$A174)</f>
        <v/>
      </c>
    </row>
    <row r="174" spans="1:1">
      <c r="A174" s="466" t="str">
        <f>IF('[3]Pension Increases Rates'!$A175="","",'[3]Pension Increases Rates'!$A175)</f>
        <v/>
      </c>
    </row>
    <row r="175" spans="1:1">
      <c r="A175" s="466" t="str">
        <f>IF('[3]Pension Increases Rates'!$A176="","",'[3]Pension Increases Rates'!$A176)</f>
        <v/>
      </c>
    </row>
    <row r="176" spans="1:1">
      <c r="A176" s="466" t="str">
        <f>IF('[3]Pension Increases Rates'!$A177="","",'[3]Pension Increases Rates'!$A177)</f>
        <v/>
      </c>
    </row>
    <row r="177" spans="1:1">
      <c r="A177" s="466" t="str">
        <f>IF('[3]Pension Increases Rates'!$A178="","",'[3]Pension Increases Rates'!$A178)</f>
        <v/>
      </c>
    </row>
    <row r="178" spans="1:1">
      <c r="A178" s="466" t="str">
        <f>IF('[3]Pension Increases Rates'!$A179="","",'[3]Pension Increases Rates'!$A179)</f>
        <v/>
      </c>
    </row>
    <row r="179" spans="1:1">
      <c r="A179" s="466" t="str">
        <f>IF('[3]Pension Increases Rates'!$A180="","",'[3]Pension Increases Rates'!$A180)</f>
        <v/>
      </c>
    </row>
    <row r="180" spans="1:1">
      <c r="A180" s="466" t="str">
        <f>IF('[3]Pension Increases Rates'!$A181="","",'[3]Pension Increases Rates'!$A181)</f>
        <v/>
      </c>
    </row>
    <row r="181" spans="1:1">
      <c r="A181" s="466" t="str">
        <f>IF('[3]Pension Increases Rates'!$A182="","",'[3]Pension Increases Rates'!$A182)</f>
        <v/>
      </c>
    </row>
    <row r="182" spans="1:1">
      <c r="A182" s="466" t="str">
        <f>IF('[3]Pension Increases Rates'!$A183="","",'[3]Pension Increases Rates'!$A183)</f>
        <v/>
      </c>
    </row>
    <row r="183" spans="1:1">
      <c r="A183" s="466" t="str">
        <f>IF('[3]Pension Increases Rates'!$A184="","",'[3]Pension Increases Rates'!$A184)</f>
        <v/>
      </c>
    </row>
    <row r="184" spans="1:1">
      <c r="A184" s="466" t="str">
        <f>IF('[3]Pension Increases Rates'!$A185="","",'[3]Pension Increases Rates'!$A185)</f>
        <v/>
      </c>
    </row>
    <row r="185" spans="1:1">
      <c r="A185" s="466" t="str">
        <f>IF('[3]Pension Increases Rates'!$A186="","",'[3]Pension Increases Rates'!$A186)</f>
        <v/>
      </c>
    </row>
    <row r="186" spans="1:1">
      <c r="A186" s="466" t="str">
        <f>IF('[3]Pension Increases Rates'!$A187="","",'[3]Pension Increases Rates'!$A187)</f>
        <v/>
      </c>
    </row>
    <row r="187" spans="1:1">
      <c r="A187" s="466" t="str">
        <f>IF('[3]Pension Increases Rates'!$A188="","",'[3]Pension Increases Rates'!$A188)</f>
        <v/>
      </c>
    </row>
    <row r="188" spans="1:1">
      <c r="A188" s="466" t="str">
        <f>IF('[3]Pension Increases Rates'!$A189="","",'[3]Pension Increases Rates'!$A189)</f>
        <v/>
      </c>
    </row>
    <row r="189" spans="1:1">
      <c r="A189" s="466" t="str">
        <f>IF('[3]Pension Increases Rates'!$A190="","",'[3]Pension Increases Rates'!$A190)</f>
        <v/>
      </c>
    </row>
    <row r="190" spans="1:1">
      <c r="A190" s="466" t="str">
        <f>IF('[3]Pension Increases Rates'!$A191="","",'[3]Pension Increases Rates'!$A191)</f>
        <v/>
      </c>
    </row>
    <row r="191" spans="1:1">
      <c r="A191" s="466" t="str">
        <f>IF('[3]Pension Increases Rates'!$A192="","",'[3]Pension Increases Rates'!$A192)</f>
        <v/>
      </c>
    </row>
    <row r="192" spans="1:1">
      <c r="A192" s="466" t="str">
        <f>IF('[3]Pension Increases Rates'!$A193="","",'[3]Pension Increases Rates'!$A193)</f>
        <v/>
      </c>
    </row>
    <row r="193" spans="1:1">
      <c r="A193" s="466" t="str">
        <f>IF('[3]Pension Increases Rates'!$A194="","",'[3]Pension Increases Rates'!$A194)</f>
        <v/>
      </c>
    </row>
    <row r="194" spans="1:1">
      <c r="A194" s="466" t="str">
        <f>IF('[3]Pension Increases Rates'!$A195="","",'[3]Pension Increases Rates'!$A195)</f>
        <v/>
      </c>
    </row>
    <row r="195" spans="1:1">
      <c r="A195" s="466" t="str">
        <f>IF('[3]Pension Increases Rates'!$A196="","",'[3]Pension Increases Rates'!$A196)</f>
        <v/>
      </c>
    </row>
    <row r="196" spans="1:1">
      <c r="A196" s="466" t="str">
        <f>IF('[3]Pension Increases Rates'!$A197="","",'[3]Pension Increases Rates'!$A197)</f>
        <v/>
      </c>
    </row>
    <row r="197" spans="1:1">
      <c r="A197" s="466" t="str">
        <f>IF('[3]Pension Increases Rates'!$A198="","",'[3]Pension Increases Rates'!$A198)</f>
        <v/>
      </c>
    </row>
    <row r="198" spans="1:1">
      <c r="A198" s="466" t="str">
        <f>IF('[3]Pension Increases Rates'!$A199="","",'[3]Pension Increases Rates'!$A199)</f>
        <v/>
      </c>
    </row>
    <row r="199" spans="1:1">
      <c r="A199" s="466" t="str">
        <f>IF('[3]Pension Increases Rates'!$A200="","",'[3]Pension Increases Rates'!$A200)</f>
        <v/>
      </c>
    </row>
    <row r="200" spans="1:1">
      <c r="A200" s="466" t="str">
        <f>IF('[3]Pension Increases Rates'!$A201="","",'[3]Pension Increases Rates'!$A201)</f>
        <v/>
      </c>
    </row>
  </sheetData>
  <sheetProtection password="83AF" sheet="1" objects="1" scenarios="1" formatCells="0" formatColumns="0" formatRows="0"/>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142</vt:i4>
      </vt:variant>
    </vt:vector>
  </HeadingPairs>
  <TitlesOfParts>
    <vt:vector size="160" baseType="lpstr">
      <vt:lpstr>Template Details</vt:lpstr>
      <vt:lpstr>Scheme Definitions</vt:lpstr>
      <vt:lpstr>Factors</vt:lpstr>
      <vt:lpstr>Benefit Statements</vt:lpstr>
      <vt:lpstr>Active to Deferred</vt:lpstr>
      <vt:lpstr>Active to Retirement</vt:lpstr>
      <vt:lpstr>Deferred to Retirement</vt:lpstr>
      <vt:lpstr>Death Calculations</vt:lpstr>
      <vt:lpstr>Pension Increases</vt:lpstr>
      <vt:lpstr>SMPI</vt:lpstr>
      <vt:lpstr>Lifestyle</vt:lpstr>
      <vt:lpstr>Validations, Errors &amp; Warnings</vt:lpstr>
      <vt:lpstr>Standard Calc Prints</vt:lpstr>
      <vt:lpstr>Salary Type</vt:lpstr>
      <vt:lpstr>Final Pensionable Salary</vt:lpstr>
      <vt:lpstr>Deferred Elements</vt:lpstr>
      <vt:lpstr>Pensioner Elements</vt:lpstr>
      <vt:lpstr>Pension Increase Rates</vt:lpstr>
      <vt:lpstr>'Scheme Definitions'!_Toc156620869</vt:lpstr>
      <vt:lpstr>'Pension Increases'!_Toc194293363</vt:lpstr>
      <vt:lpstr>'Deferred to Retirement'!_Toc261356427</vt:lpstr>
      <vt:lpstr>'Deferred to Retirement'!_Toc261356428</vt:lpstr>
      <vt:lpstr>'Deferred to Retirement'!_Toc261356429</vt:lpstr>
      <vt:lpstr>'Deferred to Retirement'!_Toc261356431</vt:lpstr>
      <vt:lpstr>'Pension Increases'!_Toc274908516</vt:lpstr>
      <vt:lpstr>'Pension Increases'!_Toc274908517</vt:lpstr>
      <vt:lpstr>'Pension Increases'!_Toc274908518</vt:lpstr>
      <vt:lpstr>'Pension Increases'!_Toc274908519</vt:lpstr>
      <vt:lpstr>'Pension Increases'!_Toc274908523</vt:lpstr>
      <vt:lpstr>Accrued_Pension</vt:lpstr>
      <vt:lpstr>ActExtFlag</vt:lpstr>
      <vt:lpstr>AD_Categories</vt:lpstr>
      <vt:lpstr>AD_Errors_Warnings</vt:lpstr>
      <vt:lpstr>AD_Letters</vt:lpstr>
      <vt:lpstr>AD_Members_Pension</vt:lpstr>
      <vt:lpstr>AD_Tranches</vt:lpstr>
      <vt:lpstr>AD_Writeback</vt:lpstr>
      <vt:lpstr>Additional_Cash</vt:lpstr>
      <vt:lpstr>Additional_Information</vt:lpstr>
      <vt:lpstr>AllDeferredElements</vt:lpstr>
      <vt:lpstr>AllPensionerElements</vt:lpstr>
      <vt:lpstr>AR_Categories</vt:lpstr>
      <vt:lpstr>AR_Errors_Warnings</vt:lpstr>
      <vt:lpstr>AR_Letters</vt:lpstr>
      <vt:lpstr>AR_Members_Pension</vt:lpstr>
      <vt:lpstr>AR_Tranches</vt:lpstr>
      <vt:lpstr>AR_Writeback</vt:lpstr>
      <vt:lpstr>AVCs</vt:lpstr>
      <vt:lpstr>calculation_output</vt:lpstr>
      <vt:lpstr>Career_Average_Revalued_Earnings__CARE</vt:lpstr>
      <vt:lpstr>Categories___Sections_of_Membership_Covered</vt:lpstr>
      <vt:lpstr>Children_s_Benefits</vt:lpstr>
      <vt:lpstr>Closed_DB</vt:lpstr>
      <vt:lpstr>COMM_DEFN</vt:lpstr>
      <vt:lpstr>Commutation</vt:lpstr>
      <vt:lpstr>Commutation_Residual_Pension</vt:lpstr>
      <vt:lpstr>Contracted_Out</vt:lpstr>
      <vt:lpstr>D_Errors_Warnings</vt:lpstr>
      <vt:lpstr>D_Letter</vt:lpstr>
      <vt:lpstr>D_Writeback</vt:lpstr>
      <vt:lpstr>DC</vt:lpstr>
      <vt:lpstr>Death_in_Deferment</vt:lpstr>
      <vt:lpstr>Death_in_Retirement</vt:lpstr>
      <vt:lpstr>Death_in_Service</vt:lpstr>
      <vt:lpstr>Death_Lump_Sums</vt:lpstr>
      <vt:lpstr>DeferredPost88GMP</vt:lpstr>
      <vt:lpstr>DeferredPre88GMP</vt:lpstr>
      <vt:lpstr>DeferredXSElements</vt:lpstr>
      <vt:lpstr>DR_Categories</vt:lpstr>
      <vt:lpstr>DR_Errors_Warning</vt:lpstr>
      <vt:lpstr>DR_Letters</vt:lpstr>
      <vt:lpstr>DR_Members_Pension</vt:lpstr>
      <vt:lpstr>DR_Tranches</vt:lpstr>
      <vt:lpstr>DR_Writeback</vt:lpstr>
      <vt:lpstr>ERF</vt:lpstr>
      <vt:lpstr>Escalation</vt:lpstr>
      <vt:lpstr>Final_Pensionable_Salary</vt:lpstr>
      <vt:lpstr>FPSDef</vt:lpstr>
      <vt:lpstr>FPSNum</vt:lpstr>
      <vt:lpstr>General_Details</vt:lpstr>
      <vt:lpstr>GMP_Test</vt:lpstr>
      <vt:lpstr>Groups</vt:lpstr>
      <vt:lpstr>Hide_AD_Tranches_1</vt:lpstr>
      <vt:lpstr>Hide_AR_Tranches_1</vt:lpstr>
      <vt:lpstr>Hide_BS_Tranches_1</vt:lpstr>
      <vt:lpstr>Hide_DR_Tranches_1</vt:lpstr>
      <vt:lpstr>Hide_SD_AdditionalCash</vt:lpstr>
      <vt:lpstr>Hide_SD_Avcs</vt:lpstr>
      <vt:lpstr>'Scheme Definitions'!Hide_SD_CareComments</vt:lpstr>
      <vt:lpstr>Hide_SD_CareDetails</vt:lpstr>
      <vt:lpstr>Hide_SD_CategoryList</vt:lpstr>
      <vt:lpstr>Hide_SD_Child</vt:lpstr>
      <vt:lpstr>Hide_SD_Closed</vt:lpstr>
      <vt:lpstr>Hide_SD_Commutation</vt:lpstr>
      <vt:lpstr>Hide_SD_COOutComments</vt:lpstr>
      <vt:lpstr>Hide_SD_DC</vt:lpstr>
      <vt:lpstr>Hide_SD_DeathComments</vt:lpstr>
      <vt:lpstr>Hide_SD_DeathDIR</vt:lpstr>
      <vt:lpstr>Hide_SD_DeathLSDetails</vt:lpstr>
      <vt:lpstr>Hide_SD_Escalation</vt:lpstr>
      <vt:lpstr>Hide_SD_Excalation_1</vt:lpstr>
      <vt:lpstr>Hide_SD_FPSComments</vt:lpstr>
      <vt:lpstr>Hide_SD_GmpTest</vt:lpstr>
      <vt:lpstr>Hide_SD_HistBenAYComments</vt:lpstr>
      <vt:lpstr>Hide_SD_Information</vt:lpstr>
      <vt:lpstr>Hide_SD_NRA</vt:lpstr>
      <vt:lpstr>Hide_SD_NRAComments</vt:lpstr>
      <vt:lpstr>Hide_SD_PCLS</vt:lpstr>
      <vt:lpstr>Hide_SD_PenSalComments</vt:lpstr>
      <vt:lpstr>Hide_SD_PenServComments</vt:lpstr>
      <vt:lpstr>Hide_SD_PensionableService_1</vt:lpstr>
      <vt:lpstr>Hide_SD_PensionableService_30</vt:lpstr>
      <vt:lpstr>Hide_SD_Refund</vt:lpstr>
      <vt:lpstr>Hide_SD_Revaluation</vt:lpstr>
      <vt:lpstr>Hide_SD_Revaluation_1</vt:lpstr>
      <vt:lpstr>Hide_SD_SpouseComments</vt:lpstr>
      <vt:lpstr>Hide_SD_SpouseDepBenDetails</vt:lpstr>
      <vt:lpstr>Hide_SD_SpouseDIR</vt:lpstr>
      <vt:lpstr>Hide_SD_TrivComm</vt:lpstr>
      <vt:lpstr>Hide_SD_TVOut</vt:lpstr>
      <vt:lpstr>Hide_TotalCategories</vt:lpstr>
      <vt:lpstr>Historic_Benefits</vt:lpstr>
      <vt:lpstr>Last_Years_Increases</vt:lpstr>
      <vt:lpstr>Link_Filename</vt:lpstr>
      <vt:lpstr>LRF</vt:lpstr>
      <vt:lpstr>LS_Accrued_Funds</vt:lpstr>
      <vt:lpstr>LS_Fund_Choices</vt:lpstr>
      <vt:lpstr>LS_General_Scheme_Lifestyle_Information</vt:lpstr>
      <vt:lpstr>NRA</vt:lpstr>
      <vt:lpstr>PCLS_Calculation</vt:lpstr>
      <vt:lpstr>PENINC</vt:lpstr>
      <vt:lpstr>Pensionable_Salary</vt:lpstr>
      <vt:lpstr>Pensionable_Service</vt:lpstr>
      <vt:lpstr>PensionerElements</vt:lpstr>
      <vt:lpstr>PensionerPost88GMP</vt:lpstr>
      <vt:lpstr>PensionerPre88GMP</vt:lpstr>
      <vt:lpstr>PensionerXSElements</vt:lpstr>
      <vt:lpstr>'Active to Deferred'!Print_Area</vt:lpstr>
      <vt:lpstr>'Benefit Statements'!Print_Area</vt:lpstr>
      <vt:lpstr>'Deferred to Retirement'!Print_Area</vt:lpstr>
      <vt:lpstr>'Pension Increases'!Print_Area</vt:lpstr>
      <vt:lpstr>'Scheme Definitions'!Print_Area</vt:lpstr>
      <vt:lpstr>Refund_of_Contribution_Calculations</vt:lpstr>
      <vt:lpstr>Revaluation</vt:lpstr>
      <vt:lpstr>SalaryType</vt:lpstr>
      <vt:lpstr>Scheme_Categories</vt:lpstr>
      <vt:lpstr>Scheme_Specific_Errors___Warnings</vt:lpstr>
      <vt:lpstr>SMPI_Assumptions</vt:lpstr>
      <vt:lpstr>SMPI_Data</vt:lpstr>
      <vt:lpstr>SMPI_Fund_Assumptions</vt:lpstr>
      <vt:lpstr>SMPI_Output</vt:lpstr>
      <vt:lpstr>SMPI_Parameters</vt:lpstr>
      <vt:lpstr>Spouse_Dependants_Benefits</vt:lpstr>
      <vt:lpstr>Spouses_Reduction_Factor</vt:lpstr>
      <vt:lpstr>tranche_accrual_1</vt:lpstr>
      <vt:lpstr>tranche_sex_type_1</vt:lpstr>
      <vt:lpstr>Tranches</vt:lpstr>
      <vt:lpstr>Transfers_Out</vt:lpstr>
      <vt:lpstr>Triv_Comm_Factors</vt:lpstr>
      <vt:lpstr>Trivial_Commutation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Anna Clark</dc:creator>
  <cp:lastModifiedBy>peterdimsdale</cp:lastModifiedBy>
  <cp:lastPrinted>2013-04-12T09:06:35Z</cp:lastPrinted>
  <dcterms:created xsi:type="dcterms:W3CDTF">2010-08-10T13:48:48Z</dcterms:created>
  <dcterms:modified xsi:type="dcterms:W3CDTF">2013-04-17T11:55:09Z</dcterms:modified>
</cp:coreProperties>
</file>